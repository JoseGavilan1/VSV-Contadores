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A2736A7C-D418-4A27-9CA1-6C3ECEC0DDD2}" xr6:coauthVersionLast="47" xr6:coauthVersionMax="47" xr10:uidLastSave="{00000000-0000-0000-0000-000000000000}"/>
  <bookViews>
    <workbookView xWindow="-120" yWindow="-120" windowWidth="29040" windowHeight="15720" xr2:uid="{8BDB2266-9E91-4997-8E37-2BF985FD0F60}"/>
  </bookViews>
  <sheets>
    <sheet name="FEBRERO" sheetId="2" r:id="rId1"/>
  </sheets>
  <definedNames>
    <definedName name="_xlnm._FilterDatabase" localSheetId="0" hidden="1">FEBRERO!$A$1:$AC$149</definedName>
    <definedName name="Z_B12C7830_A0F0_4E30_9761_4000A82F3B7D_.wvu.FilterData" localSheetId="0" hidden="1">FEBRERO!$A$1:$AB$149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AC2" i="2"/>
  <c r="AE2" i="2"/>
  <c r="I3" i="2"/>
  <c r="AC3" i="2"/>
  <c r="I4" i="2"/>
  <c r="AC4" i="2"/>
  <c r="AE4" i="2"/>
  <c r="I5" i="2"/>
  <c r="AC5" i="2"/>
  <c r="I6" i="2"/>
  <c r="AC6" i="2"/>
  <c r="I7" i="2"/>
  <c r="AC7" i="2"/>
  <c r="AE7" i="2"/>
  <c r="I8" i="2"/>
  <c r="AC8" i="2"/>
  <c r="AE8" i="2"/>
  <c r="I9" i="2"/>
  <c r="AC9" i="2"/>
  <c r="I10" i="2"/>
  <c r="AC10" i="2"/>
  <c r="I11" i="2"/>
  <c r="AC11" i="2"/>
  <c r="I12" i="2"/>
  <c r="AC12" i="2"/>
  <c r="I13" i="2"/>
  <c r="AC13" i="2"/>
  <c r="AE13" i="2"/>
  <c r="I14" i="2"/>
  <c r="AC14" i="2"/>
  <c r="I15" i="2"/>
  <c r="AC15" i="2"/>
  <c r="AE15" i="2"/>
  <c r="I16" i="2"/>
  <c r="AC16" i="2"/>
  <c r="AE16" i="2"/>
  <c r="I17" i="2"/>
  <c r="AC17" i="2"/>
  <c r="I18" i="2"/>
  <c r="AC18" i="2"/>
  <c r="AE18" i="2"/>
  <c r="I19" i="2"/>
  <c r="AC19" i="2"/>
  <c r="AE19" i="2"/>
  <c r="I20" i="2"/>
  <c r="AC20" i="2"/>
  <c r="I21" i="2"/>
  <c r="AC21" i="2"/>
  <c r="I22" i="2"/>
  <c r="AC22" i="2"/>
  <c r="AE22" i="2"/>
  <c r="I23" i="2"/>
  <c r="AC23" i="2"/>
  <c r="I24" i="2"/>
  <c r="AC24" i="2"/>
  <c r="I25" i="2"/>
  <c r="AC25" i="2"/>
  <c r="AE25" i="2"/>
  <c r="I26" i="2"/>
  <c r="AC26" i="2"/>
  <c r="I27" i="2"/>
  <c r="AC27" i="2"/>
  <c r="I28" i="2"/>
  <c r="AC28" i="2"/>
  <c r="AE28" i="2"/>
  <c r="I29" i="2"/>
  <c r="AC29" i="2"/>
  <c r="I30" i="2"/>
  <c r="AC30" i="2"/>
  <c r="I31" i="2"/>
  <c r="AC31" i="2"/>
  <c r="I32" i="2"/>
  <c r="AC32" i="2"/>
  <c r="AE32" i="2"/>
  <c r="I33" i="2"/>
  <c r="AC33" i="2"/>
  <c r="I34" i="2"/>
  <c r="AC34" i="2"/>
  <c r="AE34" i="2"/>
  <c r="I35" i="2"/>
  <c r="AC35" i="2"/>
  <c r="I36" i="2"/>
  <c r="AC36" i="2"/>
  <c r="AE36" i="2"/>
  <c r="I37" i="2"/>
  <c r="AC37" i="2"/>
  <c r="I38" i="2"/>
  <c r="AC38" i="2"/>
  <c r="I39" i="2"/>
  <c r="AC39" i="2"/>
  <c r="AE39" i="2"/>
  <c r="I40" i="2"/>
  <c r="AC40" i="2"/>
  <c r="I41" i="2"/>
  <c r="AC41" i="2"/>
  <c r="AE41" i="2"/>
  <c r="I42" i="2"/>
  <c r="AC42" i="2"/>
  <c r="AE42" i="2"/>
  <c r="I43" i="2"/>
  <c r="AC43" i="2"/>
  <c r="I44" i="2"/>
  <c r="AC44" i="2"/>
  <c r="I45" i="2"/>
  <c r="AC45" i="2"/>
  <c r="I46" i="2"/>
  <c r="AC46" i="2"/>
  <c r="AE46" i="2"/>
  <c r="I47" i="2"/>
  <c r="AC47" i="2"/>
  <c r="I48" i="2"/>
  <c r="AC48" i="2"/>
  <c r="I49" i="2"/>
  <c r="AC49" i="2"/>
  <c r="AE49" i="2"/>
  <c r="I50" i="2"/>
  <c r="AC50" i="2"/>
  <c r="AE50" i="2"/>
  <c r="G51" i="2"/>
  <c r="I51" i="2"/>
  <c r="AC51" i="2"/>
  <c r="AE51" i="2"/>
  <c r="I52" i="2"/>
  <c r="AC52" i="2"/>
  <c r="AE52" i="2"/>
  <c r="I53" i="2"/>
  <c r="AC53" i="2"/>
  <c r="I54" i="2"/>
  <c r="AC54" i="2"/>
  <c r="AE54" i="2"/>
  <c r="I55" i="2"/>
  <c r="AC55" i="2"/>
  <c r="I56" i="2"/>
  <c r="AC56" i="2"/>
  <c r="I57" i="2"/>
  <c r="AC57" i="2"/>
  <c r="AE57" i="2"/>
  <c r="I58" i="2"/>
  <c r="I59" i="2"/>
  <c r="AC59" i="2"/>
  <c r="AE59" i="2"/>
  <c r="I60" i="2"/>
  <c r="AC60" i="2"/>
  <c r="AE60" i="2"/>
  <c r="I61" i="2"/>
  <c r="AC61" i="2"/>
  <c r="AE61" i="2"/>
  <c r="I62" i="2"/>
  <c r="AC62" i="2"/>
  <c r="I63" i="2"/>
  <c r="AC63" i="2"/>
  <c r="I64" i="2"/>
  <c r="AC64" i="2"/>
  <c r="I65" i="2"/>
  <c r="AC65" i="2"/>
  <c r="I66" i="2"/>
  <c r="AC66" i="2"/>
  <c r="I67" i="2"/>
  <c r="AC67" i="2"/>
  <c r="I68" i="2"/>
  <c r="AC68" i="2"/>
  <c r="I69" i="2"/>
  <c r="AC69" i="2"/>
  <c r="I70" i="2"/>
  <c r="AC70" i="2"/>
  <c r="I71" i="2"/>
  <c r="AC71" i="2"/>
  <c r="I72" i="2"/>
  <c r="AC72" i="2"/>
  <c r="I73" i="2"/>
  <c r="AC73" i="2"/>
  <c r="AE73" i="2"/>
  <c r="I74" i="2"/>
  <c r="AC74" i="2"/>
  <c r="AE74" i="2"/>
  <c r="I75" i="2"/>
  <c r="AC75" i="2"/>
  <c r="AE75" i="2"/>
  <c r="I76" i="2"/>
  <c r="AC76" i="2"/>
  <c r="I77" i="2"/>
  <c r="AC77" i="2"/>
  <c r="AE77" i="2"/>
  <c r="I78" i="2"/>
  <c r="AC78" i="2"/>
  <c r="I79" i="2"/>
  <c r="AC79" i="2"/>
  <c r="I80" i="2"/>
  <c r="AC80" i="2"/>
  <c r="I81" i="2"/>
  <c r="AC81" i="2"/>
  <c r="AE81" i="2"/>
  <c r="I82" i="2"/>
  <c r="AC82" i="2"/>
  <c r="I83" i="2"/>
  <c r="AC83" i="2"/>
  <c r="I84" i="2"/>
  <c r="AC84" i="2"/>
  <c r="AE84" i="2"/>
  <c r="I85" i="2"/>
  <c r="AC85" i="2"/>
  <c r="I86" i="2"/>
  <c r="AC86" i="2"/>
  <c r="I87" i="2"/>
  <c r="AC87" i="2"/>
  <c r="I88" i="2"/>
  <c r="AC88" i="2"/>
  <c r="AE88" i="2"/>
  <c r="H89" i="2"/>
  <c r="I89" i="2"/>
  <c r="AC89" i="2"/>
  <c r="AE89" i="2"/>
  <c r="I90" i="2"/>
  <c r="AC90" i="2"/>
  <c r="AE90" i="2"/>
  <c r="I91" i="2"/>
  <c r="AC91" i="2"/>
  <c r="AE91" i="2"/>
  <c r="I92" i="2"/>
  <c r="AC92" i="2"/>
  <c r="AD92" i="2"/>
  <c r="AE92" i="2"/>
  <c r="I93" i="2"/>
  <c r="AC93" i="2"/>
  <c r="I94" i="2"/>
  <c r="AC94" i="2"/>
  <c r="AE94" i="2"/>
  <c r="I95" i="2"/>
  <c r="AC95" i="2"/>
  <c r="AE95" i="2"/>
  <c r="I96" i="2"/>
  <c r="AC96" i="2"/>
  <c r="AE96" i="2"/>
  <c r="I97" i="2"/>
  <c r="AC97" i="2"/>
  <c r="AE97" i="2"/>
  <c r="I98" i="2"/>
  <c r="AC98" i="2"/>
  <c r="I99" i="2"/>
  <c r="AC99" i="2"/>
  <c r="I100" i="2"/>
  <c r="AC100" i="2"/>
  <c r="AE100" i="2"/>
  <c r="I101" i="2"/>
  <c r="AC101" i="2"/>
  <c r="I102" i="2"/>
  <c r="AC102" i="2"/>
  <c r="AE102" i="2"/>
  <c r="I103" i="2"/>
  <c r="AC103" i="2"/>
  <c r="AE103" i="2"/>
  <c r="I104" i="2"/>
  <c r="AC104" i="2"/>
  <c r="AE104" i="2"/>
  <c r="I105" i="2"/>
  <c r="AC105" i="2"/>
  <c r="AE105" i="2"/>
  <c r="I106" i="2"/>
  <c r="AC106" i="2"/>
  <c r="I107" i="2"/>
  <c r="AC107" i="2"/>
  <c r="AE107" i="2"/>
  <c r="I108" i="2"/>
  <c r="AC108" i="2"/>
  <c r="I109" i="2"/>
  <c r="AC109" i="2"/>
  <c r="AE109" i="2"/>
  <c r="I110" i="2"/>
  <c r="AC110" i="2"/>
  <c r="AE110" i="2"/>
  <c r="I111" i="2"/>
  <c r="AC111" i="2"/>
  <c r="I112" i="2"/>
  <c r="AC112" i="2"/>
  <c r="AE112" i="2"/>
  <c r="I113" i="2"/>
  <c r="AC113" i="2"/>
  <c r="I114" i="2"/>
  <c r="AC114" i="2"/>
  <c r="AE114" i="2"/>
  <c r="I115" i="2"/>
  <c r="AC115" i="2"/>
  <c r="AE115" i="2"/>
  <c r="I116" i="2"/>
  <c r="AC116" i="2"/>
  <c r="AE116" i="2"/>
  <c r="I117" i="2"/>
  <c r="AC117" i="2"/>
  <c r="AE117" i="2"/>
  <c r="I118" i="2"/>
  <c r="AC118" i="2"/>
  <c r="AE118" i="2"/>
  <c r="I119" i="2"/>
  <c r="AC119" i="2"/>
  <c r="AE119" i="2"/>
  <c r="I120" i="2"/>
  <c r="AC120" i="2"/>
  <c r="AE120" i="2"/>
  <c r="I121" i="2"/>
  <c r="AC121" i="2"/>
  <c r="AE121" i="2"/>
  <c r="I122" i="2"/>
  <c r="AC122" i="2"/>
  <c r="AE122" i="2"/>
  <c r="I123" i="2"/>
  <c r="AC123" i="2"/>
  <c r="AE123" i="2"/>
  <c r="I124" i="2"/>
  <c r="AC124" i="2"/>
  <c r="AE124" i="2"/>
  <c r="I125" i="2"/>
  <c r="AC125" i="2"/>
  <c r="AE125" i="2"/>
  <c r="I126" i="2"/>
  <c r="AC126" i="2"/>
  <c r="AE126" i="2"/>
  <c r="I127" i="2"/>
  <c r="I128" i="2"/>
  <c r="AC128" i="2"/>
  <c r="AE128" i="2"/>
  <c r="I129" i="2"/>
  <c r="AC129" i="2"/>
  <c r="I130" i="2"/>
  <c r="AC130" i="2"/>
  <c r="I131" i="2"/>
  <c r="AC131" i="2"/>
  <c r="I132" i="2"/>
  <c r="AC132" i="2"/>
  <c r="I133" i="2"/>
  <c r="AC133" i="2"/>
  <c r="AE133" i="2"/>
  <c r="I134" i="2"/>
  <c r="AC134" i="2"/>
  <c r="I135" i="2"/>
  <c r="AC135" i="2"/>
  <c r="I136" i="2"/>
  <c r="AC136" i="2"/>
  <c r="I137" i="2"/>
  <c r="AC137" i="2"/>
  <c r="I138" i="2"/>
  <c r="AC138" i="2"/>
  <c r="I139" i="2"/>
  <c r="AC139" i="2"/>
  <c r="AE139" i="2"/>
  <c r="I140" i="2"/>
  <c r="AC140" i="2"/>
  <c r="AE140" i="2"/>
  <c r="I141" i="2"/>
  <c r="AC141" i="2"/>
  <c r="AE141" i="2"/>
  <c r="I142" i="2"/>
  <c r="AC142" i="2"/>
  <c r="AE142" i="2"/>
  <c r="I143" i="2"/>
  <c r="AC143" i="2"/>
  <c r="AE143" i="2"/>
  <c r="I144" i="2"/>
  <c r="AC144" i="2"/>
  <c r="AE144" i="2"/>
  <c r="I145" i="2"/>
  <c r="AC145" i="2"/>
  <c r="AE145" i="2"/>
  <c r="I146" i="2"/>
  <c r="AC146" i="2"/>
  <c r="I147" i="2"/>
  <c r="AC147" i="2"/>
  <c r="AC148" i="2"/>
  <c r="AC149" i="2"/>
  <c r="AE149" i="2"/>
  <c r="L155" i="2"/>
</calcChain>
</file>

<file path=xl/sharedStrings.xml><?xml version="1.0" encoding="utf-8"?>
<sst xmlns="http://schemas.openxmlformats.org/spreadsheetml/2006/main" count="2160" uniqueCount="1096">
  <si>
    <t>ALEJANDRO HERNÁN VÁSQUEZ LÓPEZ</t>
  </si>
  <si>
    <t>NO PAGADO</t>
  </si>
  <si>
    <t>PENDIENTE</t>
  </si>
  <si>
    <t>56 9 4239 3995</t>
  </si>
  <si>
    <t>16390697-K</t>
  </si>
  <si>
    <t>ALEJANDROHERNANVASQUEZLOPEZ@GMAIL.COM</t>
  </si>
  <si>
    <t>ignacio1-K</t>
  </si>
  <si>
    <t>78015488-8</t>
  </si>
  <si>
    <t>GO</t>
  </si>
  <si>
    <t>SI</t>
  </si>
  <si>
    <t>VACIK SERVICIOS SPA</t>
  </si>
  <si>
    <t>TERMINO DE GIRO</t>
  </si>
  <si>
    <t>56 9 6318 1360</t>
  </si>
  <si>
    <t>CORPORATIVOLACRIS22@GMAIL.COM</t>
  </si>
  <si>
    <t>Teran1234.</t>
  </si>
  <si>
    <t>77992194-8</t>
  </si>
  <si>
    <t>no facturar</t>
  </si>
  <si>
    <t>GRUPO CARDACHAN T&amp;T SPA</t>
  </si>
  <si>
    <t>CARLOS FELIPE VASQUEZ CORTES</t>
  </si>
  <si>
    <t>56 9 6275 9157</t>
  </si>
  <si>
    <t>carlosvasquezc33@gmail.com</t>
  </si>
  <si>
    <t>Geraldine0</t>
  </si>
  <si>
    <t>16480535-2</t>
  </si>
  <si>
    <t>EMPRENDEDOR</t>
  </si>
  <si>
    <t>NO</t>
  </si>
  <si>
    <t>GERALDINE FERNANDA MATTHEUS MUNOZ</t>
  </si>
  <si>
    <t>Geraldinemattheus@gmail.com</t>
  </si>
  <si>
    <t>Vampiro05.</t>
  </si>
  <si>
    <t>78311828-9</t>
  </si>
  <si>
    <t>COMPARALAB SPA</t>
  </si>
  <si>
    <t xml:space="preserve">ESTEBAN ISAAC TOLEDO CORONADO </t>
  </si>
  <si>
    <t>PAGADO</t>
  </si>
  <si>
    <t>56 9 6319 3336</t>
  </si>
  <si>
    <t>23402577-5</t>
  </si>
  <si>
    <t>catherine.peralta@faemaq.cl</t>
  </si>
  <si>
    <t>Rental25@</t>
  </si>
  <si>
    <t>78268554-6</t>
  </si>
  <si>
    <t>DE BAJA</t>
  </si>
  <si>
    <t>FAEMAQ RENTAL LTDA.</t>
  </si>
  <si>
    <t>V</t>
  </si>
  <si>
    <t>VERIFICACIÓN PENDIENTE</t>
  </si>
  <si>
    <t>56 9 5692 9443</t>
  </si>
  <si>
    <t>10154382-K</t>
  </si>
  <si>
    <t>RGATRANSPACIFICOSUR@GMAIL.COM</t>
  </si>
  <si>
    <t>SIN CLAVE</t>
  </si>
  <si>
    <t>78280983-0</t>
  </si>
  <si>
    <t xml:space="preserve">SIN INICIO DE ACTIVIDADES </t>
  </si>
  <si>
    <t>FULL EMPRENDEDOR</t>
  </si>
  <si>
    <t>TRANSPORTES CONTE XPRESS SPA</t>
  </si>
  <si>
    <t>ENVIADO</t>
  </si>
  <si>
    <t>Jacob.2812</t>
  </si>
  <si>
    <t>ELKIN ALEXANDER OVIEDO SANCHEZ</t>
  </si>
  <si>
    <t>56 9 6158 9674</t>
  </si>
  <si>
    <t>25664759-1</t>
  </si>
  <si>
    <t>LOO-0528@HOTMAIL.COM</t>
  </si>
  <si>
    <t>Elkin.2025</t>
  </si>
  <si>
    <t>78116703-7</t>
  </si>
  <si>
    <t>ELKIN ALEXANDER OVIEDO FABRICA DE EMPANADAS LA PERLA EIRL</t>
  </si>
  <si>
    <t>FIRMADO</t>
  </si>
  <si>
    <t>56 9 9842 0749</t>
  </si>
  <si>
    <t>18588607-7</t>
  </si>
  <si>
    <t>Trepaverdechile@gmail.com</t>
  </si>
  <si>
    <t>Blink182.</t>
  </si>
  <si>
    <t>78300694-4</t>
  </si>
  <si>
    <t>TREPAVERDE</t>
  </si>
  <si>
    <t>56 9 6903 4127</t>
  </si>
  <si>
    <t>21893875-2</t>
  </si>
  <si>
    <t>Gvaraproyectos@gmail.com</t>
  </si>
  <si>
    <t>Gvara25@</t>
  </si>
  <si>
    <t>78299929-k</t>
  </si>
  <si>
    <t xml:space="preserve">ENVIAR CORREO ULTIMATUM </t>
  </si>
  <si>
    <t>G VARA PROYECTOS</t>
  </si>
  <si>
    <t>56 9 6860 7758</t>
  </si>
  <si>
    <t>78305639-9</t>
  </si>
  <si>
    <t>MAURILOPEZX25@GMAIL.COM</t>
  </si>
  <si>
    <t>Ilumina78*</t>
  </si>
  <si>
    <t>ILUMINA VENTANAS</t>
  </si>
  <si>
    <t>56 9 8894 3152</t>
  </si>
  <si>
    <t>27139532-9</t>
  </si>
  <si>
    <t>CARREPAIRSERVICE.CL</t>
  </si>
  <si>
    <t>sin clave</t>
  </si>
  <si>
    <t>sin rut</t>
  </si>
  <si>
    <t xml:space="preserve">MECATRONICA AUTOMOTRIZ </t>
  </si>
  <si>
    <t>RFIGUEROAPINTO98@GMAIL.COM</t>
  </si>
  <si>
    <t>Sport25@</t>
  </si>
  <si>
    <t>78124763-4</t>
  </si>
  <si>
    <t>AS SPORT SPA</t>
  </si>
  <si>
    <t>MATIAS IGNACIO ALFARO ACEVEDO</t>
  </si>
  <si>
    <t>56 9 9141 5163</t>
  </si>
  <si>
    <t>20390769-9</t>
  </si>
  <si>
    <t>matignacio.arq@gmail.com</t>
  </si>
  <si>
    <t>MatiasA25!</t>
  </si>
  <si>
    <t>78128622-2</t>
  </si>
  <si>
    <t>EXECUTIVE</t>
  </si>
  <si>
    <t>ARQUITECTURA MATÍAS IGNACIO ALFARO ACEVEDO E.I.R.L.</t>
  </si>
  <si>
    <t>Romeo1975</t>
  </si>
  <si>
    <t>RODRIGO ANTONIO ARIAS NILO</t>
  </si>
  <si>
    <t>SERVICIO SUSPENDIDO</t>
  </si>
  <si>
    <t>56 9 3455 8940</t>
  </si>
  <si>
    <t>12923933-6</t>
  </si>
  <si>
    <t>r.ariasnilo@gmail.com</t>
  </si>
  <si>
    <t>Loslagos21</t>
  </si>
  <si>
    <t>76634236-1</t>
  </si>
  <si>
    <t>NO FACTURAR</t>
  </si>
  <si>
    <t>EMPRESA DE SERVICIOS TOPOGRAFÍA Y RPAS, RODRIGO ARIAS NILO EMPRESA INDIVIDUAL DE RESPONSABILIDAD LIMITADA</t>
  </si>
  <si>
    <t>ANDRES IVAN LEIVA LURASCHI</t>
  </si>
  <si>
    <t>56 9 2695 3970</t>
  </si>
  <si>
    <t>11977681-3</t>
  </si>
  <si>
    <t>andyluraschi72@gmail.com</t>
  </si>
  <si>
    <t>1115Ware.</t>
  </si>
  <si>
    <t>77941998-3</t>
  </si>
  <si>
    <t>ANDRES IVAN LEIVA LURASCHI, TATUAJES E.I.R.L.</t>
  </si>
  <si>
    <t>NO DECLARAR</t>
  </si>
  <si>
    <t>56 9 6245 2785</t>
  </si>
  <si>
    <t>CAREGIVER347@GMAIL.COM</t>
  </si>
  <si>
    <t xml:space="preserve"> no declarar ofv</t>
  </si>
  <si>
    <t>77787781-K</t>
  </si>
  <si>
    <t>OFV Pago mensual</t>
  </si>
  <si>
    <t>OF</t>
  </si>
  <si>
    <t>OFV</t>
  </si>
  <si>
    <t>CAREGIVER SPA</t>
  </si>
  <si>
    <t>15563456-1</t>
  </si>
  <si>
    <t>daisyktbpa@gmail.com</t>
  </si>
  <si>
    <t>78303962-1</t>
  </si>
  <si>
    <t>POSTERGADO INICIO DE ACTIVIDADES</t>
  </si>
  <si>
    <t>DEVFLOW</t>
  </si>
  <si>
    <t>56 9 3537 3380</t>
  </si>
  <si>
    <t>19878116-9</t>
  </si>
  <si>
    <t>contacto.dubce@gmail.com</t>
  </si>
  <si>
    <t>Dubce.2025</t>
  </si>
  <si>
    <t>78219837-8</t>
  </si>
  <si>
    <t xml:space="preserve">paga el 27 </t>
  </si>
  <si>
    <t>DUBCE SPA</t>
  </si>
  <si>
    <t>18785145-9</t>
  </si>
  <si>
    <t>gabriel.carvajalsoto@gmail.com</t>
  </si>
  <si>
    <t>K1nes25@</t>
  </si>
  <si>
    <t>78228538-6</t>
  </si>
  <si>
    <t>CARVAJAL Y ANACONA KINESIOLOGIA LTDA</t>
  </si>
  <si>
    <t>NO HACER CONTRATO</t>
  </si>
  <si>
    <t>56 9 9824 5867</t>
  </si>
  <si>
    <t>Kkraus@cotaco.cl; carolinaundurraga@hotmail.com</t>
  </si>
  <si>
    <t>Caro2022</t>
  </si>
  <si>
    <t>77498329-5</t>
  </si>
  <si>
    <t>HARMONY MENTE CORAZON SPA</t>
  </si>
  <si>
    <t>LUIS2024ga</t>
  </si>
  <si>
    <t>Luis Esteban Raimundo Garces Acosta</t>
  </si>
  <si>
    <t>56 9 7795 7716</t>
  </si>
  <si>
    <t>13466890-3</t>
  </si>
  <si>
    <t>LUXOGARA@GMAIL.COM</t>
  </si>
  <si>
    <t>CIVIL2024</t>
  </si>
  <si>
    <t>77886719-2</t>
  </si>
  <si>
    <t>CIVIL PRO</t>
  </si>
  <si>
    <t>Samjin123.</t>
  </si>
  <si>
    <t>Michelly Carolini kim</t>
  </si>
  <si>
    <t>56 9 8801 4559</t>
  </si>
  <si>
    <t>21991542-k</t>
  </si>
  <si>
    <t>yoojin9431@gmail.com</t>
  </si>
  <si>
    <t>Palipal25@</t>
  </si>
  <si>
    <t>78268826-K</t>
  </si>
  <si>
    <t>PALI PALI MARKET SPA</t>
  </si>
  <si>
    <t>no contratará</t>
  </si>
  <si>
    <t>sindy123</t>
  </si>
  <si>
    <t>SINDY LORENA ABALLAY FRIGERIO</t>
  </si>
  <si>
    <t>56 9 8725 4657</t>
  </si>
  <si>
    <t>sindy.aballay32@gmail.com</t>
  </si>
  <si>
    <t>2112sindy</t>
  </si>
  <si>
    <t>77119822-8</t>
  </si>
  <si>
    <t>COMERCIAL SINDY ABALLAY FRIGERIO</t>
  </si>
  <si>
    <t>13473Ma.</t>
  </si>
  <si>
    <t>Marcelo Andrés Vargas Abarca</t>
  </si>
  <si>
    <t>56 9 8690 9914</t>
  </si>
  <si>
    <t>13473386 -1</t>
  </si>
  <si>
    <t>marcelovargas0606@gmail.com</t>
  </si>
  <si>
    <t>Mava2025@</t>
  </si>
  <si>
    <t>78271922-K</t>
  </si>
  <si>
    <t xml:space="preserve">M.A.V.A  CONSTURCIONES SPA </t>
  </si>
  <si>
    <t>Mancora.4</t>
  </si>
  <si>
    <t>Junior Orlando alzamora serna</t>
  </si>
  <si>
    <t>56 9 7217 0794</t>
  </si>
  <si>
    <t>21356805-1</t>
  </si>
  <si>
    <t>orlandoalzamora591420@gmail.com</t>
  </si>
  <si>
    <t>Miarte25@</t>
  </si>
  <si>
    <t>78262268-4</t>
  </si>
  <si>
    <t>MIARTE SPA</t>
  </si>
  <si>
    <t>Daniel alonso espindola calderon</t>
  </si>
  <si>
    <t>56 9 5667 9047</t>
  </si>
  <si>
    <t>16910433-6</t>
  </si>
  <si>
    <t>talo19@gmail.com</t>
  </si>
  <si>
    <t>MGc@2025</t>
  </si>
  <si>
    <t xml:space="preserve"> 78271993-9</t>
  </si>
  <si>
    <t>MGC INVERSIÓNES</t>
  </si>
  <si>
    <t>LEONARDO@TECNICPRO.CL</t>
  </si>
  <si>
    <t xml:space="preserve">sin clave </t>
  </si>
  <si>
    <t>78225083-3</t>
  </si>
  <si>
    <t>ECOENERGY SOLUTIONS</t>
  </si>
  <si>
    <t>bradasic.llanos@gmail.com</t>
  </si>
  <si>
    <t>Brada2026!</t>
  </si>
  <si>
    <t>SUBIR RECLAMO DEDECON</t>
  </si>
  <si>
    <t xml:space="preserve">CONSTRUCTORA BRADASIC SPA </t>
  </si>
  <si>
    <t>abelurra33@gmail.com</t>
  </si>
  <si>
    <t>Urcof25@</t>
  </si>
  <si>
    <t>78237495-8</t>
  </si>
  <si>
    <t>URCOF CONSTRUCCIONES SPA</t>
  </si>
  <si>
    <t>Lasvertientesradal@gmail.com</t>
  </si>
  <si>
    <t>SIN RUT</t>
  </si>
  <si>
    <t>SERVICIOS LAS VERTIENTES</t>
  </si>
  <si>
    <t>YOMI232@HOTMAIL.COM</t>
  </si>
  <si>
    <t>Yosm@yra25</t>
  </si>
  <si>
    <t>78234081-6</t>
  </si>
  <si>
    <t>YOSMAYRA ESTETICA &amp; BELLEZA EIRL</t>
  </si>
  <si>
    <t>HUGO NUÑEZ MILLAQUEO</t>
  </si>
  <si>
    <t>56 9 2696 4305</t>
  </si>
  <si>
    <t>12739340-0</t>
  </si>
  <si>
    <t>constructor.1501@gmail.com</t>
  </si>
  <si>
    <t>Empresa#$77</t>
  </si>
  <si>
    <t>78221159-5</t>
  </si>
  <si>
    <t>SMART GLOBAL SPA</t>
  </si>
  <si>
    <t>56 9 9176 4189</t>
  </si>
  <si>
    <t>Jvalderramamoya@hotmail.com</t>
  </si>
  <si>
    <t>Gava2026!</t>
  </si>
  <si>
    <t>78279705-0</t>
  </si>
  <si>
    <t xml:space="preserve">SIN MOVIMIENTO </t>
  </si>
  <si>
    <t>FRUTAS GAVA</t>
  </si>
  <si>
    <t>56 9 7748 1244</t>
  </si>
  <si>
    <t>12108485-6</t>
  </si>
  <si>
    <t>alpasoalmacenes@gmail.com</t>
  </si>
  <si>
    <t>Alpaso26@</t>
  </si>
  <si>
    <t>77911337-k</t>
  </si>
  <si>
    <t>SOCIEDAD COMERCIAL ERICES Y TRESKOW LTDA</t>
  </si>
  <si>
    <t>56 9 4439 6070</t>
  </si>
  <si>
    <t>18969131-9</t>
  </si>
  <si>
    <t>Aimarmarketspa@gmail.com</t>
  </si>
  <si>
    <t>AIMAR2023</t>
  </si>
  <si>
    <t>77805707-7</t>
  </si>
  <si>
    <t>pago $59.500 28-01</t>
  </si>
  <si>
    <t>AIMAR MARKET</t>
  </si>
  <si>
    <t>56 9 4082 4985</t>
  </si>
  <si>
    <t>VLADYINCA@GMAIL.COM</t>
  </si>
  <si>
    <t>AYVinca26@</t>
  </si>
  <si>
    <t>78248387-0</t>
  </si>
  <si>
    <t>AYV INVERSIONES SPA</t>
  </si>
  <si>
    <t>ROSA ANA ROJAS ABURTO</t>
  </si>
  <si>
    <t>56 9 8297 3780</t>
  </si>
  <si>
    <t>10568482-7</t>
  </si>
  <si>
    <t>crioseco@martizur.cl</t>
  </si>
  <si>
    <t>Mzr6518#</t>
  </si>
  <si>
    <t>76113173-7</t>
  </si>
  <si>
    <t>de baja</t>
  </si>
  <si>
    <t>COMERCIALIZADORA RIOSECO</t>
  </si>
  <si>
    <t>Fridamx01!</t>
  </si>
  <si>
    <t>ANITA MARIA VEAS VILLAGRA</t>
  </si>
  <si>
    <t>56 9 8241 4143</t>
  </si>
  <si>
    <t>15333170-7</t>
  </si>
  <si>
    <t>anitamariaveas@gmail.com</t>
  </si>
  <si>
    <t>78229656-6</t>
  </si>
  <si>
    <t>no facturar hasta junio</t>
  </si>
  <si>
    <t>ANITA MARIA VEAS VILLAGRA ASESORIAS E.I.R.L</t>
  </si>
  <si>
    <t>56 9 5800 6770</t>
  </si>
  <si>
    <t>Rod.ggaray@gmail.com</t>
  </si>
  <si>
    <t>pamesta12</t>
  </si>
  <si>
    <t>Crust</t>
  </si>
  <si>
    <t>Y</t>
  </si>
  <si>
    <t>adhesivo29</t>
  </si>
  <si>
    <t>GERARDO ELADIO LAGOS CABRERAS</t>
  </si>
  <si>
    <t>56 9 4230 0760</t>
  </si>
  <si>
    <t>17551506-2</t>
  </si>
  <si>
    <t>GERA_7_90@HOTMAIL.COM</t>
  </si>
  <si>
    <t>Gerardo.25</t>
  </si>
  <si>
    <t>78226429-K</t>
  </si>
  <si>
    <t>107100?</t>
  </si>
  <si>
    <t>GERARDO LAGOS PUBLICIDAD E.I.R.L.</t>
  </si>
  <si>
    <t>D10sm3v33</t>
  </si>
  <si>
    <t>NICOLAS DANIEL CASTILLO CORTES</t>
  </si>
  <si>
    <t>56 9 9052 4706</t>
  </si>
  <si>
    <t>15096521-7</t>
  </si>
  <si>
    <t>nicocastillo@me.com</t>
  </si>
  <si>
    <t>HR1nsight@</t>
  </si>
  <si>
    <t>78074297-6</t>
  </si>
  <si>
    <t>HR INSIGHT CONSULTING SPA</t>
  </si>
  <si>
    <t>humeres</t>
  </si>
  <si>
    <t>FELIPE ANDRES HUMERES DIAZ</t>
  </si>
  <si>
    <t>56 9 9435 0166</t>
  </si>
  <si>
    <t>17039033-4</t>
  </si>
  <si>
    <t>FELIPEHUMERESD@GMAIL.COM</t>
  </si>
  <si>
    <t>Hum3res25@</t>
  </si>
  <si>
    <t>78209664-8</t>
  </si>
  <si>
    <t>COMERCIALIZADORA HUMERES URIBE LIMITADA</t>
  </si>
  <si>
    <t>Lopez2021@</t>
  </si>
  <si>
    <t>PABLO ERNESTO LOPEZ CASTILLO</t>
  </si>
  <si>
    <t>56 9 7735 2901</t>
  </si>
  <si>
    <t>18739625-5</t>
  </si>
  <si>
    <t>pablo.lopez@bagaust.cl</t>
  </si>
  <si>
    <t>Dunt3ch25@</t>
  </si>
  <si>
    <t>78215629-2</t>
  </si>
  <si>
    <t>DUNNTECH SpA</t>
  </si>
  <si>
    <t>56 9 8837 4014</t>
  </si>
  <si>
    <t>pablo.cavieres.s@gmail.com</t>
  </si>
  <si>
    <t>SERVI2024</t>
  </si>
  <si>
    <t>77905007-6</t>
  </si>
  <si>
    <t>C&amp;J SERVICIOS Y ASEOSRIAS LTDA</t>
  </si>
  <si>
    <t>FELIPE IGNACIO PLOTZ CAMACHO</t>
  </si>
  <si>
    <t>SIN CONTACTO</t>
  </si>
  <si>
    <t>15775721-0</t>
  </si>
  <si>
    <t>felipe@modoespacial.cl</t>
  </si>
  <si>
    <t>sourog47</t>
  </si>
  <si>
    <t>76587522-6</t>
  </si>
  <si>
    <t>MODOESPACIAL SPA</t>
  </si>
  <si>
    <t>Marcelo25@</t>
  </si>
  <si>
    <t>MARCELO ANDRES RAMIREZ SALGADO</t>
  </si>
  <si>
    <t>12721924-9</t>
  </si>
  <si>
    <t>marcelosinhuella@gmail.com</t>
  </si>
  <si>
    <t>Huellas25@</t>
  </si>
  <si>
    <t>78166959-8</t>
  </si>
  <si>
    <t>RECICLAJE SIN HUELLA SpA</t>
  </si>
  <si>
    <t>carola12</t>
  </si>
  <si>
    <t>SVETLANA CAROLA VEGA CHEUQUE</t>
  </si>
  <si>
    <t>56 9 6630 0731</t>
  </si>
  <si>
    <t>12857034-9</t>
  </si>
  <si>
    <t>Abimfer@hotmail.com</t>
  </si>
  <si>
    <t>Svetl@25</t>
  </si>
  <si>
    <t>78165722-0</t>
  </si>
  <si>
    <t>SVETLANA HIGIENE Y LIMPIEZA</t>
  </si>
  <si>
    <t>HIJOSjvbp6#</t>
  </si>
  <si>
    <t>JESSICA VIRGINIA BADILLA PORRAS</t>
  </si>
  <si>
    <t>56 9 9875 4273</t>
  </si>
  <si>
    <t>9921115-6</t>
  </si>
  <si>
    <t>jessicabadilla@gmail.com</t>
  </si>
  <si>
    <t>C@ngelad25</t>
  </si>
  <si>
    <t>78169825-3</t>
  </si>
  <si>
    <t>CONGELADOS Y GOURMET B&amp;B SPA</t>
  </si>
  <si>
    <t>Yersy1242$</t>
  </si>
  <si>
    <t>YERSIN JOSE CARRASQUEL FEBRES</t>
  </si>
  <si>
    <t>56 9 5651 1643</t>
  </si>
  <si>
    <t>27098442-8</t>
  </si>
  <si>
    <t>yersyjcf@gmail.com</t>
  </si>
  <si>
    <t>78203384-0</t>
  </si>
  <si>
    <t>TRANSPORTES Y SERVICIOS YERSIN CARRASQUEL SPA</t>
  </si>
  <si>
    <t>Roger.2025</t>
  </si>
  <si>
    <t xml:space="preserve">ROGER ALEXANDER PAREDES TACANGA </t>
  </si>
  <si>
    <t>56 9 9472 8935</t>
  </si>
  <si>
    <t>27102041-4</t>
  </si>
  <si>
    <t>rogerparedes060782@gmail.com</t>
  </si>
  <si>
    <t>Cucharas12.</t>
  </si>
  <si>
    <t>78209313-4</t>
  </si>
  <si>
    <t>R&amp;R COMIDA RÁPIDA ROGER PAREDES E.I.R.L.</t>
  </si>
  <si>
    <t>CARLOS BASTARDO</t>
  </si>
  <si>
    <t>56 9 8645 5813</t>
  </si>
  <si>
    <t>1985cabm@gmail.com</t>
  </si>
  <si>
    <t>Guille11*</t>
  </si>
  <si>
    <t>78184026-2</t>
  </si>
  <si>
    <t>SERVICIOS Y MAQUINARIAS INDUSTRIALES SPA</t>
  </si>
  <si>
    <t>Pelito27.</t>
  </si>
  <si>
    <t>KATHERINE ALEXANDRA HERNÁNDEZ AVELLO</t>
  </si>
  <si>
    <t>56 9 5769 7632</t>
  </si>
  <si>
    <t>17110247-2</t>
  </si>
  <si>
    <t>k.hernandez@hotmail.com</t>
  </si>
  <si>
    <t>Keoa.2025</t>
  </si>
  <si>
    <t>78119754-8</t>
  </si>
  <si>
    <t>KEOA GROUP SPA</t>
  </si>
  <si>
    <t>Juan25@</t>
  </si>
  <si>
    <t>JUAN ALEJANDRO GALLARDO SANCHEZ</t>
  </si>
  <si>
    <t>56 9 3404 3915</t>
  </si>
  <si>
    <t>15437678-K</t>
  </si>
  <si>
    <t>Innovagab.spa@gmail.com</t>
  </si>
  <si>
    <t>Jags1982$</t>
  </si>
  <si>
    <t>78151033-5</t>
  </si>
  <si>
    <t>INNOVA GAB SPA</t>
  </si>
  <si>
    <t>SARAOS25Q</t>
  </si>
  <si>
    <t>CRISTIAN MANUEL SARAOS QUINTANILLA</t>
  </si>
  <si>
    <t>56 9 9531 9358</t>
  </si>
  <si>
    <t>15125109-9</t>
  </si>
  <si>
    <t>CSARAOSQ@GMAIL.COM</t>
  </si>
  <si>
    <t>Saraos25@</t>
  </si>
  <si>
    <t>78198808-1</t>
  </si>
  <si>
    <t xml:space="preserve">SARAOS SYSTEMS SPA </t>
  </si>
  <si>
    <t>56 9 4127 1463</t>
  </si>
  <si>
    <t>23999914-K</t>
  </si>
  <si>
    <t>scarlett.duran@ingdelta.com</t>
  </si>
  <si>
    <t>Harold25.</t>
  </si>
  <si>
    <t>78113009-5</t>
  </si>
  <si>
    <t>INGDELTA SPA</t>
  </si>
  <si>
    <t>Harold25@</t>
  </si>
  <si>
    <t>HAROLD ENRIQUE MAURY MIRANDA</t>
  </si>
  <si>
    <t>harold.maury@ingdelta.com; scarlett.duran@ingdelta.com</t>
  </si>
  <si>
    <t>Hamabu25*</t>
  </si>
  <si>
    <t>SE FACTURA POR INGDELTA</t>
  </si>
  <si>
    <t>factura por ingdelta</t>
  </si>
  <si>
    <t>EXECUTIVE 50.000</t>
  </si>
  <si>
    <t xml:space="preserve">HAMABU SPA </t>
  </si>
  <si>
    <t>Cesar25@</t>
  </si>
  <si>
    <t>CESAR LUIS CHAMBILLA CONDORI</t>
  </si>
  <si>
    <t>56 9 7840 3706</t>
  </si>
  <si>
    <t>23227954-0</t>
  </si>
  <si>
    <t>tex.bolpech@gmail.com</t>
  </si>
  <si>
    <t>CHAMBI5608</t>
  </si>
  <si>
    <t>77105819-1</t>
  </si>
  <si>
    <t>BOLPECH CONFECCIONES SPA</t>
  </si>
  <si>
    <t>Jose.0104</t>
  </si>
  <si>
    <t>JOSE LUIS ESPINOZA SPARZA</t>
  </si>
  <si>
    <t>56 9 4061 3456</t>
  </si>
  <si>
    <t>13797596-3</t>
  </si>
  <si>
    <r>
      <rPr>
        <u/>
        <sz val="8"/>
        <color rgb="FF000000"/>
        <rFont val="Arial"/>
      </rPr>
      <t>JLMONTERO.SPA@GMAIL.COM</t>
    </r>
  </si>
  <si>
    <t>Montero.24</t>
  </si>
  <si>
    <t>78056692-2</t>
  </si>
  <si>
    <t>JL MONTERO SPA</t>
  </si>
  <si>
    <t>Maite1207.</t>
  </si>
  <si>
    <t xml:space="preserve">LORETO DEL CARMEN VARGAS CELIS </t>
  </si>
  <si>
    <t>56 9 4490 4697</t>
  </si>
  <si>
    <t>17766293-3</t>
  </si>
  <si>
    <t>LORETO.VARGAS.CE@GMAIL.COM</t>
  </si>
  <si>
    <t>Lore127.</t>
  </si>
  <si>
    <t>78093448-4</t>
  </si>
  <si>
    <t>LORETO VARGAS MINIMARKET EIRL</t>
  </si>
  <si>
    <t>001949Lr*</t>
  </si>
  <si>
    <t>MARA JUDITH REICHEL</t>
  </si>
  <si>
    <t>56 9 8668 4042</t>
  </si>
  <si>
    <t>22864271-1</t>
  </si>
  <si>
    <t>marareichel@hotmail.com</t>
  </si>
  <si>
    <t>Salud2024@</t>
  </si>
  <si>
    <t>77901312-K</t>
  </si>
  <si>
    <t>SERVICIOS DE SALUD REICHEL LTDA</t>
  </si>
  <si>
    <t>Guille.197</t>
  </si>
  <si>
    <t>GUILLERMO ESTEBAN RAMIREZ MUÑOZ</t>
  </si>
  <si>
    <t>56 9 5954 3856</t>
  </si>
  <si>
    <t>13065734-6</t>
  </si>
  <si>
    <t>dalton.marin@gydconstructora.com</t>
  </si>
  <si>
    <t>Grupo25@</t>
  </si>
  <si>
    <t>78076436-8</t>
  </si>
  <si>
    <t>GRUPO CONSTRUCTOR G&amp;D SpA</t>
  </si>
  <si>
    <t>Cesar.2025</t>
  </si>
  <si>
    <t>CESAR FELIPE DE ANDRADE CALDEIRA</t>
  </si>
  <si>
    <t>56 9 2193 8773</t>
  </si>
  <si>
    <t>27510705-0</t>
  </si>
  <si>
    <t>CESARDEANDRADE2017@GMAIL.COM</t>
  </si>
  <si>
    <t>78133285-2</t>
  </si>
  <si>
    <t>SUBLIMINATION LUXURY SPA</t>
  </si>
  <si>
    <t>nicolas</t>
  </si>
  <si>
    <t>ANGELICA MARIA GUTIERREZ SILVA</t>
  </si>
  <si>
    <t>14152208-6</t>
  </si>
  <si>
    <t>angelica.gutierrez.silva@gmail.com</t>
  </si>
  <si>
    <t>KALA2024</t>
  </si>
  <si>
    <t>77937906-K</t>
  </si>
  <si>
    <t>KALA MARÍA SPA</t>
  </si>
  <si>
    <t>Sebas25@</t>
  </si>
  <si>
    <t>SEBASTIAN ROMELIO GATICA LAGOS</t>
  </si>
  <si>
    <t>18819244-0</t>
  </si>
  <si>
    <t>sebastian.gaticalagos@gmail.com</t>
  </si>
  <si>
    <t>Se20Ca30@.</t>
  </si>
  <si>
    <t>78123097-9</t>
  </si>
  <si>
    <t>PAGADO HASTA MARZO / CLAVE INCORRECTA</t>
  </si>
  <si>
    <t>GATICA SPA</t>
  </si>
  <si>
    <t>BASCOPEY23</t>
  </si>
  <si>
    <t>YESENIA FABIOLA BASCOPE FRANCO</t>
  </si>
  <si>
    <t>56 9 4487 1868</t>
  </si>
  <si>
    <t>YESENIABASCOPE@GMAIL.COM</t>
  </si>
  <si>
    <t>DRYWALL24</t>
  </si>
  <si>
    <t>77864218-2</t>
  </si>
  <si>
    <t>$0</t>
  </si>
  <si>
    <t>DRYWALL SOLUTIONS SPA</t>
  </si>
  <si>
    <t>939659Jal#</t>
  </si>
  <si>
    <t>JAIME FERNANDO ARACENA LEON</t>
  </si>
  <si>
    <t>56 9 7196 6710</t>
  </si>
  <si>
    <t>18212505-9</t>
  </si>
  <si>
    <t>ARACENA226@GMAIL.COM</t>
  </si>
  <si>
    <t>Gac.2024</t>
  </si>
  <si>
    <t>78044219-0</t>
  </si>
  <si>
    <t>GAC INGENIERIA ELECTRICA SpA</t>
  </si>
  <si>
    <t>Julieta.09</t>
  </si>
  <si>
    <t>BÁRBARA ELISA TRAPP CIFUENTES</t>
  </si>
  <si>
    <t>56 9 8138 2171</t>
  </si>
  <si>
    <t>17253537-2</t>
  </si>
  <si>
    <t>Maquinarias.jlt@gmail.com</t>
  </si>
  <si>
    <t>78020281-5</t>
  </si>
  <si>
    <t>JLT MAQUINARIA SPA</t>
  </si>
  <si>
    <t>Nut5109*</t>
  </si>
  <si>
    <t>ALVARO CAMILO FARFAN DIAZ</t>
  </si>
  <si>
    <t>56 9 4847 5949</t>
  </si>
  <si>
    <t>19148870-9</t>
  </si>
  <si>
    <t>alvarofarfandiaz@gmail.com</t>
  </si>
  <si>
    <t>78142901-5</t>
  </si>
  <si>
    <t>NUTRICIÓN ÁLVARO FARFÁN DIAZ SPA</t>
  </si>
  <si>
    <t>NEWMEDIA23</t>
  </si>
  <si>
    <t>CLAUDIO ANDRE OLMOS DURAN</t>
  </si>
  <si>
    <t>56 9 5176 6543</t>
  </si>
  <si>
    <t>filmatica1970@gmail.com</t>
  </si>
  <si>
    <t>77839119-8</t>
  </si>
  <si>
    <t>cobrar en marzo</t>
  </si>
  <si>
    <t>NEW MEDIA PRODUCCION</t>
  </si>
  <si>
    <t>Mv@20242</t>
  </si>
  <si>
    <t>DIEGO ALEJANDRO MORA QUINTERO</t>
  </si>
  <si>
    <t>56 9 7216 9399</t>
  </si>
  <si>
    <t>25272170-4</t>
  </si>
  <si>
    <t>mv.serviciosintegrales.mv@gmail.com</t>
  </si>
  <si>
    <t>Mv@202501</t>
  </si>
  <si>
    <t>77922345-0</t>
  </si>
  <si>
    <t>M &amp;V SERVICIOS INTEGRALES SPA</t>
  </si>
  <si>
    <t>Toria.12</t>
  </si>
  <si>
    <t>VICTORIA DESIREE PINA ROSALES</t>
  </si>
  <si>
    <t>56 9 7335 0925</t>
  </si>
  <si>
    <t>26176436-9</t>
  </si>
  <si>
    <t>vdpr86@gmail.com</t>
  </si>
  <si>
    <t>78124088-5</t>
  </si>
  <si>
    <t>DISEÑOS VICTORIA PIÑA E.I.R.L.</t>
  </si>
  <si>
    <t>0203myj</t>
  </si>
  <si>
    <t>JOSE OMAR MARTINEZ ORTIZ</t>
  </si>
  <si>
    <t>56 9 9150 0384</t>
  </si>
  <si>
    <t>14179581-3</t>
  </si>
  <si>
    <t>jose.aguevec@gmail.com</t>
  </si>
  <si>
    <t>Contru25.</t>
  </si>
  <si>
    <t>78155728-5</t>
  </si>
  <si>
    <t>JENI</t>
  </si>
  <si>
    <t>JOSÉ MARTINEZ CONSTRUCCIONES E.I.R.L.</t>
  </si>
  <si>
    <t>Joselin24@</t>
  </si>
  <si>
    <t>JOSELIN GABRIELA VALERIA ALVAREZ</t>
  </si>
  <si>
    <t>56 9 6684 3744</t>
  </si>
  <si>
    <t>26755380-7</t>
  </si>
  <si>
    <t>sanjuantatiana2@gmail.com</t>
  </si>
  <si>
    <t>SanJuan24@</t>
  </si>
  <si>
    <t>78033074-0</t>
  </si>
  <si>
    <t>MINIMARKET SAN JUAN SPA</t>
  </si>
  <si>
    <t>B</t>
  </si>
  <si>
    <t>CARO2023</t>
  </si>
  <si>
    <t>CAROLINA DAYANA VIDELA TORO</t>
  </si>
  <si>
    <t xml:space="preserve">19096277-6 </t>
  </si>
  <si>
    <t>carolina.videla@hotmail.com</t>
  </si>
  <si>
    <t>CLIMA2024</t>
  </si>
  <si>
    <t>77938492-6</t>
  </si>
  <si>
    <t>CLIMATIZACION Y MONTAJES VIDELA &amp; TORO SPA</t>
  </si>
  <si>
    <t>PABLO2023</t>
  </si>
  <si>
    <t>PABLO CESAR CEBALLOS MADRID</t>
  </si>
  <si>
    <t>56 9 5525 5801</t>
  </si>
  <si>
    <t xml:space="preserve">12776345-3 </t>
  </si>
  <si>
    <t>Pabloceballosmadrid@gmail.com</t>
  </si>
  <si>
    <t>COMERCIA23</t>
  </si>
  <si>
    <t>77852913-0</t>
  </si>
  <si>
    <t>tiene 2 gratis de rrhh</t>
  </si>
  <si>
    <t>COMERCIAL OFTATO</t>
  </si>
  <si>
    <t>Gm29VI69</t>
  </si>
  <si>
    <t>IGNACIO MARCELO TORRES MENDEZ</t>
  </si>
  <si>
    <t>56 9 2754 8579</t>
  </si>
  <si>
    <t>19087425-7</t>
  </si>
  <si>
    <t>ignaciotorres095@gmail.com</t>
  </si>
  <si>
    <t>ELISETTE PORRAS DAAL</t>
  </si>
  <si>
    <t>56 9 6262 1481</t>
  </si>
  <si>
    <t>26671708-3</t>
  </si>
  <si>
    <t>elisetteporras@gmail.com</t>
  </si>
  <si>
    <t>Daal.2025</t>
  </si>
  <si>
    <t>77756574-5</t>
  </si>
  <si>
    <t>ECYLING SPA</t>
  </si>
  <si>
    <t>DAVID OMAR MAITA BAUTISTA</t>
  </si>
  <si>
    <t>26061652-8</t>
  </si>
  <si>
    <t>david.maitab@gmail.com</t>
  </si>
  <si>
    <t>2025David!</t>
  </si>
  <si>
    <t>78086516-4</t>
  </si>
  <si>
    <t>YERID SPA</t>
  </si>
  <si>
    <t>Jrivas@25</t>
  </si>
  <si>
    <t>JOSE VICENTE RIVAS FUENTES</t>
  </si>
  <si>
    <t>14351671-7</t>
  </si>
  <si>
    <t>JVRF79@GMAIL.COM</t>
  </si>
  <si>
    <t>Anselmo25@</t>
  </si>
  <si>
    <t>ANSELMO SACARIAS VARGAS BARRIA</t>
  </si>
  <si>
    <t>18844329-K</t>
  </si>
  <si>
    <t>igor.villarroel.gabriel@gmail.com</t>
  </si>
  <si>
    <t>GASPAR19</t>
  </si>
  <si>
    <t>77799226-0</t>
  </si>
  <si>
    <t>SOCIEDAD OLIVA Y VARGAS SPA</t>
  </si>
  <si>
    <t>Kj159632.</t>
  </si>
  <si>
    <t>KARLA VANESSA REYES ARAPE</t>
  </si>
  <si>
    <t>27093739-K</t>
  </si>
  <si>
    <t>Dra.karlavanes@gmail.com</t>
  </si>
  <si>
    <t>SALUD2024</t>
  </si>
  <si>
    <t>77903846-7</t>
  </si>
  <si>
    <t>SALUD Y BIENESTAR REYES Y CARRERO LTDA</t>
  </si>
  <si>
    <t>TRINIDAD DEL ROSARIO ARANCIBIA ARANCIBIA</t>
  </si>
  <si>
    <t>18782436-2</t>
  </si>
  <si>
    <t>Trinidad.arancibia.a@gmail.com</t>
  </si>
  <si>
    <t>Rusia2009_</t>
  </si>
  <si>
    <t>77829364-1</t>
  </si>
  <si>
    <t>VARIEGADAS VIÑA DEL MAR SPA</t>
  </si>
  <si>
    <t>ANDREA DE LOS ANGELES PORTILLA VELASQUEZ</t>
  </si>
  <si>
    <t>56 9 4489 6421</t>
  </si>
  <si>
    <t>18880857-3</t>
  </si>
  <si>
    <t>hawaifestproducciones@gmail.com</t>
  </si>
  <si>
    <t>PORTI2024</t>
  </si>
  <si>
    <t>77895764-7</t>
  </si>
  <si>
    <t>PORTILLA PRODUCCIONES Y EVENTOS LIMITADA</t>
  </si>
  <si>
    <t>Clavestas2.</t>
  </si>
  <si>
    <t>RODRIGO ANDRES GARAY OLAVARRIA</t>
  </si>
  <si>
    <t>18565323-4</t>
  </si>
  <si>
    <t>rod.ggaray@gmail.com</t>
  </si>
  <si>
    <t>77656528-8</t>
  </si>
  <si>
    <t>MARKETING NOESART LIMITADA</t>
  </si>
  <si>
    <t>CARLOS IGNACIO PONCE BRITO</t>
  </si>
  <si>
    <t>56 9 9871 8436</t>
  </si>
  <si>
    <t>17680593-5</t>
  </si>
  <si>
    <t>brandon.covarrubias.scan@gmail.com</t>
  </si>
  <si>
    <t>Toto1603</t>
  </si>
  <si>
    <t>77869399-2</t>
  </si>
  <si>
    <t>SERVICIOS PONCE ROJAS LIMITADA</t>
  </si>
  <si>
    <t>ORMARY DE LOS ANGELES CHACIN GONZALEZ</t>
  </si>
  <si>
    <t>56 9 4974 3407</t>
  </si>
  <si>
    <t>25293632-7</t>
  </si>
  <si>
    <t>JOSERIVILCHEZ@GMAIL.COM</t>
  </si>
  <si>
    <t>Yuli.2025</t>
  </si>
  <si>
    <t>77034756-4</t>
  </si>
  <si>
    <t>TUNGARTE SPA</t>
  </si>
  <si>
    <t xml:space="preserve">JEAN ISAILLE RICHE </t>
  </si>
  <si>
    <t>56 9 4978 5783</t>
  </si>
  <si>
    <t>27097283-7</t>
  </si>
  <si>
    <t>jeanismailleriche@gmail.com</t>
  </si>
  <si>
    <t>IMEELA2023</t>
  </si>
  <si>
    <t>77801558-7</t>
  </si>
  <si>
    <t>IMEELA COMPANY SPA</t>
  </si>
  <si>
    <t>Milo1780</t>
  </si>
  <si>
    <t>JOSEFA QUEZADA GUERRERO</t>
  </si>
  <si>
    <t>56 9 8828 2150</t>
  </si>
  <si>
    <t>18668799-K</t>
  </si>
  <si>
    <t>josefaquezadaguerrero@gmail.com</t>
  </si>
  <si>
    <t>Skin2024@</t>
  </si>
  <si>
    <t>77756586-9</t>
  </si>
  <si>
    <t>DISEÑO E IMPRESIONES SKINPACK SPA</t>
  </si>
  <si>
    <t>62851973n</t>
  </si>
  <si>
    <t>HECTOR NICOLAS ESPINOZA BAEZA</t>
  </si>
  <si>
    <t>56 9 6708 4364</t>
  </si>
  <si>
    <t>19662909-2</t>
  </si>
  <si>
    <t>hespinozabaeza@gmail.com</t>
  </si>
  <si>
    <t>H&amp;Sequipo1</t>
  </si>
  <si>
    <t>77992106-9</t>
  </si>
  <si>
    <t>H&amp;S EQUIPOS Y HERRAMIENTAS SPA</t>
  </si>
  <si>
    <t>Amil0305$</t>
  </si>
  <si>
    <t>ANIBAL ALEJANDRO LADRON DE GUEVARA DUARTE</t>
  </si>
  <si>
    <t>56 9 6278 3758</t>
  </si>
  <si>
    <t>16277833-1</t>
  </si>
  <si>
    <t>ALGD1986@GMAIL.COM</t>
  </si>
  <si>
    <t>78137171-8</t>
  </si>
  <si>
    <t>SUMAR $50.000 AL PPM</t>
  </si>
  <si>
    <t>AMIL SPA</t>
  </si>
  <si>
    <t>Pablo12345</t>
  </si>
  <si>
    <t>PABLO BASTIAN VILLALBA FUICA</t>
  </si>
  <si>
    <t>56 9 8228 2804</t>
  </si>
  <si>
    <t>18730649-3</t>
  </si>
  <si>
    <t>pvillalbaf@gmail.com</t>
  </si>
  <si>
    <t>PAblo1234#</t>
  </si>
  <si>
    <t>77847561-8</t>
  </si>
  <si>
    <t>SALUD Y RENDIMIENTO</t>
  </si>
  <si>
    <t>17483092-4</t>
  </si>
  <si>
    <t>Acevedo.25</t>
  </si>
  <si>
    <t>78216688-3</t>
  </si>
  <si>
    <t>ACEVEDO Y ABALLAY LIMITADA</t>
  </si>
  <si>
    <t>Rodrigo25@</t>
  </si>
  <si>
    <t>RODRIGO IGNACIO FIGUEROA PINTO</t>
  </si>
  <si>
    <t>56 9 3765 1182</t>
  </si>
  <si>
    <t>19984168-8</t>
  </si>
  <si>
    <t>ARTICULOS DEPORTIVOS RODRIGO FIGUEROA PINTO E.I.R.L.</t>
  </si>
  <si>
    <t>Carolina1#</t>
  </si>
  <si>
    <t>CAROLINA UNRURRAGA HERRERA</t>
  </si>
  <si>
    <t>10678414-0</t>
  </si>
  <si>
    <t>Carolinaundurraga@hotmail.com</t>
  </si>
  <si>
    <t>Gomez2025@</t>
  </si>
  <si>
    <t>78217204-2</t>
  </si>
  <si>
    <t>GOMEZ Y UNDURRAGA ACCESORIOS LTDA</t>
  </si>
  <si>
    <t>Isab1529#</t>
  </si>
  <si>
    <t>JORGE LUIS GONZALEZ TORRES</t>
  </si>
  <si>
    <t>56 9 3000 6395</t>
  </si>
  <si>
    <t>25637438-2</t>
  </si>
  <si>
    <t>gonzalezjorge20@gmail.com</t>
  </si>
  <si>
    <t>Inno.2025</t>
  </si>
  <si>
    <t>78119769-6</t>
  </si>
  <si>
    <t>INNOVAC GRAPHICS</t>
  </si>
  <si>
    <t>dAVIDm25$</t>
  </si>
  <si>
    <t xml:space="preserve">DAVID OMAR MAITA BAUTISTA </t>
  </si>
  <si>
    <t>56 9 9269 8193</t>
  </si>
  <si>
    <t>davidmaita623@gmail.com</t>
  </si>
  <si>
    <t>Evan@2025</t>
  </si>
  <si>
    <t>78097527-K</t>
  </si>
  <si>
    <t>EVANO SPA</t>
  </si>
  <si>
    <t>dave1717</t>
  </si>
  <si>
    <t>DAVE JAMES EVANGELISTA ALEMAN</t>
  </si>
  <si>
    <t>56 9 8751 6144</t>
  </si>
  <si>
    <t>27136181-5</t>
  </si>
  <si>
    <t>daveevangelista32@gmail.com</t>
  </si>
  <si>
    <t>Arte2025@</t>
  </si>
  <si>
    <t>78112284-K</t>
  </si>
  <si>
    <t>ARTE PLANO SPA</t>
  </si>
  <si>
    <t>Rrkkhh555!</t>
  </si>
  <si>
    <t>RICHARD KRAUS HERREROS</t>
  </si>
  <si>
    <t>56 9 7415 8891</t>
  </si>
  <si>
    <t>20446109-0</t>
  </si>
  <si>
    <t>Entre.planchas@gmail.com</t>
  </si>
  <si>
    <t>Solu2025@</t>
  </si>
  <si>
    <t>78109295-9</t>
  </si>
  <si>
    <t>SOLUCIONES GASTRONÓMICAS RK</t>
  </si>
  <si>
    <t>@Tabycas03</t>
  </si>
  <si>
    <t xml:space="preserve">TABATA PRISCILLA CASTRO HUENTEMILLA </t>
  </si>
  <si>
    <t>56 9 8605 6048</t>
  </si>
  <si>
    <t>15609954-6</t>
  </si>
  <si>
    <t>TABATHA.CASTRO.HUENTEMILLA@GMAIL.COM</t>
  </si>
  <si>
    <t>Taba.2025</t>
  </si>
  <si>
    <t>78109223-1</t>
  </si>
  <si>
    <t>TABATA CASTRO COMERCIAL EIRL</t>
  </si>
  <si>
    <t>RAMON ANTONIO ZAMBRANO</t>
  </si>
  <si>
    <t>56 9 5155 8595</t>
  </si>
  <si>
    <t>26960996-6</t>
  </si>
  <si>
    <t>bzfcambios@gmail.com</t>
  </si>
  <si>
    <t>Rz*6828360</t>
  </si>
  <si>
    <t>77902854-2</t>
  </si>
  <si>
    <t>BZF CAMBIOS SPA</t>
  </si>
  <si>
    <t>Gladys.24</t>
  </si>
  <si>
    <t>GLADYS TEVITA MONTIEL GALLARDO</t>
  </si>
  <si>
    <t>FREE</t>
  </si>
  <si>
    <t>56 9 9862 4725</t>
  </si>
  <si>
    <t>10345114-0</t>
  </si>
  <si>
    <t>GLADYSTAVITAMONTIEL@GMAIL.COM</t>
  </si>
  <si>
    <t>Gladys24@</t>
  </si>
  <si>
    <t>78072524-9</t>
  </si>
  <si>
    <t>está sin inicio de actividades</t>
  </si>
  <si>
    <t>GLADYS MONTIEL ALIMENTACIÓN EIRL</t>
  </si>
  <si>
    <t>David1382</t>
  </si>
  <si>
    <t>DAVID ANDRES TOLEDO SPENCER</t>
  </si>
  <si>
    <t>56 9 9731 9560</t>
  </si>
  <si>
    <t>13828765-3</t>
  </si>
  <si>
    <t>DAVIDTOLEDO612@GMAIL.COM</t>
  </si>
  <si>
    <t>D4c1e4m.</t>
  </si>
  <si>
    <t>78089298-6</t>
  </si>
  <si>
    <t>DECLEAM SpA</t>
  </si>
  <si>
    <t>Rygm108025</t>
  </si>
  <si>
    <t>ROSA YASMARI GASCON MARTINEZ</t>
  </si>
  <si>
    <t>56 9 5166 8378</t>
  </si>
  <si>
    <t>26011254-6</t>
  </si>
  <si>
    <t xml:space="preserve"> mymtravels2025@gmail.com</t>
  </si>
  <si>
    <t>Tr@nspor25</t>
  </si>
  <si>
    <t>78194318-5</t>
  </si>
  <si>
    <t>TRANSPORTE MANRIQUE &amp; MARTINEZ SPA</t>
  </si>
  <si>
    <t>Nicolas16@</t>
  </si>
  <si>
    <t>NESTOR FABIAN PARTEDES MEDINA</t>
  </si>
  <si>
    <t>56 9 6584 7838</t>
  </si>
  <si>
    <t>11446810-k</t>
  </si>
  <si>
    <t>nestor.ingemec@gmail.com</t>
  </si>
  <si>
    <t>P&amp;Pinge24</t>
  </si>
  <si>
    <t>78064752-3</t>
  </si>
  <si>
    <t>P Y P INGENIEROS SPA</t>
  </si>
  <si>
    <t>MATIAS IGNACIO OLIVOS BUSTAMANTE</t>
  </si>
  <si>
    <t>18358147-3</t>
  </si>
  <si>
    <t>MATIAS.OLIVOSB@GMAIL.COM</t>
  </si>
  <si>
    <t>WanderOV23</t>
  </si>
  <si>
    <t>77597208-4</t>
  </si>
  <si>
    <t>MATI</t>
  </si>
  <si>
    <t>OV SPORTS LIMITADA</t>
  </si>
  <si>
    <t>Cdiaz2484</t>
  </si>
  <si>
    <t>CLAUDIO IGNACIO DIAZ SILVA</t>
  </si>
  <si>
    <t>56 9 4927 1213</t>
  </si>
  <si>
    <t>18331868-3</t>
  </si>
  <si>
    <t>loshermanosdelahorro@gmail.com</t>
  </si>
  <si>
    <t>Herma24@</t>
  </si>
  <si>
    <t>78054419-8</t>
  </si>
  <si>
    <t>LOS HERMANOS DE LA OFERTA SPA</t>
  </si>
  <si>
    <t>LUIS ALONSO ARENAS BARRA</t>
  </si>
  <si>
    <t>56 9 7498 6569</t>
  </si>
  <si>
    <t>11982527-K</t>
  </si>
  <si>
    <t>larenasbarra1971@gmail.com</t>
  </si>
  <si>
    <t>R1E2n3a4$</t>
  </si>
  <si>
    <t>77992914-0</t>
  </si>
  <si>
    <t>INVERSIONES LUIS ARENAS SPA</t>
  </si>
  <si>
    <t>BARBARA01</t>
  </si>
  <si>
    <t>BARBARA DE LOURDES GONZALEZ CALDERON</t>
  </si>
  <si>
    <t>56 9 9382 7926</t>
  </si>
  <si>
    <t>15457449-2</t>
  </si>
  <si>
    <t>transportesmjm2024@gmail.com</t>
  </si>
  <si>
    <t>TRANSPOR24</t>
  </si>
  <si>
    <t>77951107-3</t>
  </si>
  <si>
    <t>TRANSPORTES MJM SPA</t>
  </si>
  <si>
    <t>Vis1onart@</t>
  </si>
  <si>
    <t>LEONARDO ANDRES ACUÑA TORO</t>
  </si>
  <si>
    <t>56 9 7208 4801</t>
  </si>
  <si>
    <t>16117099-2</t>
  </si>
  <si>
    <t>LEONARDO.ACUNA.TORO@GMAIL.COM</t>
  </si>
  <si>
    <t>V1si@n24</t>
  </si>
  <si>
    <t>78071957-5</t>
  </si>
  <si>
    <t>VISION ARTE CONSTRUCTORA SPA</t>
  </si>
  <si>
    <t>isidora24</t>
  </si>
  <si>
    <t>NATALIA VALESKA RUZ MORENO</t>
  </si>
  <si>
    <t>56 9 8223 1017</t>
  </si>
  <si>
    <t>17850910-1</t>
  </si>
  <si>
    <t>NATALIARUZMORENO@GMAIL.COM</t>
  </si>
  <si>
    <t>Naty2024@</t>
  </si>
  <si>
    <t>78064268-8</t>
  </si>
  <si>
    <t>NATY RUZ COSMETICS</t>
  </si>
  <si>
    <t>amable2024</t>
  </si>
  <si>
    <t>AMABLE JOSE AMADO PULGAR</t>
  </si>
  <si>
    <t>56 9 3729 9647</t>
  </si>
  <si>
    <t>26756065-k</t>
  </si>
  <si>
    <t>amablejoseamado@gmail.com</t>
  </si>
  <si>
    <t>TRANSP2024</t>
  </si>
  <si>
    <t>77924326-5</t>
  </si>
  <si>
    <t>TRANSPORTES Y LOGISTICAS AMADO BERMEJO SPA</t>
  </si>
  <si>
    <t>J</t>
  </si>
  <si>
    <t xml:space="preserve">MAURICIO ANDRES REYES PROVOSTE </t>
  </si>
  <si>
    <t>56 9 5619 1381</t>
  </si>
  <si>
    <t>13257401-4</t>
  </si>
  <si>
    <t>mrprovoste@gmail.com</t>
  </si>
  <si>
    <t>Agusto2019</t>
  </si>
  <si>
    <t>77087108-5</t>
  </si>
  <si>
    <t>sube el ppm</t>
  </si>
  <si>
    <t>AGUSTO LE GLACE SPA</t>
  </si>
  <si>
    <t>56 9 8558 2338</t>
  </si>
  <si>
    <t>VITOSPA23</t>
  </si>
  <si>
    <t>77816587-2</t>
  </si>
  <si>
    <t>VIDELA &amp; TORO</t>
  </si>
  <si>
    <t>FERNANDO24</t>
  </si>
  <si>
    <t xml:space="preserve">FERNANDO EFRAIN FERRUZOLA BARZOLA </t>
  </si>
  <si>
    <t>56 9 9925 1969</t>
  </si>
  <si>
    <t>24943935-5</t>
  </si>
  <si>
    <t>fernandoferruzola9@gmail.com</t>
  </si>
  <si>
    <t>Fernand25!</t>
  </si>
  <si>
    <t>77891881-1</t>
  </si>
  <si>
    <t>FERNANDO FERRUZOLA CONSTRUCCIONES SPA</t>
  </si>
  <si>
    <t>TPdko123</t>
  </si>
  <si>
    <t>ALEJANDRO JAVIER FUENTES BURGOS</t>
  </si>
  <si>
    <t>56 9 90108727</t>
  </si>
  <si>
    <t>16464122-8</t>
  </si>
  <si>
    <t>Afuenburgos@gmail.com</t>
  </si>
  <si>
    <t>AGUAYA2023</t>
  </si>
  <si>
    <t>77801705-9</t>
  </si>
  <si>
    <t>AGUA YA EIRL</t>
  </si>
  <si>
    <t>Toto1357</t>
  </si>
  <si>
    <t>JONATHAN ANDRES JARA KERN</t>
  </si>
  <si>
    <t>56 9 4011 5689</t>
  </si>
  <si>
    <t>19247436-1</t>
  </si>
  <si>
    <t>J.jarakern@gmail.com</t>
  </si>
  <si>
    <t>Telex@2024</t>
  </si>
  <si>
    <t>77994026-8</t>
  </si>
  <si>
    <t>TELEX SPA</t>
  </si>
  <si>
    <t>197804BEl&amp;</t>
  </si>
  <si>
    <t>BELEN DAFFNE REBOLLEDO ZAPATA</t>
  </si>
  <si>
    <t>13708239-K</t>
  </si>
  <si>
    <t>BERLAHEM@HOTMAIL.COM</t>
  </si>
  <si>
    <t>Rockpero2@</t>
  </si>
  <si>
    <t>78000714-1</t>
  </si>
  <si>
    <t>ROCKPERO SPA</t>
  </si>
  <si>
    <t>13716520-1</t>
  </si>
  <si>
    <t>MARCELO IVAN AGUILAR RIVERA</t>
  </si>
  <si>
    <t>56 9 2863 9883</t>
  </si>
  <si>
    <t>aguilarr_m@hotmail.com</t>
  </si>
  <si>
    <t>H1Gr1nTech</t>
  </si>
  <si>
    <t>77139803-0</t>
  </si>
  <si>
    <t>HI GREEN TECH SPA</t>
  </si>
  <si>
    <t>Cristhian1</t>
  </si>
  <si>
    <t>CRISTHIAN WALDIR DIAZ BUSTAMENTE</t>
  </si>
  <si>
    <t>56 9 6165 0623</t>
  </si>
  <si>
    <t>25500182-5</t>
  </si>
  <si>
    <t>CONSTRUCCIONESDIAZW@GMAIL.COM</t>
  </si>
  <si>
    <t>Hormitz@2</t>
  </si>
  <si>
    <t>77983326-7</t>
  </si>
  <si>
    <t>COBRAR MARZO</t>
  </si>
  <si>
    <t xml:space="preserve">NO FACTURAR </t>
  </si>
  <si>
    <t>COMERCIALIZADORA HORMITZA SpA</t>
  </si>
  <si>
    <t>56 9 9010 8727</t>
  </si>
  <si>
    <t>Elmichideltechobar@gmail.com</t>
  </si>
  <si>
    <t>beauchef934</t>
  </si>
  <si>
    <t>77871555-4</t>
  </si>
  <si>
    <t>NO SABEMOS XQ FREE</t>
  </si>
  <si>
    <t>VENTA DE ALIMENTOS ALEJANDRO FUENTES E.I.R.L.</t>
  </si>
  <si>
    <t>CAROLINA24</t>
  </si>
  <si>
    <t>CAROLINA ANDREA CONCHA LIENCURA</t>
  </si>
  <si>
    <t>56 9 5805 6820</t>
  </si>
  <si>
    <t>16151472-1</t>
  </si>
  <si>
    <t>caro85_21@hotmail.com</t>
  </si>
  <si>
    <t>PREAFTER24</t>
  </si>
  <si>
    <t>77961583-9</t>
  </si>
  <si>
    <t>PRE-AFTER  SCHOOL BURBUJITAS</t>
  </si>
  <si>
    <t>KARLA2024</t>
  </si>
  <si>
    <t>KARLA DEL VALLE MADRID LOPEZ</t>
  </si>
  <si>
    <t>56 9 7373 5745</t>
  </si>
  <si>
    <t>25212812-3</t>
  </si>
  <si>
    <t>ayl.transportesyservicios@gmail.com; salcedo840@gmail.com</t>
  </si>
  <si>
    <t>77984639-3</t>
  </si>
  <si>
    <t>A&amp;L SOLUCIONES Y SERVICIOS</t>
  </si>
  <si>
    <t>cami5193</t>
  </si>
  <si>
    <t>CAMILA XIMENA  SOLEDAD REYES SERRANO</t>
  </si>
  <si>
    <t>56 9 7857 9320</t>
  </si>
  <si>
    <t>18357070-6</t>
  </si>
  <si>
    <t>Ventas@aprendizajeactivo.cl</t>
  </si>
  <si>
    <t>Klaudio11$$PP</t>
  </si>
  <si>
    <t>78016722-K</t>
  </si>
  <si>
    <t>APRENDIZAJE ACTIVO SPA</t>
  </si>
  <si>
    <t>salas3640</t>
  </si>
  <si>
    <t>ROBERTO ANDRES SALAS GONZALEZ</t>
  </si>
  <si>
    <t>56 9 4718 4490</t>
  </si>
  <si>
    <t>12639571-k</t>
  </si>
  <si>
    <t>robertosalas02@hotmail.com</t>
  </si>
  <si>
    <t>ROVIRA2024</t>
  </si>
  <si>
    <t>77852939-4</t>
  </si>
  <si>
    <t>COMERCIALIZADORA ROVIRA</t>
  </si>
  <si>
    <t>J28L3116LJ</t>
  </si>
  <si>
    <t>JONATHAN JOSUE ESMERALDAS PERALTA</t>
  </si>
  <si>
    <t>56 9 6522 0068</t>
  </si>
  <si>
    <t>25330035-3</t>
  </si>
  <si>
    <t>jonnyjos90@gmail.com</t>
  </si>
  <si>
    <t>ESMEC2024</t>
  </si>
  <si>
    <t>77877135-7</t>
  </si>
  <si>
    <t>ESMEC SpA</t>
  </si>
  <si>
    <t>ALEX2024</t>
  </si>
  <si>
    <t>ALEXANDER ALEJANDRO BERMUDEZ BERMUDEZ</t>
  </si>
  <si>
    <t>56 9 4465 0863</t>
  </si>
  <si>
    <t>26892317-9</t>
  </si>
  <si>
    <t>alexanderabermudezb@hotmail.com</t>
  </si>
  <si>
    <t>INVER2024</t>
  </si>
  <si>
    <t>77955178-4</t>
  </si>
  <si>
    <t>INVERSIONES A Y E SpA</t>
  </si>
  <si>
    <t>mafe2018</t>
  </si>
  <si>
    <t>CRISTOBAL ALEJANDRO FELLAY MUÑOZ</t>
  </si>
  <si>
    <t>56 9 7797 7216</t>
  </si>
  <si>
    <t>16020045-6</t>
  </si>
  <si>
    <t>cfellay@forsend.cl; jm_astudillo@hotmail.com</t>
  </si>
  <si>
    <t>MRPASTA24</t>
  </si>
  <si>
    <t>77944164-4</t>
  </si>
  <si>
    <t>MR PASTA SPA</t>
  </si>
  <si>
    <t>MARCELA ALEJANDRA DOLZ REBOLLEDO</t>
  </si>
  <si>
    <t>56 9 9299 5176</t>
  </si>
  <si>
    <t>11631007-4</t>
  </si>
  <si>
    <t>fundaciongatodolz@gmail.com</t>
  </si>
  <si>
    <t>Gatodolz23</t>
  </si>
  <si>
    <t>65191713-1</t>
  </si>
  <si>
    <t>GATO DOLZ FUNDACION</t>
  </si>
  <si>
    <t>VISION400</t>
  </si>
  <si>
    <t>YHIOSHIRA DEL VALLE VALDEZ OLIVO</t>
  </si>
  <si>
    <t xml:space="preserve">56 9 3374 2014 / 56 9 7574 7098 </t>
  </si>
  <si>
    <t>25858655-7</t>
  </si>
  <si>
    <t>wunexpo@gmail.com</t>
  </si>
  <si>
    <t>EVzDEmUD.7</t>
  </si>
  <si>
    <t>77937684-2</t>
  </si>
  <si>
    <t>PAGÓ MARZO POR ADELANTADO</t>
  </si>
  <si>
    <t>VISION 400 SPA</t>
  </si>
  <si>
    <t>Emily1948.</t>
  </si>
  <si>
    <t>DIANE CAMILA TORRES ARÁNGUIZ</t>
  </si>
  <si>
    <t>56 9 3901 0282</t>
  </si>
  <si>
    <t>18838973-2</t>
  </si>
  <si>
    <t>Ernestotorresduarte@Gmail.com</t>
  </si>
  <si>
    <t>KEEN77149</t>
  </si>
  <si>
    <t>77149046-8</t>
  </si>
  <si>
    <t>COMERCIALIZADORA TORRES ASEO KEEN LIMITADA,</t>
  </si>
  <si>
    <t>Jp5620937</t>
  </si>
  <si>
    <t>JUAN FRANCISCO PEREZ ESPINOZA</t>
  </si>
  <si>
    <t>56 9 8767 8866</t>
  </si>
  <si>
    <t>26646314-6</t>
  </si>
  <si>
    <t>perezjuanf94@gmail.com</t>
  </si>
  <si>
    <t>GOVINDA23</t>
  </si>
  <si>
    <t>77753277-4</t>
  </si>
  <si>
    <t>GOVINDA CANO SPA</t>
  </si>
  <si>
    <t>Rose.123</t>
  </si>
  <si>
    <t>VANESSA ZURISADAI GONZALEZ REYES</t>
  </si>
  <si>
    <t>56 9 4629 8109</t>
  </si>
  <si>
    <t>26387905-8</t>
  </si>
  <si>
    <t>inversionesmundocanino@gmail.com</t>
  </si>
  <si>
    <t>77336372-2</t>
  </si>
  <si>
    <t>2 trabajadores gratis</t>
  </si>
  <si>
    <t>INVERSIONES MUNDO CANINO SPA</t>
  </si>
  <si>
    <t>pedro6136</t>
  </si>
  <si>
    <t>PEDRO RIGOBERTO ESCALONA QUILODRAN</t>
  </si>
  <si>
    <t>56 9 8596 3096</t>
  </si>
  <si>
    <t>12018310-9</t>
  </si>
  <si>
    <t>Pedroescalona0@gmail.com</t>
  </si>
  <si>
    <t>FIJACION23</t>
  </si>
  <si>
    <t>77862673-K</t>
  </si>
  <si>
    <t>P &amp; R FIJACION - SUJECION</t>
  </si>
  <si>
    <t>Carlos2023</t>
  </si>
  <si>
    <t>CARLOS VELASQUEZ CAMPOS</t>
  </si>
  <si>
    <t>56 9 8868 5770</t>
  </si>
  <si>
    <t>15667011-1</t>
  </si>
  <si>
    <t>empresa.syj.spa@gmail.com</t>
  </si>
  <si>
    <t>Empresa2026$%</t>
  </si>
  <si>
    <t>77849617-8</t>
  </si>
  <si>
    <t>EMPRESA S&amp;J SpA</t>
  </si>
  <si>
    <t>jhularny23</t>
  </si>
  <si>
    <t>JHULARNY CHIQUINQUIRA HIDALGO VALLES</t>
  </si>
  <si>
    <t>56 9 8817 1640</t>
  </si>
  <si>
    <t>26017426-6</t>
  </si>
  <si>
    <t>jhidalgo@itechsolutions.cl</t>
  </si>
  <si>
    <t>COMPA2023</t>
  </si>
  <si>
    <t>77854265-K</t>
  </si>
  <si>
    <t>TIENE 2 RRHH GRATIS</t>
  </si>
  <si>
    <t>COMPAÑIA DE SOLUCIONES SERVICIOS ARQUITECTURA Y TECNOLOGIA SPA</t>
  </si>
  <si>
    <t>12776345-3</t>
  </si>
  <si>
    <t>ESTÁ EN OTRA FACTURA</t>
  </si>
  <si>
    <t>PABLO CEBALLOS COMERCIAL OFTATO</t>
  </si>
  <si>
    <t>Elim%1994</t>
  </si>
  <si>
    <t>SEFER ELIM VILLAR CHIQUEZ</t>
  </si>
  <si>
    <t>56 9 7434 3694</t>
  </si>
  <si>
    <t>24429299-2</t>
  </si>
  <si>
    <t>construciones.sv@gmail.com</t>
  </si>
  <si>
    <t>Constru08$</t>
  </si>
  <si>
    <t>77904639-7</t>
  </si>
  <si>
    <t>CONSTRUCCIONES Y REMODELACIONES S.V SPA</t>
  </si>
  <si>
    <t>gaby2627</t>
  </si>
  <si>
    <t>GABRIEL ALEJANDRO URZUA AEDO</t>
  </si>
  <si>
    <t>56 9 5627 6860</t>
  </si>
  <si>
    <t>15418471-6</t>
  </si>
  <si>
    <t>eproyect2023@yahoo.com</t>
  </si>
  <si>
    <t>Elec.2023</t>
  </si>
  <si>
    <t>77835246-K</t>
  </si>
  <si>
    <t>ELECTROPROYECT</t>
  </si>
  <si>
    <t>Cata0860</t>
  </si>
  <si>
    <t>CATALINA NATALIE MORALES ESPINOZA</t>
  </si>
  <si>
    <t>56 9 8465 3823</t>
  </si>
  <si>
    <t>16694268-3</t>
  </si>
  <si>
    <t>catalina.nmor@gmail.com</t>
  </si>
  <si>
    <t>Profe24#</t>
  </si>
  <si>
    <t>77829858-9</t>
  </si>
  <si>
    <t>PROFESIONALES DE LA SOSTENIBILIDAD</t>
  </si>
  <si>
    <t>j.jarakern@gmail.com</t>
  </si>
  <si>
    <t>TLEX2023</t>
  </si>
  <si>
    <t>77818938-0</t>
  </si>
  <si>
    <t>T-LEX SPA</t>
  </si>
  <si>
    <t>Nicolas628!</t>
  </si>
  <si>
    <t>SCES2023</t>
  </si>
  <si>
    <t>77806124-4</t>
  </si>
  <si>
    <t>SCES CONSTRUCTORA SPA</t>
  </si>
  <si>
    <t>mafka0307</t>
  </si>
  <si>
    <t>MARIA FRANCISCA BECERRA YAÑEZ</t>
  </si>
  <si>
    <t>56 9 9294 8489</t>
  </si>
  <si>
    <t>17625836-5</t>
  </si>
  <si>
    <t>mfbecerraya@gmail.com</t>
  </si>
  <si>
    <t>mfbymirc10</t>
  </si>
  <si>
    <t>77782757-K</t>
  </si>
  <si>
    <t>EXOVET LABORATORIO LIMITADA</t>
  </si>
  <si>
    <t>17171717ar</t>
  </si>
  <si>
    <t>ALEJANDRO PEREZ RODRIGUEZ</t>
  </si>
  <si>
    <t>56 9 7161 8589</t>
  </si>
  <si>
    <t>26245134-8</t>
  </si>
  <si>
    <t>alejandroperez170293@live.com</t>
  </si>
  <si>
    <t>AYRltda23</t>
  </si>
  <si>
    <t>77758342-5</t>
  </si>
  <si>
    <t>COMERCIALIZADORA A&amp;R LIMITADA</t>
  </si>
  <si>
    <t>Paratepuy37*</t>
  </si>
  <si>
    <t>CARLOS ALBERTO BASTARDO MARTINEZ</t>
  </si>
  <si>
    <t>26617699-6</t>
  </si>
  <si>
    <t xml:space="preserve">FREE POR PEO </t>
  </si>
  <si>
    <t>MAURI2023</t>
  </si>
  <si>
    <t>MAURICIO ANDRES CORVALAN BUSTOS</t>
  </si>
  <si>
    <t>56 9 7827 8733</t>
  </si>
  <si>
    <t>14143766-6</t>
  </si>
  <si>
    <t>mcorvalan@mcbconsultores.cl</t>
  </si>
  <si>
    <t>CONSULT23</t>
  </si>
  <si>
    <t>77871935-5</t>
  </si>
  <si>
    <t>71400?</t>
  </si>
  <si>
    <t>MCB CONSULTORES SPA</t>
  </si>
  <si>
    <t>LEONARDO HANSEL SANHUEZA AZÓCAR</t>
  </si>
  <si>
    <t>56 9 4995 5026</t>
  </si>
  <si>
    <t>14340421-8</t>
  </si>
  <si>
    <t>lsanhueza@virttux.cl</t>
  </si>
  <si>
    <t>Virttux2020</t>
  </si>
  <si>
    <t>76916588-6</t>
  </si>
  <si>
    <t>SANHUEZA MANSO SPA</t>
  </si>
  <si>
    <t>JESSICA SILVA SUAREZ</t>
  </si>
  <si>
    <t>56 9 4667 2273</t>
  </si>
  <si>
    <t>yessicaandreasilva@gmail.com</t>
  </si>
  <si>
    <t>poli2021</t>
  </si>
  <si>
    <t>77493132-5</t>
  </si>
  <si>
    <t>GOOK PRODUCCIONES</t>
  </si>
  <si>
    <t>KARLA VERA VERDUGO</t>
  </si>
  <si>
    <t>56 9 5016 7243</t>
  </si>
  <si>
    <t>18627244-7</t>
  </si>
  <si>
    <t>karlafranv@gmail.com</t>
  </si>
  <si>
    <t>Farma-cyk2:.</t>
  </si>
  <si>
    <t>77583495-1</t>
  </si>
  <si>
    <t>FARMACIAS HIGIA SPA</t>
  </si>
  <si>
    <t>RENTA MARZO BRUTO</t>
  </si>
  <si>
    <t>RENTA MARZO NETO</t>
  </si>
  <si>
    <t>whatsapp</t>
  </si>
  <si>
    <t>Facturación total</t>
  </si>
  <si>
    <t>VENTAS</t>
  </si>
  <si>
    <t>COMPRAS</t>
  </si>
  <si>
    <t>CONTRATO</t>
  </si>
  <si>
    <t>CLAVE SII</t>
  </si>
  <si>
    <t>REPRESENTANTE LEGAL</t>
  </si>
  <si>
    <t>IMPUESTO UNICO</t>
  </si>
  <si>
    <t>FECHA DE PAGO</t>
  </si>
  <si>
    <t>PAGO SERVICIO</t>
  </si>
  <si>
    <t>ESTADO FORMULARIO</t>
  </si>
  <si>
    <t>IMPUESTO A PAGAR</t>
  </si>
  <si>
    <t>telefono</t>
  </si>
  <si>
    <t>RUT rl</t>
  </si>
  <si>
    <t>CORREO</t>
  </si>
  <si>
    <t>CLAVE</t>
  </si>
  <si>
    <t>RUT</t>
  </si>
  <si>
    <t>IMPORTANTE</t>
  </si>
  <si>
    <t>RENTA</t>
  </si>
  <si>
    <t>N° DE FACTURA</t>
  </si>
  <si>
    <t>BRUTO</t>
  </si>
  <si>
    <t>NETO</t>
  </si>
  <si>
    <t>RRHH</t>
  </si>
  <si>
    <t>Tramo</t>
  </si>
  <si>
    <t>PLAN CONTABLE</t>
  </si>
  <si>
    <t>FORMULARIO RENTA</t>
  </si>
  <si>
    <t>CONTRATÓ RENTA 2026 ?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</si>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</sst>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]#,##0"/>
    <numFmt numFmtId="165" formatCode="d/mm/yyyy"/>
    <numFmt numFmtId="166" formatCode="dd\-mm\-yyyy"/>
    <numFmt numFmtId="167" formatCode="dd\-mm\-yy"/>
    <numFmt numFmtId="168" formatCode="d\-m\-yy"/>
    <numFmt numFmtId="169" formatCode="&quot;$&quot;#,##0"/>
    <numFmt numFmtId="170" formatCode="d\-m\-yyyy"/>
  </numFmts>
  <fonts count="25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</font>
    <font>
      <u/>
      <sz val="10"/>
      <color rgb="FF0000FF"/>
      <name val="Arial"/>
    </font>
    <font>
      <sz val="8"/>
      <color theme="1"/>
      <name val="Arial"/>
    </font>
    <font>
      <b/>
      <sz val="8"/>
      <color rgb="FF000000"/>
      <name val="Arial"/>
    </font>
    <font>
      <sz val="10"/>
      <color theme="1"/>
      <name val="Aptos Narrow"/>
      <scheme val="minor"/>
    </font>
    <font>
      <b/>
      <sz val="8"/>
      <color theme="1"/>
      <name val="Arial"/>
    </font>
    <font>
      <sz val="8"/>
      <color rgb="FF222222"/>
      <name val="Arial"/>
    </font>
    <font>
      <i/>
      <sz val="8"/>
      <color theme="1"/>
      <name val="Arial"/>
    </font>
    <font>
      <b/>
      <sz val="8"/>
      <color rgb="FF1C639E"/>
      <name val="Arial"/>
    </font>
    <font>
      <u/>
      <sz val="8"/>
      <color rgb="FF0000FF"/>
      <name val="Arial"/>
    </font>
    <font>
      <sz val="9"/>
      <color rgb="FF333333"/>
      <name val="Red Hat Display"/>
    </font>
    <font>
      <b/>
      <sz val="8"/>
      <color theme="1"/>
      <name val="Roboto"/>
    </font>
    <font>
      <sz val="9"/>
      <color theme="1"/>
      <name val="Red Hat Display"/>
    </font>
    <font>
      <sz val="11"/>
      <color rgb="FF222222"/>
      <name val="Arial"/>
    </font>
    <font>
      <sz val="8"/>
      <color rgb="FF706F6F"/>
      <name val="Helvetica Neue"/>
    </font>
    <font>
      <u/>
      <sz val="8"/>
      <color rgb="FF000000"/>
      <name val="Arial"/>
    </font>
    <font>
      <sz val="8"/>
      <color rgb="FF333333"/>
      <name val="Arial"/>
    </font>
    <font>
      <b/>
      <sz val="8"/>
      <color rgb="FF3C4043"/>
      <name val="Roboto"/>
    </font>
    <font>
      <b/>
      <sz val="8"/>
      <color rgb="FF222222"/>
      <name val="Arial"/>
    </font>
    <font>
      <b/>
      <sz val="8"/>
      <color theme="1"/>
      <name val="Comic Sans MS"/>
    </font>
    <font>
      <b/>
      <sz val="7"/>
      <color rgb="FF222222"/>
      <name val="Arial"/>
    </font>
    <font>
      <b/>
      <sz val="8"/>
      <color rgb="FFFFFFFF"/>
      <name val="Arial"/>
    </font>
    <font>
      <sz val="8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156082"/>
        <bgColor rgb="FF156082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BBBBBB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0" fontId="2" fillId="2" borderId="1" xfId="1" applyFont="1" applyFill="1" applyBorder="1"/>
    <xf numFmtId="0" fontId="2" fillId="0" borderId="1" xfId="1" applyFont="1" applyBorder="1"/>
    <xf numFmtId="164" fontId="2" fillId="2" borderId="1" xfId="1" applyNumberFormat="1" applyFont="1" applyFill="1" applyBorder="1"/>
    <xf numFmtId="165" fontId="2" fillId="2" borderId="1" xfId="1" applyNumberFormat="1" applyFont="1" applyFill="1" applyBorder="1"/>
    <xf numFmtId="3" fontId="2" fillId="2" borderId="1" xfId="1" applyNumberFormat="1" applyFont="1" applyFill="1" applyBorder="1"/>
    <xf numFmtId="3" fontId="2" fillId="2" borderId="0" xfId="1" applyNumberFormat="1" applyFont="1" applyFill="1"/>
    <xf numFmtId="164" fontId="2" fillId="2" borderId="0" xfId="1" applyNumberFormat="1" applyFont="1" applyFill="1"/>
    <xf numFmtId="0" fontId="3" fillId="2" borderId="0" xfId="1" applyFont="1" applyFill="1"/>
    <xf numFmtId="166" fontId="2" fillId="2" borderId="1" xfId="1" applyNumberFormat="1" applyFont="1" applyFill="1" applyBorder="1"/>
    <xf numFmtId="0" fontId="4" fillId="2" borderId="1" xfId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6" fillId="0" borderId="0" xfId="1" applyFont="1"/>
    <xf numFmtId="0" fontId="4" fillId="0" borderId="1" xfId="1" applyFont="1" applyBorder="1" applyAlignment="1">
      <alignment horizontal="center"/>
    </xf>
    <xf numFmtId="167" fontId="2" fillId="2" borderId="1" xfId="1" applyNumberFormat="1" applyFont="1" applyFill="1" applyBorder="1"/>
    <xf numFmtId="0" fontId="4" fillId="2" borderId="1" xfId="1" applyFont="1" applyFill="1" applyBorder="1" applyAlignment="1">
      <alignment horizontal="center" wrapText="1"/>
    </xf>
    <xf numFmtId="164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/>
    <xf numFmtId="168" fontId="4" fillId="2" borderId="1" xfId="1" applyNumberFormat="1" applyFont="1" applyFill="1" applyBorder="1" applyAlignment="1">
      <alignment horizontal="center"/>
    </xf>
    <xf numFmtId="0" fontId="7" fillId="2" borderId="1" xfId="1" applyFont="1" applyFill="1" applyBorder="1"/>
    <xf numFmtId="0" fontId="4" fillId="3" borderId="0" xfId="1" applyFont="1" applyFill="1"/>
    <xf numFmtId="3" fontId="4" fillId="2" borderId="1" xfId="1" applyNumberFormat="1" applyFont="1" applyFill="1" applyBorder="1" applyAlignment="1">
      <alignment horizontal="center" wrapText="1"/>
    </xf>
    <xf numFmtId="169" fontId="2" fillId="2" borderId="0" xfId="1" applyNumberFormat="1" applyFont="1" applyFill="1"/>
    <xf numFmtId="164" fontId="4" fillId="4" borderId="1" xfId="1" applyNumberFormat="1" applyFont="1" applyFill="1" applyBorder="1" applyAlignment="1">
      <alignment horizontal="center" wrapText="1"/>
    </xf>
    <xf numFmtId="164" fontId="8" fillId="2" borderId="1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2" fillId="4" borderId="0" xfId="1" applyFont="1" applyFill="1"/>
    <xf numFmtId="0" fontId="2" fillId="4" borderId="1" xfId="1" applyFont="1" applyFill="1" applyBorder="1"/>
    <xf numFmtId="0" fontId="4" fillId="4" borderId="1" xfId="1" applyFont="1" applyFill="1" applyBorder="1" applyAlignment="1">
      <alignment horizontal="center"/>
    </xf>
    <xf numFmtId="168" fontId="2" fillId="4" borderId="1" xfId="1" applyNumberFormat="1" applyFont="1" applyFill="1" applyBorder="1"/>
    <xf numFmtId="164" fontId="2" fillId="4" borderId="1" xfId="1" applyNumberFormat="1" applyFont="1" applyFill="1" applyBorder="1"/>
    <xf numFmtId="164" fontId="4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0" fontId="4" fillId="4" borderId="1" xfId="1" applyFont="1" applyFill="1" applyBorder="1"/>
    <xf numFmtId="0" fontId="4" fillId="4" borderId="0" xfId="1" applyFont="1" applyFill="1"/>
    <xf numFmtId="170" fontId="4" fillId="2" borderId="1" xfId="1" applyNumberFormat="1" applyFont="1" applyFill="1" applyBorder="1" applyAlignment="1">
      <alignment horizontal="center"/>
    </xf>
    <xf numFmtId="169" fontId="2" fillId="4" borderId="0" xfId="1" applyNumberFormat="1" applyFont="1" applyFill="1"/>
    <xf numFmtId="167" fontId="2" fillId="4" borderId="1" xfId="1" applyNumberFormat="1" applyFont="1" applyFill="1" applyBorder="1"/>
    <xf numFmtId="0" fontId="12" fillId="4" borderId="0" xfId="1" applyFont="1" applyFill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3" fontId="2" fillId="4" borderId="1" xfId="1" applyNumberFormat="1" applyFont="1" applyFill="1" applyBorder="1"/>
    <xf numFmtId="167" fontId="8" fillId="2" borderId="1" xfId="1" applyNumberFormat="1" applyFont="1" applyFill="1" applyBorder="1" applyAlignment="1">
      <alignment horizontal="center"/>
    </xf>
    <xf numFmtId="0" fontId="12" fillId="2" borderId="0" xfId="1" applyFont="1" applyFill="1" applyAlignment="1">
      <alignment horizontal="right"/>
    </xf>
    <xf numFmtId="0" fontId="12" fillId="2" borderId="0" xfId="1" applyFont="1" applyFill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167" fontId="4" fillId="2" borderId="1" xfId="1" applyNumberFormat="1" applyFont="1" applyFill="1" applyBorder="1" applyAlignment="1">
      <alignment horizontal="center"/>
    </xf>
    <xf numFmtId="167" fontId="2" fillId="3" borderId="1" xfId="1" applyNumberFormat="1" applyFont="1" applyFill="1" applyBorder="1"/>
    <xf numFmtId="165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165" fontId="2" fillId="3" borderId="1" xfId="1" applyNumberFormat="1" applyFont="1" applyFill="1" applyBorder="1"/>
    <xf numFmtId="0" fontId="7" fillId="2" borderId="1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13" fillId="2" borderId="0" xfId="1" applyFont="1" applyFill="1" applyAlignment="1">
      <alignment horizontal="center"/>
    </xf>
    <xf numFmtId="164" fontId="8" fillId="2" borderId="0" xfId="1" applyNumberFormat="1" applyFont="1" applyFill="1" applyAlignment="1">
      <alignment horizontal="center"/>
    </xf>
    <xf numFmtId="0" fontId="4" fillId="2" borderId="0" xfId="1" applyFont="1" applyFill="1"/>
    <xf numFmtId="168" fontId="4" fillId="3" borderId="1" xfId="1" applyNumberFormat="1" applyFont="1" applyFill="1" applyBorder="1" applyAlignment="1">
      <alignment horizontal="center"/>
    </xf>
    <xf numFmtId="0" fontId="2" fillId="5" borderId="0" xfId="1" applyFont="1" applyFill="1"/>
    <xf numFmtId="0" fontId="2" fillId="5" borderId="1" xfId="1" applyFont="1" applyFill="1" applyBorder="1"/>
    <xf numFmtId="0" fontId="4" fillId="5" borderId="1" xfId="1" applyFont="1" applyFill="1" applyBorder="1" applyAlignment="1">
      <alignment horizontal="center"/>
    </xf>
    <xf numFmtId="0" fontId="12" fillId="5" borderId="0" xfId="1" applyFont="1" applyFill="1"/>
    <xf numFmtId="168" fontId="4" fillId="5" borderId="1" xfId="1" applyNumberFormat="1" applyFont="1" applyFill="1" applyBorder="1" applyAlignment="1">
      <alignment horizontal="center"/>
    </xf>
    <xf numFmtId="164" fontId="8" fillId="5" borderId="1" xfId="1" applyNumberFormat="1" applyFont="1" applyFill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0" fontId="14" fillId="5" borderId="0" xfId="1" applyFont="1" applyFill="1" applyAlignment="1">
      <alignment horizontal="center"/>
    </xf>
    <xf numFmtId="0" fontId="4" fillId="5" borderId="1" xfId="1" applyFont="1" applyFill="1" applyBorder="1" applyAlignment="1">
      <alignment horizontal="center" wrapText="1"/>
    </xf>
    <xf numFmtId="164" fontId="2" fillId="5" borderId="1" xfId="1" applyNumberFormat="1" applyFont="1" applyFill="1" applyBorder="1"/>
    <xf numFmtId="164" fontId="4" fillId="5" borderId="1" xfId="1" applyNumberFormat="1" applyFont="1" applyFill="1" applyBorder="1" applyAlignment="1">
      <alignment horizontal="center" wrapText="1"/>
    </xf>
    <xf numFmtId="164" fontId="4" fillId="5" borderId="1" xfId="1" applyNumberFormat="1" applyFont="1" applyFill="1" applyBorder="1" applyAlignment="1">
      <alignment horizontal="center"/>
    </xf>
    <xf numFmtId="3" fontId="2" fillId="5" borderId="1" xfId="1" applyNumberFormat="1" applyFont="1" applyFill="1" applyBorder="1"/>
    <xf numFmtId="0" fontId="4" fillId="5" borderId="1" xfId="1" applyFont="1" applyFill="1" applyBorder="1"/>
    <xf numFmtId="0" fontId="4" fillId="5" borderId="0" xfId="1" applyFont="1" applyFill="1"/>
    <xf numFmtId="167" fontId="4" fillId="3" borderId="1" xfId="1" applyNumberFormat="1" applyFont="1" applyFill="1" applyBorder="1" applyAlignment="1">
      <alignment horizontal="center"/>
    </xf>
    <xf numFmtId="168" fontId="2" fillId="3" borderId="1" xfId="1" applyNumberFormat="1" applyFont="1" applyFill="1" applyBorder="1"/>
    <xf numFmtId="164" fontId="8" fillId="4" borderId="1" xfId="1" applyNumberFormat="1" applyFont="1" applyFill="1" applyBorder="1" applyAlignment="1">
      <alignment horizontal="center"/>
    </xf>
    <xf numFmtId="164" fontId="9" fillId="2" borderId="1" xfId="1" applyNumberFormat="1" applyFont="1" applyFill="1" applyBorder="1" applyAlignment="1">
      <alignment horizontal="center" wrapText="1"/>
    </xf>
    <xf numFmtId="0" fontId="2" fillId="6" borderId="0" xfId="1" applyFont="1" applyFill="1"/>
    <xf numFmtId="0" fontId="2" fillId="6" borderId="1" xfId="1" applyFont="1" applyFill="1" applyBorder="1"/>
    <xf numFmtId="0" fontId="7" fillId="6" borderId="1" xfId="1" applyFont="1" applyFill="1" applyBorder="1" applyAlignment="1">
      <alignment horizontal="center"/>
    </xf>
    <xf numFmtId="0" fontId="7" fillId="6" borderId="1" xfId="1" applyFont="1" applyFill="1" applyBorder="1"/>
    <xf numFmtId="167" fontId="4" fillId="6" borderId="1" xfId="1" applyNumberFormat="1" applyFont="1" applyFill="1" applyBorder="1" applyAlignment="1">
      <alignment horizontal="center"/>
    </xf>
    <xf numFmtId="164" fontId="8" fillId="6" borderId="1" xfId="1" applyNumberFormat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 wrapText="1"/>
    </xf>
    <xf numFmtId="164" fontId="2" fillId="6" borderId="1" xfId="1" applyNumberFormat="1" applyFont="1" applyFill="1" applyBorder="1"/>
    <xf numFmtId="164" fontId="4" fillId="6" borderId="1" xfId="1" applyNumberFormat="1" applyFont="1" applyFill="1" applyBorder="1" applyAlignment="1">
      <alignment horizontal="center" wrapText="1"/>
    </xf>
    <xf numFmtId="3" fontId="2" fillId="6" borderId="1" xfId="1" applyNumberFormat="1" applyFont="1" applyFill="1" applyBorder="1"/>
    <xf numFmtId="0" fontId="4" fillId="6" borderId="1" xfId="1" applyFont="1" applyFill="1" applyBorder="1"/>
    <xf numFmtId="0" fontId="15" fillId="2" borderId="0" xfId="1" applyFont="1" applyFill="1"/>
    <xf numFmtId="0" fontId="11" fillId="2" borderId="1" xfId="1" applyFont="1" applyFill="1" applyBorder="1"/>
    <xf numFmtId="168" fontId="2" fillId="2" borderId="1" xfId="1" applyNumberFormat="1" applyFont="1" applyFill="1" applyBorder="1"/>
    <xf numFmtId="0" fontId="4" fillId="2" borderId="0" xfId="1" applyFont="1" applyFill="1" applyAlignment="1">
      <alignment horizontal="center" wrapText="1"/>
    </xf>
    <xf numFmtId="0" fontId="16" fillId="7" borderId="0" xfId="1" applyFont="1" applyFill="1"/>
    <xf numFmtId="0" fontId="4" fillId="2" borderId="1" xfId="1" applyFont="1" applyFill="1" applyBorder="1" applyAlignment="1">
      <alignment wrapText="1"/>
    </xf>
    <xf numFmtId="164" fontId="8" fillId="2" borderId="1" xfId="1" applyNumberFormat="1" applyFont="1" applyFill="1" applyBorder="1"/>
    <xf numFmtId="0" fontId="18" fillId="2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wrapText="1"/>
    </xf>
    <xf numFmtId="164" fontId="9" fillId="0" borderId="1" xfId="1" applyNumberFormat="1" applyFont="1" applyBorder="1" applyAlignment="1">
      <alignment horizontal="center" wrapText="1"/>
    </xf>
    <xf numFmtId="0" fontId="4" fillId="0" borderId="1" xfId="1" applyFont="1" applyBorder="1"/>
    <xf numFmtId="167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64" fontId="2" fillId="0" borderId="1" xfId="1" applyNumberFormat="1" applyFont="1" applyBorder="1"/>
    <xf numFmtId="3" fontId="2" fillId="0" borderId="1" xfId="1" applyNumberFormat="1" applyFont="1" applyBorder="1"/>
    <xf numFmtId="0" fontId="18" fillId="2" borderId="1" xfId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165" fontId="4" fillId="4" borderId="1" xfId="1" applyNumberFormat="1" applyFont="1" applyFill="1" applyBorder="1" applyAlignment="1">
      <alignment horizontal="center"/>
    </xf>
    <xf numFmtId="164" fontId="20" fillId="2" borderId="1" xfId="1" applyNumberFormat="1" applyFont="1" applyFill="1" applyBorder="1" applyAlignment="1">
      <alignment horizontal="center"/>
    </xf>
    <xf numFmtId="0" fontId="2" fillId="3" borderId="1" xfId="1" applyFont="1" applyFill="1" applyBorder="1"/>
    <xf numFmtId="0" fontId="7" fillId="4" borderId="1" xfId="1" applyFont="1" applyFill="1" applyBorder="1"/>
    <xf numFmtId="0" fontId="21" fillId="2" borderId="1" xfId="1" applyFont="1" applyFill="1" applyBorder="1"/>
    <xf numFmtId="164" fontId="22" fillId="4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2" fillId="8" borderId="0" xfId="1" applyFont="1" applyFill="1"/>
    <xf numFmtId="0" fontId="23" fillId="8" borderId="0" xfId="1" applyFont="1" applyFill="1" applyAlignment="1">
      <alignment horizontal="center" wrapText="1"/>
    </xf>
    <xf numFmtId="0" fontId="23" fillId="8" borderId="4" xfId="1" applyFont="1" applyFill="1" applyBorder="1" applyAlignment="1">
      <alignment horizontal="center" wrapText="1"/>
    </xf>
    <xf numFmtId="0" fontId="23" fillId="3" borderId="4" xfId="1" applyFont="1" applyFill="1" applyBorder="1" applyAlignment="1">
      <alignment horizontal="center" wrapText="1"/>
    </xf>
    <xf numFmtId="3" fontId="23" fillId="8" borderId="4" xfId="1" applyNumberFormat="1" applyFont="1" applyFill="1" applyBorder="1" applyAlignment="1">
      <alignment horizontal="center" wrapText="1"/>
    </xf>
    <xf numFmtId="164" fontId="23" fillId="8" borderId="4" xfId="1" applyNumberFormat="1" applyFont="1" applyFill="1" applyBorder="1" applyAlignment="1">
      <alignment horizontal="center" wrapText="1"/>
    </xf>
    <xf numFmtId="0" fontId="24" fillId="8" borderId="0" xfId="1" applyFont="1" applyFill="1" applyAlignment="1">
      <alignment horizontal="center" wrapText="1"/>
    </xf>
  </cellXfs>
  <cellStyles count="2">
    <cellStyle name="Normal" xfId="0" builtinId="0"/>
    <cellStyle name="Normal 2" xfId="1" xr:uid="{E06E8C3A-DE24-4D15-B1BD-B10B26C7E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osinhuella@gmail.com" TargetMode="External"/><Relationship Id="rId2" Type="http://schemas.openxmlformats.org/officeDocument/2006/relationships/hyperlink" Target="mailto:JLMONTERO.SPA@GMAIL.COM" TargetMode="External"/><Relationship Id="rId1" Type="http://schemas.openxmlformats.org/officeDocument/2006/relationships/hyperlink" Target="mailto:pvillalbaf@gmail.com" TargetMode="External"/><Relationship Id="rId5" Type="http://schemas.openxmlformats.org/officeDocument/2006/relationships/hyperlink" Target="http://carrepairservice.cl/" TargetMode="External"/><Relationship Id="rId4" Type="http://schemas.openxmlformats.org/officeDocument/2006/relationships/hyperlink" Target="mailto:daisyktb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4000-DBF5-47D3-A01E-EA669423A643}">
  <sheetPr>
    <outlinePr summaryBelow="0" summaryRight="0"/>
  </sheetPr>
  <dimension ref="A1:AE939"/>
  <sheetViews>
    <sheetView tabSelected="1" topLeftCell="P1" workbookViewId="0">
      <pane ySplit="1" topLeftCell="A2" activePane="bottomLeft" state="frozen"/>
      <selection pane="bottomLeft" activeCell="S23" sqref="S23"/>
    </sheetView>
  </sheetViews>
  <sheetFormatPr baseColWidth="10" defaultColWidth="12.5703125" defaultRowHeight="15.75" customHeight="1"/>
  <cols>
    <col min="1" max="1" width="2.42578125" style="1" customWidth="1"/>
    <col min="2" max="2" width="24" style="1" customWidth="1"/>
    <col min="3" max="3" width="13.7109375" style="1" customWidth="1"/>
    <col min="4" max="4" width="11.140625" style="1" customWidth="1"/>
    <col min="5" max="5" width="12.5703125" style="1"/>
    <col min="6" max="6" width="6.140625" style="1" customWidth="1"/>
    <col min="7" max="7" width="7.140625" style="1" customWidth="1"/>
    <col min="8" max="10" width="12.5703125" style="1"/>
    <col min="11" max="11" width="7.5703125" style="1" customWidth="1"/>
    <col min="12" max="12" width="22.42578125" style="1" customWidth="1"/>
    <col min="13" max="14" width="12.5703125" style="1"/>
    <col min="15" max="15" width="38.28515625" style="1" customWidth="1"/>
    <col min="16" max="19" width="12.5703125" style="1"/>
    <col min="20" max="20" width="15" style="1" customWidth="1"/>
    <col min="21" max="22" width="12.5703125" style="1"/>
    <col min="23" max="23" width="36.140625" style="1" customWidth="1"/>
    <col min="24" max="16384" width="12.5703125" style="1"/>
  </cols>
  <sheetData>
    <row r="1" spans="1:31" ht="24.75" thickTop="1" thickBot="1">
      <c r="A1" s="126"/>
      <c r="B1" s="122" t="s">
        <v>1095</v>
      </c>
      <c r="C1" s="122" t="s">
        <v>1094</v>
      </c>
      <c r="D1" s="122" t="s">
        <v>1093</v>
      </c>
      <c r="E1" s="122" t="s">
        <v>1092</v>
      </c>
      <c r="F1" s="124" t="s">
        <v>1091</v>
      </c>
      <c r="G1" s="122" t="s">
        <v>1090</v>
      </c>
      <c r="H1" s="125" t="s">
        <v>1089</v>
      </c>
      <c r="I1" s="124" t="s">
        <v>1088</v>
      </c>
      <c r="J1" s="122" t="s">
        <v>1087</v>
      </c>
      <c r="K1" s="124" t="s">
        <v>1086</v>
      </c>
      <c r="L1" s="122" t="s">
        <v>1085</v>
      </c>
      <c r="M1" s="122" t="s">
        <v>1084</v>
      </c>
      <c r="N1" s="122" t="s">
        <v>1083</v>
      </c>
      <c r="O1" s="122" t="s">
        <v>1082</v>
      </c>
      <c r="P1" s="122" t="s">
        <v>1081</v>
      </c>
      <c r="Q1" s="123" t="s">
        <v>1080</v>
      </c>
      <c r="R1" s="122" t="s">
        <v>1079</v>
      </c>
      <c r="S1" s="122" t="s">
        <v>1078</v>
      </c>
      <c r="T1" s="122" t="s">
        <v>1077</v>
      </c>
      <c r="U1" s="122" t="s">
        <v>1076</v>
      </c>
      <c r="V1" s="122" t="s">
        <v>1075</v>
      </c>
      <c r="W1" s="122" t="s">
        <v>1074</v>
      </c>
      <c r="X1" s="122" t="s">
        <v>1073</v>
      </c>
      <c r="Y1" s="122" t="s">
        <v>1072</v>
      </c>
      <c r="Z1" s="122" t="s">
        <v>1071</v>
      </c>
      <c r="AA1" s="122" t="s">
        <v>1070</v>
      </c>
      <c r="AB1" s="121" t="s">
        <v>1069</v>
      </c>
      <c r="AC1" s="120" t="s">
        <v>1068</v>
      </c>
      <c r="AD1" s="120" t="s">
        <v>1067</v>
      </c>
      <c r="AE1" s="120" t="s">
        <v>1066</v>
      </c>
    </row>
    <row r="2" spans="1:31" ht="13.5">
      <c r="A2" s="61" t="s">
        <v>795</v>
      </c>
      <c r="B2" s="21" t="s">
        <v>1065</v>
      </c>
      <c r="C2" s="13" t="s">
        <v>9</v>
      </c>
      <c r="D2" s="13" t="s">
        <v>9</v>
      </c>
      <c r="E2" s="13" t="s">
        <v>8</v>
      </c>
      <c r="F2" s="8"/>
      <c r="G2" s="4"/>
      <c r="H2" s="14">
        <v>25210</v>
      </c>
      <c r="I2" s="14">
        <f>H2*1.19</f>
        <v>29999.899999999998</v>
      </c>
      <c r="J2" s="13">
        <v>487</v>
      </c>
      <c r="K2" s="6"/>
      <c r="L2" s="119"/>
      <c r="M2" s="19" t="s">
        <v>1064</v>
      </c>
      <c r="N2" s="118" t="s">
        <v>1063</v>
      </c>
      <c r="O2" s="13" t="s">
        <v>1062</v>
      </c>
      <c r="P2" s="13" t="s">
        <v>1061</v>
      </c>
      <c r="Q2" s="51" t="s">
        <v>1060</v>
      </c>
      <c r="R2" s="28"/>
      <c r="S2" s="13" t="s">
        <v>2</v>
      </c>
      <c r="T2" s="13" t="s">
        <v>31</v>
      </c>
      <c r="U2" s="4"/>
      <c r="V2" s="13" t="s">
        <v>24</v>
      </c>
      <c r="W2" s="13" t="s">
        <v>1059</v>
      </c>
      <c r="X2" s="13" t="s">
        <v>44</v>
      </c>
      <c r="Y2" s="4"/>
      <c r="Z2" s="4"/>
      <c r="AA2" s="4"/>
      <c r="AB2" s="3"/>
      <c r="AC2" s="11" t="str">
        <f ca="1">IFERROR(__xludf.DUMMYFUNCTION("HYPERLINK(
""https://wa.me/""&amp;REGEXREPLACE(Q2,""[^0-9]"","""")&amp;
""?text=""&amp;
ENCODEURL(
""Buenas tardes *""&amp;B2&amp;""*.
Te recordamos que tu plan """"""&amp;E2&amp;"""""" no incluye la declaración de renta. Te enviamos varios correos informando sobre este proceso. Es"&amp;"ta semana vencen las primeras declaraciones juradas, lo que generará multas
Valor: *$""&amp;AD2&amp;""* + IVA = *$""&amp;AE2&amp;""*
El pago puedes hacerlo vía transferencia en la siguiente cuenta:
*CUENTA BANCARIA*
VOLLAIRE &amp; OLIVOS SIMPLE PYME LTDA
Banco BCI
Cuenta "&amp;"corriente
RUT 78.306.207-0
Número de cuenta: 70809538
MATIAS.OLIVOS@VSVCONSULTORES.COM
También puedes pagar con tarjeta de débito o crédito en el siguiente link:
https://www.flow.cl/btn.php?token=xe78c9acb73c3eff5e917d5c932a4a2f7f971abe
Simple Pyme""
)"&amp;",
""Enviar WhatsApp""
)"),"Enviar WhatsApp")</f>
        <v>Enviar WhatsApp</v>
      </c>
      <c r="AD2" s="26">
        <v>125000</v>
      </c>
      <c r="AE2" s="26">
        <f>AD2*1.19</f>
        <v>148750</v>
      </c>
    </row>
    <row r="3" spans="1:31" ht="13.5">
      <c r="A3" s="61" t="s">
        <v>795</v>
      </c>
      <c r="B3" s="21" t="s">
        <v>1058</v>
      </c>
      <c r="C3" s="13" t="s">
        <v>24</v>
      </c>
      <c r="D3" s="13"/>
      <c r="E3" s="13" t="s">
        <v>8</v>
      </c>
      <c r="F3" s="8"/>
      <c r="G3" s="4"/>
      <c r="H3" s="81">
        <v>25210</v>
      </c>
      <c r="I3" s="14">
        <f>H3*1.19</f>
        <v>29999.899999999998</v>
      </c>
      <c r="J3" s="13">
        <v>489</v>
      </c>
      <c r="K3" s="6"/>
      <c r="L3" s="4"/>
      <c r="M3" s="19" t="s">
        <v>1057</v>
      </c>
      <c r="N3" s="19" t="s">
        <v>1056</v>
      </c>
      <c r="O3" s="13" t="s">
        <v>1055</v>
      </c>
      <c r="P3" s="13"/>
      <c r="Q3" s="51" t="s">
        <v>1054</v>
      </c>
      <c r="R3" s="28"/>
      <c r="S3" s="13" t="s">
        <v>2</v>
      </c>
      <c r="T3" s="13" t="s">
        <v>1</v>
      </c>
      <c r="U3" s="96"/>
      <c r="V3" s="13" t="s">
        <v>24</v>
      </c>
      <c r="W3" s="13" t="s">
        <v>1053</v>
      </c>
      <c r="X3" s="13" t="s">
        <v>44</v>
      </c>
      <c r="Y3" s="4"/>
      <c r="Z3" s="4"/>
      <c r="AA3" s="4"/>
      <c r="AB3" s="3"/>
      <c r="AC3" s="11" t="str">
        <f ca="1">IFERROR(__xludf.DUMMYFUNCTION("HYPERLINK(
""https://wa.me/""&amp;REGEXREPLACE(Q3,""[^0-9]"","""")&amp;
""?text=""&amp;
ENCODEURL(
""Buenas tardes *""&amp;B3&amp;""*.
Te recordamos que tu plan """"""&amp;E3&amp;"""""" no incluye la declaración de renta. Te enviamos varios correos informando sobre este proceso. Es"&amp;"ta semana vencen las primeras declaraciones juradas, lo que generará multas
Valor: *$""&amp;AD3&amp;""* + IVA = *$""&amp;AE3&amp;""*
El pago puedes hacerlo vía transferencia en la siguiente *EN HASTA DOS CUOTAS* cuenta:
*CUENTA BANCARIA*
VOLLAIRE &amp; OLIVOS SIMPLE PYME "&amp;"LTDA
Banco BCI
Cuenta corriente
RUT 78.306.207-0
Número de cuenta: 70809538
MATIAS.OLIVOS@VSVCONSULTORES.COM
También puedes pagar con tarjeta de débito o crédito en el siguiente link:
https://www.flow.cl/btn.php?token=xe78c9acb73c3eff5e917d5c932a4a2f7f97"&amp;"1abe
Simple Pyme""
),
""Enviar WhatsApp""
)"),"Enviar WhatsApp")</f>
        <v>Enviar WhatsApp</v>
      </c>
      <c r="AD3" s="26">
        <v>187500</v>
      </c>
      <c r="AE3" s="26">
        <v>223125</v>
      </c>
    </row>
    <row r="4" spans="1:31" ht="13.5">
      <c r="A4" s="24" t="s">
        <v>795</v>
      </c>
      <c r="B4" s="21" t="s">
        <v>1052</v>
      </c>
      <c r="C4" s="13" t="s">
        <v>9</v>
      </c>
      <c r="D4" s="13" t="s">
        <v>9</v>
      </c>
      <c r="E4" s="17" t="s">
        <v>8</v>
      </c>
      <c r="F4" s="8"/>
      <c r="G4" s="4"/>
      <c r="H4" s="14">
        <v>40000</v>
      </c>
      <c r="I4" s="14">
        <f>H4*1.19</f>
        <v>47600</v>
      </c>
      <c r="J4" s="13">
        <v>496</v>
      </c>
      <c r="K4" s="6"/>
      <c r="L4" s="4"/>
      <c r="M4" s="19" t="s">
        <v>1051</v>
      </c>
      <c r="N4" s="19" t="s">
        <v>1050</v>
      </c>
      <c r="O4" s="13" t="s">
        <v>1049</v>
      </c>
      <c r="P4" s="13" t="s">
        <v>1048</v>
      </c>
      <c r="Q4" s="13" t="s">
        <v>1047</v>
      </c>
      <c r="R4" s="28"/>
      <c r="S4" s="13" t="s">
        <v>2</v>
      </c>
      <c r="T4" s="13" t="s">
        <v>31</v>
      </c>
      <c r="U4" s="52"/>
      <c r="V4" s="17" t="s">
        <v>24</v>
      </c>
      <c r="W4" s="13" t="s">
        <v>1046</v>
      </c>
      <c r="X4" s="13" t="s">
        <v>44</v>
      </c>
      <c r="Y4" s="5"/>
      <c r="Z4" s="4"/>
      <c r="AA4" s="4"/>
      <c r="AB4" s="3"/>
      <c r="AC4" s="11" t="str">
        <f ca="1">IFERROR(__xludf.DUMMYFUNCTION("HYPERLINK(
""https://wa.me/""&amp;REGEXREPLACE(Q4,""[^0-9]"","""")&amp;
""?text=""&amp;
ENCODEURL(
""Hola *""&amp;B4&amp;""*.
Te recordamos que la factura Nº *""&amp;J4&amp;""* por el plan """"""&amp;E4&amp;"""""" se encuentra disponible para pago y vence hoy.
Monto: *$""&amp;I4&amp;""*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4" s="3"/>
      <c r="AE4" s="3">
        <f>AD4*1.19</f>
        <v>0</v>
      </c>
    </row>
    <row r="5" spans="1:31" ht="13.5">
      <c r="A5" s="24" t="s">
        <v>795</v>
      </c>
      <c r="B5" s="21" t="s">
        <v>1045</v>
      </c>
      <c r="C5" s="13" t="s">
        <v>9</v>
      </c>
      <c r="D5" s="13" t="s">
        <v>24</v>
      </c>
      <c r="E5" s="17" t="s">
        <v>93</v>
      </c>
      <c r="F5" s="8"/>
      <c r="G5" s="4"/>
      <c r="H5" s="81">
        <v>50000</v>
      </c>
      <c r="I5" s="14">
        <f>H5*1.19</f>
        <v>59500</v>
      </c>
      <c r="J5" s="13">
        <v>492</v>
      </c>
      <c r="K5" s="6" t="s">
        <v>1044</v>
      </c>
      <c r="L5" s="4"/>
      <c r="M5" s="19" t="s">
        <v>1043</v>
      </c>
      <c r="N5" s="19" t="s">
        <v>1042</v>
      </c>
      <c r="O5" s="13" t="s">
        <v>1041</v>
      </c>
      <c r="P5" s="13" t="s">
        <v>1040</v>
      </c>
      <c r="Q5" s="51" t="s">
        <v>1039</v>
      </c>
      <c r="R5" s="28"/>
      <c r="S5" s="13" t="s">
        <v>2</v>
      </c>
      <c r="T5" s="13" t="s">
        <v>31</v>
      </c>
      <c r="U5" s="18"/>
      <c r="V5" s="17" t="s">
        <v>24</v>
      </c>
      <c r="W5" s="13" t="s">
        <v>1038</v>
      </c>
      <c r="X5" s="13" t="s">
        <v>1037</v>
      </c>
      <c r="Y5" s="17" t="s">
        <v>2</v>
      </c>
      <c r="Z5" s="4"/>
      <c r="AA5" s="4"/>
      <c r="AB5" s="3"/>
      <c r="AC5" s="11" t="str">
        <f ca="1">IFERROR(__xludf.DUMMYFUNCTION("HYPERLINK(
""https://wa.me/""&amp;REGEXREPLACE(Q5,""[^0-9]"","""")&amp;
""?text=""&amp;
ENCODEURL(
""Buenas tardes *""&amp;B5&amp;""*.
Te recordamos que tu plan """"""&amp;E5&amp;"""""" no incluye la declaración de renta. Te enviamos varios correos informando sobre este proceso. Es"&amp;"ta semana vencen las primeras declaraciones juradas, lo que generará multas
Valor: *$""&amp;AD5&amp;""* + IVA = *$""&amp;AE5&amp;""*
El pago puedes hacerlo vía transferencia en la siguiente *EN HASTA DOS CUOTAS* cuenta:
*CUENTA BANCARIA*
VOLLAIRE &amp; OLIVOS SIMPLE PYME "&amp;"LTDA
Banco BCI
Cuenta corriente
RUT 78.306.207-0
Número de cuenta: 70809538
MATIAS.OLIVOS@VSVCONSULTORES.COM
También puedes pagar con tarjeta de débito o crédito en el siguiente link:
https://www.flow.cl/btn.php?token=xe78c9acb73c3eff5e917d5c932a4a2f7f97"&amp;"1abe
Simple Pyme""
),
""Enviar WhatsApp""
)"),"Enviar WhatsApp")</f>
        <v>Enviar WhatsApp</v>
      </c>
      <c r="AD5" s="26">
        <v>156250</v>
      </c>
      <c r="AE5" s="26">
        <v>185937.5</v>
      </c>
    </row>
    <row r="6" spans="1:31" ht="13.5">
      <c r="A6" s="24" t="s">
        <v>795</v>
      </c>
      <c r="B6" s="21" t="s">
        <v>1034</v>
      </c>
      <c r="C6" s="13" t="s">
        <v>9</v>
      </c>
      <c r="D6" s="13" t="s">
        <v>9</v>
      </c>
      <c r="E6" s="17" t="s">
        <v>709</v>
      </c>
      <c r="F6" s="8"/>
      <c r="G6" s="13" t="s">
        <v>24</v>
      </c>
      <c r="H6" s="14">
        <v>0</v>
      </c>
      <c r="I6" s="14">
        <f>H6*1.19</f>
        <v>0</v>
      </c>
      <c r="J6" s="25" t="s">
        <v>103</v>
      </c>
      <c r="K6" s="6"/>
      <c r="L6" s="13" t="s">
        <v>1036</v>
      </c>
      <c r="M6" s="19" t="s">
        <v>1035</v>
      </c>
      <c r="N6" s="19" t="s">
        <v>348</v>
      </c>
      <c r="O6" s="13" t="s">
        <v>347</v>
      </c>
      <c r="P6" s="13" t="s">
        <v>1035</v>
      </c>
      <c r="Q6" s="51">
        <v>986455813</v>
      </c>
      <c r="R6" s="28"/>
      <c r="S6" s="13" t="s">
        <v>2</v>
      </c>
      <c r="T6" s="17" t="s">
        <v>709</v>
      </c>
      <c r="U6" s="4"/>
      <c r="V6" s="17" t="s">
        <v>24</v>
      </c>
      <c r="W6" s="13" t="s">
        <v>1034</v>
      </c>
      <c r="X6" s="13" t="s">
        <v>1033</v>
      </c>
      <c r="Y6" s="5"/>
      <c r="Z6" s="4"/>
      <c r="AA6" s="4"/>
      <c r="AB6" s="3"/>
      <c r="AC6" s="3" t="str">
        <f ca="1">IFERROR(__xludf.DUMMYFUNCTION("HYPERLINK(
""https://wa.me/""&amp;REGEXREPLACE(Q6,""[^0-9]"","""")&amp;
""?text=""&amp;
ENCODEURL(
""Hola *""&amp;B6&amp;""*.
Te recordamos que la factura Nº *""&amp;J6&amp;""* por el plan """"""&amp;E6&amp;"""""" se encuentra disponible para pago y vence hoy.
Monto: *$""&amp;I6&amp;""*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*$""&amp;AD6&amp;""*
Valor total febrero (con IVA): *$""&amp;AE6&amp;""*
A partir de mañana el valor aumenta un 25"&amp;"%, correspondiente al valor de diciembre.
Simple Pyme""
),
""Enviar WhatsApp""
)"),"Enviar WhatsApp")</f>
        <v>Enviar WhatsApp</v>
      </c>
      <c r="AD6" s="3"/>
      <c r="AE6" s="3"/>
    </row>
    <row r="7" spans="1:31" ht="13.5">
      <c r="A7" s="24" t="s">
        <v>795</v>
      </c>
      <c r="B7" s="21" t="s">
        <v>1032</v>
      </c>
      <c r="C7" s="13" t="s">
        <v>9</v>
      </c>
      <c r="D7" s="13" t="s">
        <v>9</v>
      </c>
      <c r="E7" s="17" t="s">
        <v>8</v>
      </c>
      <c r="F7" s="8"/>
      <c r="G7" s="4"/>
      <c r="H7" s="14">
        <v>30000</v>
      </c>
      <c r="I7" s="14">
        <f>H7*1.19</f>
        <v>35700</v>
      </c>
      <c r="J7" s="13">
        <v>493</v>
      </c>
      <c r="K7" s="6"/>
      <c r="L7" s="4"/>
      <c r="M7" s="19" t="s">
        <v>1031</v>
      </c>
      <c r="N7" s="19" t="s">
        <v>1030</v>
      </c>
      <c r="O7" s="13" t="s">
        <v>1029</v>
      </c>
      <c r="P7" s="13" t="s">
        <v>1028</v>
      </c>
      <c r="Q7" s="51" t="s">
        <v>1027</v>
      </c>
      <c r="R7" s="28"/>
      <c r="S7" s="13" t="s">
        <v>2</v>
      </c>
      <c r="T7" s="13" t="s">
        <v>31</v>
      </c>
      <c r="U7" s="18"/>
      <c r="V7" s="17" t="s">
        <v>24</v>
      </c>
      <c r="W7" s="13" t="s">
        <v>1026</v>
      </c>
      <c r="X7" s="13" t="s">
        <v>1025</v>
      </c>
      <c r="Y7" s="5"/>
      <c r="Z7" s="4"/>
      <c r="AA7" s="4"/>
      <c r="AB7" s="3"/>
      <c r="AC7" s="11" t="str">
        <f ca="1">IFERROR(__xludf.DUMMYFUNCTION("HYPERLINK(
""https://wa.me/""&amp;REGEXREPLACE(Q7,""[^0-9]"","""")&amp;
""?text=""&amp;
ENCODEURL(
""Hola *""&amp;B7&amp;""*.
Te recordamos que la factura Nº *""&amp;J7&amp;""* por el plan """"""&amp;E7&amp;"""""" se encuentra disponible para pago y vence hoy.
Monto: *$""&amp;I7&amp;""*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7" s="3"/>
      <c r="AE7" s="3">
        <f>AD7*1.19</f>
        <v>0</v>
      </c>
    </row>
    <row r="8" spans="1:31" ht="13.5">
      <c r="A8" s="24" t="s">
        <v>795</v>
      </c>
      <c r="B8" s="21" t="s">
        <v>1024</v>
      </c>
      <c r="C8" s="13" t="s">
        <v>9</v>
      </c>
      <c r="D8" s="13" t="s">
        <v>9</v>
      </c>
      <c r="E8" s="17" t="s">
        <v>93</v>
      </c>
      <c r="F8" s="8"/>
      <c r="G8" s="4"/>
      <c r="H8" s="14">
        <v>50000</v>
      </c>
      <c r="I8" s="14">
        <f>H8*1.19</f>
        <v>59500</v>
      </c>
      <c r="J8" s="13">
        <v>495</v>
      </c>
      <c r="K8" s="14">
        <v>119000</v>
      </c>
      <c r="L8" s="4"/>
      <c r="M8" s="19" t="s">
        <v>1023</v>
      </c>
      <c r="N8" s="19" t="s">
        <v>1022</v>
      </c>
      <c r="O8" s="13" t="s">
        <v>1021</v>
      </c>
      <c r="P8" s="13" t="s">
        <v>1020</v>
      </c>
      <c r="Q8" s="13" t="s">
        <v>1019</v>
      </c>
      <c r="R8" s="28"/>
      <c r="S8" s="13" t="s">
        <v>2</v>
      </c>
      <c r="T8" s="13" t="s">
        <v>31</v>
      </c>
      <c r="U8" s="52"/>
      <c r="V8" s="17" t="s">
        <v>24</v>
      </c>
      <c r="W8" s="13" t="s">
        <v>1018</v>
      </c>
      <c r="X8" s="13" t="s">
        <v>1017</v>
      </c>
      <c r="Y8" s="5"/>
      <c r="Z8" s="4"/>
      <c r="AA8" s="4"/>
      <c r="AB8" s="3"/>
      <c r="AC8" s="11" t="str">
        <f ca="1">IFERROR(__xludf.DUMMYFUNCTION("HYPERLINK(
""https://wa.me/""&amp;REGEXREPLACE(Q8,""[^0-9]"","""")&amp;
""?text=""&amp;
ENCODEURL(
""Hola *""&amp;B8&amp;""*.
Te recordamos que la factura Nº *""&amp;J8&amp;""* por el plan """"""&amp;E8&amp;"""""" se encuentra disponible para pago y vence hoy.
Monto: *$""&amp;I8&amp;""*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*$""&amp;AD8&amp;""*
Valor total febrero (con IVA): *$""&amp;AE8&amp;""*
A partir de mañana el valor aumenta un 25"&amp;"%, correspondiente al valor de diciembre.
Simple Pyme""
),
""Enviar WhatsApp""
)"),"Enviar WhatsApp")</f>
        <v>Enviar WhatsApp</v>
      </c>
      <c r="AD8" s="3"/>
      <c r="AE8" s="3">
        <f>AD8*1.19</f>
        <v>0</v>
      </c>
    </row>
    <row r="9" spans="1:31" ht="13.5">
      <c r="A9" s="24" t="s">
        <v>795</v>
      </c>
      <c r="B9" s="21" t="s">
        <v>1016</v>
      </c>
      <c r="C9" s="4"/>
      <c r="D9" s="4"/>
      <c r="E9" s="17" t="s">
        <v>11</v>
      </c>
      <c r="F9" s="8"/>
      <c r="G9" s="4"/>
      <c r="H9" s="14" t="s">
        <v>457</v>
      </c>
      <c r="I9" s="14">
        <f>H9*1.19</f>
        <v>0</v>
      </c>
      <c r="J9" s="25" t="s">
        <v>103</v>
      </c>
      <c r="K9" s="6"/>
      <c r="L9" s="4"/>
      <c r="M9" s="19" t="s">
        <v>1015</v>
      </c>
      <c r="N9" s="19" t="s">
        <v>1014</v>
      </c>
      <c r="O9" s="13" t="s">
        <v>625</v>
      </c>
      <c r="P9" s="13" t="s">
        <v>624</v>
      </c>
      <c r="Q9" s="13" t="s">
        <v>623</v>
      </c>
      <c r="R9" s="80"/>
      <c r="S9" s="13" t="s">
        <v>2</v>
      </c>
      <c r="T9" s="17" t="s">
        <v>11</v>
      </c>
      <c r="U9" s="4"/>
      <c r="V9" s="17" t="s">
        <v>24</v>
      </c>
      <c r="W9" s="13" t="s">
        <v>622</v>
      </c>
      <c r="X9" s="13" t="s">
        <v>1013</v>
      </c>
      <c r="Y9" s="5"/>
      <c r="Z9" s="4"/>
      <c r="AA9" s="4"/>
      <c r="AB9" s="3"/>
      <c r="AC9" s="11" t="str">
        <f ca="1">IFERROR(__xludf.DUMMYFUNCTION("HYPERLINK(
""https://wa.me/""&amp;REGEXREPLACE(Q9,""[^0-9]"","""")&amp;
""?text=""&amp;
ENCODEURL(
""Hola *""&amp;B9&amp;""*.
Te recordamos que la factura Nº *""&amp;J9&amp;""* por el plan """"""&amp;E9&amp;"""""" se encuentra disponible para pago y vence hoy.
Monto: *$""&amp;I9&amp;""*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*$""&amp;AD9&amp;""*
Valor total febrero (con IVA): *$""&amp;AE9&amp;""*
A partir de mañana el valor aumenta un 25"&amp;"%, correspondiente al valor de diciembre.
Simple Pyme""
),
""Enviar WhatsApp""
)"),"Enviar WhatsApp")</f>
        <v>Enviar WhatsApp</v>
      </c>
      <c r="AD9" s="3"/>
      <c r="AE9" s="3"/>
    </row>
    <row r="10" spans="1:31" ht="13.5">
      <c r="A10" s="24" t="s">
        <v>795</v>
      </c>
      <c r="B10" s="21" t="s">
        <v>1012</v>
      </c>
      <c r="C10" s="4"/>
      <c r="D10" s="4"/>
      <c r="E10" s="17" t="s">
        <v>11</v>
      </c>
      <c r="F10" s="8"/>
      <c r="G10" s="4"/>
      <c r="H10" s="14" t="s">
        <v>457</v>
      </c>
      <c r="I10" s="14">
        <f>H10*1.19</f>
        <v>0</v>
      </c>
      <c r="J10" s="25" t="s">
        <v>103</v>
      </c>
      <c r="K10" s="6"/>
      <c r="L10" s="4"/>
      <c r="M10" s="19" t="s">
        <v>1011</v>
      </c>
      <c r="N10" s="19" t="s">
        <v>1010</v>
      </c>
      <c r="O10" s="13" t="s">
        <v>1009</v>
      </c>
      <c r="P10" s="13" t="s">
        <v>827</v>
      </c>
      <c r="Q10" s="13" t="s">
        <v>826</v>
      </c>
      <c r="R10" s="28"/>
      <c r="S10" s="13" t="s">
        <v>2</v>
      </c>
      <c r="T10" s="17" t="s">
        <v>11</v>
      </c>
      <c r="U10" s="4"/>
      <c r="V10" s="17" t="s">
        <v>24</v>
      </c>
      <c r="W10" s="13" t="s">
        <v>809</v>
      </c>
      <c r="X10" s="13" t="s">
        <v>824</v>
      </c>
      <c r="Y10" s="5"/>
      <c r="Z10" s="4"/>
      <c r="AA10" s="4"/>
      <c r="AB10" s="3"/>
      <c r="AC10" s="11" t="str">
        <f ca="1">IFERROR(__xludf.DUMMYFUNCTION("HYPERLINK(
""https://wa.me/""&amp;REGEXREPLACE(Q10,""[^0-9]"","""")&amp;
""?text=""&amp;
ENCODEURL(
""Hola *""&amp;B10&amp;""*.
Te recordamos que la factura Nº *""&amp;J10&amp;""* por el plan """"""&amp;E10&amp;"""""" se encuentra disponible para pago y vence hoy.
Monto: *$""&amp;I10&amp;""*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*$""&amp;AD10&amp;""*
Valor total febrero (con IVA): *$""&amp;AE10&amp;""*
A partir de mañana el valor aument"&amp;"a un 25%, correspondiente al valor de diciembre.
Simple Pyme""
),
""Enviar WhatsApp""
)"),"Enviar WhatsApp")</f>
        <v>Enviar WhatsApp</v>
      </c>
      <c r="AD10" s="3"/>
      <c r="AE10" s="3"/>
    </row>
    <row r="11" spans="1:31" ht="13.5">
      <c r="A11" s="24" t="s">
        <v>795</v>
      </c>
      <c r="B11" s="21" t="s">
        <v>1008</v>
      </c>
      <c r="C11" s="4"/>
      <c r="D11" s="4"/>
      <c r="E11" s="17" t="s">
        <v>11</v>
      </c>
      <c r="F11" s="8"/>
      <c r="G11" s="4"/>
      <c r="H11" s="14" t="s">
        <v>457</v>
      </c>
      <c r="I11" s="14">
        <f>H11*1.19</f>
        <v>0</v>
      </c>
      <c r="J11" s="25" t="s">
        <v>103</v>
      </c>
      <c r="K11" s="6"/>
      <c r="L11" s="4"/>
      <c r="M11" s="19" t="s">
        <v>1007</v>
      </c>
      <c r="N11" s="19" t="s">
        <v>1006</v>
      </c>
      <c r="O11" s="13" t="s">
        <v>1005</v>
      </c>
      <c r="P11" s="13" t="s">
        <v>1004</v>
      </c>
      <c r="Q11" s="13" t="s">
        <v>1003</v>
      </c>
      <c r="R11" s="28"/>
      <c r="S11" s="13" t="s">
        <v>2</v>
      </c>
      <c r="T11" s="17" t="s">
        <v>11</v>
      </c>
      <c r="U11" s="4"/>
      <c r="V11" s="17" t="s">
        <v>24</v>
      </c>
      <c r="W11" s="13" t="s">
        <v>1002</v>
      </c>
      <c r="X11" s="13" t="s">
        <v>1001</v>
      </c>
      <c r="Y11" s="5"/>
      <c r="Z11" s="4"/>
      <c r="AA11" s="4"/>
      <c r="AB11" s="3"/>
      <c r="AC11" s="11" t="str">
        <f ca="1">IFERROR(__xludf.DUMMYFUNCTION("HYPERLINK(
""https://wa.me/""&amp;REGEXREPLACE(Q11,""[^0-9]"","""")&amp;
""?text=""&amp;
ENCODEURL(
""Hola *""&amp;B11&amp;""*.
Te recordamos que la factura Nº *""&amp;J11&amp;""* por el plan """"""&amp;E11&amp;"""""" se encuentra disponible para pago y vence hoy.
Monto: *$""&amp;I11&amp;""*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*$""&amp;AD11&amp;""*
Valor total febrero (con IVA): *$""&amp;AE11&amp;""*
A partir de mañana el valor aument"&amp;"a un 25%, correspondiente al valor de diciembre.
Simple Pyme""
),
""Enviar WhatsApp""
)"),"Enviar WhatsApp")</f>
        <v>Enviar WhatsApp</v>
      </c>
      <c r="AD11" s="3"/>
      <c r="AE11" s="3"/>
    </row>
    <row r="12" spans="1:31" ht="13.5">
      <c r="A12" s="24" t="s">
        <v>795</v>
      </c>
      <c r="B12" s="21" t="s">
        <v>1000</v>
      </c>
      <c r="C12" s="13" t="s">
        <v>24</v>
      </c>
      <c r="D12" s="13"/>
      <c r="E12" s="17" t="s">
        <v>93</v>
      </c>
      <c r="F12" s="8"/>
      <c r="G12" s="13">
        <v>3</v>
      </c>
      <c r="H12" s="14">
        <v>70000</v>
      </c>
      <c r="I12" s="14">
        <f>H12*1.19</f>
        <v>83300</v>
      </c>
      <c r="J12" s="13">
        <v>494</v>
      </c>
      <c r="K12" s="6"/>
      <c r="L12" s="4"/>
      <c r="M12" s="19" t="s">
        <v>999</v>
      </c>
      <c r="N12" s="19" t="s">
        <v>998</v>
      </c>
      <c r="O12" s="13" t="s">
        <v>997</v>
      </c>
      <c r="P12" s="13" t="s">
        <v>996</v>
      </c>
      <c r="Q12" s="13" t="s">
        <v>995</v>
      </c>
      <c r="R12" s="28"/>
      <c r="S12" s="13" t="s">
        <v>2</v>
      </c>
      <c r="T12" s="13" t="s">
        <v>1</v>
      </c>
      <c r="U12" s="96"/>
      <c r="V12" s="17" t="s">
        <v>24</v>
      </c>
      <c r="W12" s="13" t="s">
        <v>994</v>
      </c>
      <c r="X12" s="13" t="s">
        <v>993</v>
      </c>
      <c r="Y12" s="5"/>
      <c r="Z12" s="4"/>
      <c r="AA12" s="4"/>
      <c r="AB12" s="3"/>
      <c r="AC12" s="11" t="str">
        <f ca="1">IFERROR(__xludf.DUMMYFUNCTION("HYPERLINK(
""https://wa.me/""&amp;REGEXREPLACE(Q12,""[^0-9]"","""")&amp;
""?text=""&amp;
ENCODEURL(
""Buenas tardes *""&amp;B12&amp;""*.
Te recordamos que tu plan """"""&amp;E12&amp;"""""" no incluye la declaración de renta. Te enviamos varios correos informando sobre este proceso."&amp;" Esta semana vencen las primeras declaraciones juradas, lo que generará multas
Valor: *$""&amp;AD12&amp;""* + IVA = *$""&amp;AE12&amp;""*
El pago puedes hacerlo vía transferencia en la siguiente *EN HASTA DOS CUOTAS* cuenta:
*CUENTA BANCARIA*
VOLLAIRE &amp; OLIVOS SIMPLE "&amp;"PYME LTDA
Banco BCI
Cuenta corriente
RUT 78.306.207-0
Número de cuenta: 70809538
MATIAS.OLIVOS@VSVCONSULTORES.COM
También puedes pagar con tarjeta de débito o crédito en el siguiente link:
https://www.flow.cl/btn.php?token=xe78c9acb73c3eff5e917d5c932a4a2"&amp;"f7f971abe
Simple Pyme""
),
""Enviar WhatsApp""
)"),"Enviar WhatsApp")</f>
        <v>Enviar WhatsApp</v>
      </c>
      <c r="AD12" s="26">
        <v>156250</v>
      </c>
      <c r="AE12" s="26">
        <v>185937.5</v>
      </c>
    </row>
    <row r="13" spans="1:31" ht="13.5">
      <c r="A13" s="61" t="s">
        <v>795</v>
      </c>
      <c r="B13" s="23" t="s">
        <v>992</v>
      </c>
      <c r="C13" s="13" t="s">
        <v>9</v>
      </c>
      <c r="D13" s="13" t="s">
        <v>9</v>
      </c>
      <c r="E13" s="13" t="s">
        <v>8</v>
      </c>
      <c r="F13" s="8"/>
      <c r="G13" s="4">
        <v>1</v>
      </c>
      <c r="H13" s="14">
        <v>40000</v>
      </c>
      <c r="I13" s="14">
        <f>H13*1.19</f>
        <v>47600</v>
      </c>
      <c r="J13" s="13">
        <v>497</v>
      </c>
      <c r="K13" s="6"/>
      <c r="L13" s="21"/>
      <c r="M13" s="19" t="s">
        <v>991</v>
      </c>
      <c r="N13" s="19" t="s">
        <v>990</v>
      </c>
      <c r="O13" s="13" t="s">
        <v>989</v>
      </c>
      <c r="P13" s="13" t="s">
        <v>988</v>
      </c>
      <c r="Q13" s="51" t="s">
        <v>987</v>
      </c>
      <c r="R13" s="28"/>
      <c r="S13" s="13" t="s">
        <v>2</v>
      </c>
      <c r="T13" s="13" t="s">
        <v>31</v>
      </c>
      <c r="U13" s="22"/>
      <c r="V13" s="13" t="s">
        <v>24</v>
      </c>
      <c r="W13" s="13" t="s">
        <v>986</v>
      </c>
      <c r="X13" s="13" t="s">
        <v>985</v>
      </c>
      <c r="Y13" s="4"/>
      <c r="Z13" s="4"/>
      <c r="AA13" s="4"/>
      <c r="AB13" s="3"/>
      <c r="AC13" s="11" t="str">
        <f ca="1">IFERROR(__xludf.DUMMYFUNCTION("HYPERLINK(
""https://wa.me/""&amp;REGEXREPLACE(Q13,""[^0-9]"","""")&amp;
""?text=""&amp;
ENCODEURL(
""Hola *""&amp;B13&amp;""*.
Te recordamos que la factura Nº *""&amp;J13&amp;""* por el plan """"""&amp;E13&amp;"""""" se encuentra disponible para pago y vence hoy.
Monto: *$""&amp;I13&amp;""*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3" s="3"/>
      <c r="AE13" s="3">
        <f>AD13*1.19</f>
        <v>0</v>
      </c>
    </row>
    <row r="14" spans="1:31" ht="13.5">
      <c r="A14" s="24" t="s">
        <v>795</v>
      </c>
      <c r="B14" s="23" t="s">
        <v>984</v>
      </c>
      <c r="C14" s="13" t="s">
        <v>9</v>
      </c>
      <c r="D14" s="13" t="s">
        <v>9</v>
      </c>
      <c r="E14" s="17" t="s">
        <v>709</v>
      </c>
      <c r="F14" s="8"/>
      <c r="G14" s="4"/>
      <c r="H14" s="14" t="s">
        <v>457</v>
      </c>
      <c r="I14" s="14">
        <f>H14*1.19</f>
        <v>0</v>
      </c>
      <c r="J14" s="25" t="s">
        <v>103</v>
      </c>
      <c r="K14" s="6"/>
      <c r="L14" s="13" t="s">
        <v>983</v>
      </c>
      <c r="M14" s="19" t="s">
        <v>982</v>
      </c>
      <c r="N14" s="19" t="s">
        <v>533</v>
      </c>
      <c r="O14" s="13" t="s">
        <v>532</v>
      </c>
      <c r="P14" s="13" t="s">
        <v>531</v>
      </c>
      <c r="Q14" s="51">
        <v>955255801</v>
      </c>
      <c r="R14" s="117"/>
      <c r="S14" s="13" t="s">
        <v>2</v>
      </c>
      <c r="T14" s="17" t="s">
        <v>709</v>
      </c>
      <c r="U14" s="4"/>
      <c r="V14" s="17" t="s">
        <v>24</v>
      </c>
      <c r="W14" s="13" t="s">
        <v>529</v>
      </c>
      <c r="X14" s="13" t="s">
        <v>528</v>
      </c>
      <c r="Y14" s="5"/>
      <c r="Z14" s="4"/>
      <c r="AA14" s="4"/>
      <c r="AB14" s="3"/>
      <c r="AC14" s="3" t="str">
        <f ca="1">IFERROR(__xludf.DUMMYFUNCTION("HYPERLINK(
""https://wa.me/""&amp;REGEXREPLACE(Q14,""[^0-9]"","""")&amp;
""?text=""&amp;
ENCODEURL(
""Hola *""&amp;B14&amp;""*.
Te recordamos que la factura Nº *""&amp;J14&amp;""* por el plan """"""&amp;E14&amp;"""""" se encuentra disponible para pago y vence hoy.
Monto: *$""&amp;I14&amp;""*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*$""&amp;AD14&amp;""*
Valor total febrero (con IVA): *$""&amp;AE14&amp;""*
A partir de mañana el valor aument"&amp;"a un 25%, correspondiente al valor de diciembre.
Simple Pyme""
),
""Enviar WhatsApp""
)"),"Enviar WhatsApp")</f>
        <v>Enviar WhatsApp</v>
      </c>
      <c r="AD14" s="3"/>
      <c r="AE14" s="3"/>
    </row>
    <row r="15" spans="1:31" ht="15.75" customHeight="1">
      <c r="A15" s="24" t="s">
        <v>795</v>
      </c>
      <c r="B15" s="116" t="s">
        <v>981</v>
      </c>
      <c r="C15" s="13" t="s">
        <v>9</v>
      </c>
      <c r="D15" s="13" t="s">
        <v>9</v>
      </c>
      <c r="E15" s="17" t="s">
        <v>93</v>
      </c>
      <c r="F15" s="8"/>
      <c r="G15" s="13">
        <v>1</v>
      </c>
      <c r="H15" s="14">
        <v>50000</v>
      </c>
      <c r="I15" s="14">
        <f>H15*1.19</f>
        <v>59500</v>
      </c>
      <c r="J15" s="13">
        <v>498</v>
      </c>
      <c r="K15" s="6"/>
      <c r="L15" s="13" t="s">
        <v>980</v>
      </c>
      <c r="M15" s="19" t="s">
        <v>979</v>
      </c>
      <c r="N15" s="19" t="s">
        <v>978</v>
      </c>
      <c r="O15" s="13" t="s">
        <v>977</v>
      </c>
      <c r="P15" s="13" t="s">
        <v>976</v>
      </c>
      <c r="Q15" s="13" t="s">
        <v>975</v>
      </c>
      <c r="R15" s="28"/>
      <c r="S15" s="13" t="s">
        <v>2</v>
      </c>
      <c r="T15" s="13" t="s">
        <v>31</v>
      </c>
      <c r="U15" s="52"/>
      <c r="V15" s="17" t="s">
        <v>24</v>
      </c>
      <c r="W15" s="13" t="s">
        <v>974</v>
      </c>
      <c r="X15" s="13" t="s">
        <v>973</v>
      </c>
      <c r="Y15" s="5"/>
      <c r="Z15" s="4"/>
      <c r="AA15" s="4"/>
      <c r="AB15" s="3"/>
      <c r="AC15" s="11" t="str">
        <f ca="1">IFERROR(__xludf.DUMMYFUNCTION("HYPERLINK(
""https://wa.me/""&amp;REGEXREPLACE(Q15,""[^0-9]"","""")&amp;
""?text=""&amp;
ENCODEURL(
""Hola *""&amp;B15&amp;""*.
Te recordamos que la factura Nº *""&amp;J15&amp;""* por el plan """"""&amp;E15&amp;"""""" se encuentra disponible para pago y vence hoy.
Monto: *$""&amp;I15&amp;""*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5" s="3"/>
      <c r="AE15" s="3">
        <f>AD15*1.19</f>
        <v>0</v>
      </c>
    </row>
    <row r="16" spans="1:31" ht="23.25">
      <c r="A16" s="24" t="s">
        <v>795</v>
      </c>
      <c r="B16" s="23" t="s">
        <v>972</v>
      </c>
      <c r="C16" s="13" t="s">
        <v>9</v>
      </c>
      <c r="D16" s="13" t="s">
        <v>9</v>
      </c>
      <c r="E16" s="17" t="s">
        <v>8</v>
      </c>
      <c r="F16" s="8"/>
      <c r="G16" s="4"/>
      <c r="H16" s="14">
        <v>30000</v>
      </c>
      <c r="I16" s="14">
        <f>H16*1.19</f>
        <v>35700</v>
      </c>
      <c r="J16" s="13">
        <v>499</v>
      </c>
      <c r="K16" s="14">
        <v>178500</v>
      </c>
      <c r="L16" s="4"/>
      <c r="M16" s="19" t="s">
        <v>971</v>
      </c>
      <c r="N16" s="19" t="s">
        <v>970</v>
      </c>
      <c r="O16" s="13" t="s">
        <v>969</v>
      </c>
      <c r="P16" s="13" t="s">
        <v>968</v>
      </c>
      <c r="Q16" s="51" t="s">
        <v>967</v>
      </c>
      <c r="R16" s="28"/>
      <c r="S16" s="13" t="s">
        <v>2</v>
      </c>
      <c r="T16" s="13" t="s">
        <v>31</v>
      </c>
      <c r="U16" s="52"/>
      <c r="V16" s="17" t="s">
        <v>24</v>
      </c>
      <c r="W16" s="13" t="s">
        <v>966</v>
      </c>
      <c r="X16" s="13" t="s">
        <v>965</v>
      </c>
      <c r="Y16" s="5"/>
      <c r="Z16" s="4"/>
      <c r="AA16" s="4"/>
      <c r="AB16" s="3"/>
      <c r="AC16" s="11" t="str">
        <f ca="1">IFERROR(__xludf.DUMMYFUNCTION("HYPERLINK(
""https://wa.me/""&amp;REGEXREPLACE(Q16,""[^0-9]"","""")&amp;
""?text=""&amp;
ENCODEURL(
""Hola *""&amp;B16&amp;""*.
Te recordamos que la factura Nº *""&amp;J16&amp;""* por el plan """"""&amp;E16&amp;"""""" se encuentra disponible para pago y vence hoy.
Monto: *$""&amp;I16&amp;""*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6" s="3"/>
      <c r="AE16" s="3">
        <f>AD16*1.19</f>
        <v>0</v>
      </c>
    </row>
    <row r="17" spans="1:31" ht="13.5">
      <c r="A17" s="24" t="s">
        <v>795</v>
      </c>
      <c r="B17" s="23" t="s">
        <v>964</v>
      </c>
      <c r="C17" s="13" t="s">
        <v>9</v>
      </c>
      <c r="D17" s="13" t="s">
        <v>9</v>
      </c>
      <c r="E17" s="17" t="s">
        <v>8</v>
      </c>
      <c r="F17" s="8"/>
      <c r="G17" s="4"/>
      <c r="H17" s="14">
        <v>30000</v>
      </c>
      <c r="I17" s="14">
        <f>H17*1.19</f>
        <v>35700</v>
      </c>
      <c r="J17" s="13">
        <v>500</v>
      </c>
      <c r="K17" s="6"/>
      <c r="L17" s="4"/>
      <c r="M17" s="19" t="s">
        <v>963</v>
      </c>
      <c r="N17" s="19" t="s">
        <v>962</v>
      </c>
      <c r="O17" s="13" t="s">
        <v>961</v>
      </c>
      <c r="P17" s="13" t="s">
        <v>960</v>
      </c>
      <c r="Q17" s="51" t="s">
        <v>959</v>
      </c>
      <c r="R17" s="28"/>
      <c r="S17" s="13" t="s">
        <v>2</v>
      </c>
      <c r="T17" s="13" t="s">
        <v>31</v>
      </c>
      <c r="U17" s="52"/>
      <c r="V17" s="17" t="s">
        <v>24</v>
      </c>
      <c r="W17" s="13" t="s">
        <v>958</v>
      </c>
      <c r="X17" s="13" t="s">
        <v>957</v>
      </c>
      <c r="Y17" s="5"/>
      <c r="Z17" s="4"/>
      <c r="AA17" s="4"/>
      <c r="AB17" s="3"/>
      <c r="AC17" s="11" t="str">
        <f ca="1">IFERROR(__xludf.DUMMYFUNCTION("HYPERLINK(
""https://wa.me/""&amp;REGEXREPLACE(Q17,""[^0-9]"","""")&amp;
""?text=""&amp;
ENCODEURL(
""Hola *""&amp;B17&amp;""*.
Te recordamos que la factura Nº *""&amp;J17&amp;""* por el plan """"""&amp;E17&amp;"""""" se encuentra disponible para pago y vence hoy.
Monto: *$""&amp;I17&amp;""*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*$""&amp;AD17&amp;""*
Valor total febrero (con IVA): *$""&amp;AE17&amp;""*
A partir de mañana el valor aument"&amp;"a un 25%, correspondiente al valor de diciembre.
Simple Pyme""
),
""Enviar WhatsApp""
)"),"Enviar WhatsApp")</f>
        <v>Enviar WhatsApp</v>
      </c>
      <c r="AD17" s="3"/>
      <c r="AE17" s="3"/>
    </row>
    <row r="18" spans="1:31" ht="13.5">
      <c r="A18" s="61" t="s">
        <v>795</v>
      </c>
      <c r="B18" s="23" t="s">
        <v>956</v>
      </c>
      <c r="C18" s="13" t="s">
        <v>9</v>
      </c>
      <c r="D18" s="13" t="s">
        <v>9</v>
      </c>
      <c r="E18" s="13" t="s">
        <v>93</v>
      </c>
      <c r="F18" s="8"/>
      <c r="G18" s="13">
        <v>2</v>
      </c>
      <c r="H18" s="81">
        <v>50000</v>
      </c>
      <c r="I18" s="14">
        <f>H18*1.19</f>
        <v>59500</v>
      </c>
      <c r="J18" s="13">
        <v>501</v>
      </c>
      <c r="K18" s="6">
        <v>119000</v>
      </c>
      <c r="L18" s="13" t="s">
        <v>955</v>
      </c>
      <c r="M18" s="19" t="s">
        <v>954</v>
      </c>
      <c r="N18" s="19" t="s">
        <v>949</v>
      </c>
      <c r="O18" s="13" t="s">
        <v>953</v>
      </c>
      <c r="P18" s="13" t="s">
        <v>952</v>
      </c>
      <c r="Q18" s="13" t="s">
        <v>951</v>
      </c>
      <c r="R18" s="28"/>
      <c r="S18" s="13" t="s">
        <v>2</v>
      </c>
      <c r="T18" s="13" t="s">
        <v>1</v>
      </c>
      <c r="U18" s="22"/>
      <c r="V18" s="13" t="s">
        <v>9</v>
      </c>
      <c r="W18" s="13" t="s">
        <v>950</v>
      </c>
      <c r="X18" s="19" t="s">
        <v>949</v>
      </c>
      <c r="Y18" s="4"/>
      <c r="Z18" s="4"/>
      <c r="AA18" s="4"/>
      <c r="AB18" s="3"/>
      <c r="AC18" s="11" t="str">
        <f ca="1">IFERROR(__xludf.DUMMYFUNCTION("HYPERLINK(
""https://wa.me/""&amp;REGEXREPLACE(Q18,""[^0-9]"","""")&amp;
""?text=""&amp;
ENCODEURL(
""Hola *""&amp;B18&amp;""*.
Te recordamos que la factura Nº *""&amp;J18&amp;""* por el plan """"""&amp;E18&amp;"""""" se encuentra disponible para pago y vence hoy.
Monto: *$""&amp;I18&amp;""*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8" s="3"/>
      <c r="AE18" s="3">
        <f>AD18*1.19</f>
        <v>0</v>
      </c>
    </row>
    <row r="19" spans="1:31" ht="13.5">
      <c r="A19" s="41" t="s">
        <v>795</v>
      </c>
      <c r="B19" s="115" t="s">
        <v>948</v>
      </c>
      <c r="C19" s="13" t="s">
        <v>9</v>
      </c>
      <c r="D19" s="13" t="s">
        <v>9</v>
      </c>
      <c r="E19" s="35" t="s">
        <v>8</v>
      </c>
      <c r="F19" s="47"/>
      <c r="G19" s="34"/>
      <c r="H19" s="27">
        <v>30000</v>
      </c>
      <c r="I19" s="27">
        <f>H19*1.19</f>
        <v>35700</v>
      </c>
      <c r="J19" s="35"/>
      <c r="K19" s="37"/>
      <c r="L19" s="34"/>
      <c r="M19" s="46" t="s">
        <v>947</v>
      </c>
      <c r="N19" s="46" t="s">
        <v>946</v>
      </c>
      <c r="O19" s="35" t="s">
        <v>945</v>
      </c>
      <c r="P19" s="35" t="s">
        <v>944</v>
      </c>
      <c r="Q19" s="35" t="s">
        <v>943</v>
      </c>
      <c r="R19" s="80"/>
      <c r="S19" s="13" t="s">
        <v>112</v>
      </c>
      <c r="T19" s="35" t="s">
        <v>97</v>
      </c>
      <c r="U19" s="36"/>
      <c r="V19" s="35" t="s">
        <v>24</v>
      </c>
      <c r="W19" s="35" t="s">
        <v>942</v>
      </c>
      <c r="X19" s="35" t="s">
        <v>941</v>
      </c>
      <c r="Y19" s="34"/>
      <c r="Z19" s="34"/>
      <c r="AA19" s="34"/>
      <c r="AB19" s="33"/>
      <c r="AC19" s="11" t="str">
        <f ca="1">IFERROR(__xludf.DUMMYFUNCTION("HYPERLINK(
""https://wa.me/""&amp;REGEXREPLACE(Q19,""[^0-9]"","""")&amp;
""?text=""&amp;
ENCODEURL(
""Buenas tardes *""&amp;B19&amp;""*.
Te recordamos que tu plan """"""&amp;E19&amp;"""""" no incluye la declaración de renta. Te enviamos varios correos informando sobre este proceso."&amp;" Esta semana vencen las primeras declaraciones juradas, lo que generará multas
Valor: *$""&amp;AD19&amp;""* + IVA = *$""&amp;AE19&amp;""*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19" s="43">
        <v>125000</v>
      </c>
      <c r="AE19" s="26">
        <f>AD19*1.19</f>
        <v>148750</v>
      </c>
    </row>
    <row r="20" spans="1:31" ht="13.5">
      <c r="A20" s="24" t="s">
        <v>795</v>
      </c>
      <c r="B20" s="23" t="s">
        <v>940</v>
      </c>
      <c r="C20" s="13" t="s">
        <v>24</v>
      </c>
      <c r="D20" s="13"/>
      <c r="E20" s="17" t="s">
        <v>93</v>
      </c>
      <c r="F20" s="8"/>
      <c r="G20" s="4"/>
      <c r="H20" s="14">
        <v>50000</v>
      </c>
      <c r="I20" s="14">
        <f>H20*1.19</f>
        <v>59500</v>
      </c>
      <c r="J20" s="13">
        <v>504</v>
      </c>
      <c r="K20" s="6"/>
      <c r="L20" s="13"/>
      <c r="M20" s="19" t="s">
        <v>939</v>
      </c>
      <c r="N20" s="19" t="s">
        <v>938</v>
      </c>
      <c r="O20" s="13" t="s">
        <v>937</v>
      </c>
      <c r="P20" s="13" t="s">
        <v>936</v>
      </c>
      <c r="Q20" s="13" t="s">
        <v>935</v>
      </c>
      <c r="R20" s="28"/>
      <c r="S20" s="13" t="s">
        <v>2</v>
      </c>
      <c r="T20" s="13" t="s">
        <v>1</v>
      </c>
      <c r="U20" s="22"/>
      <c r="V20" s="17" t="s">
        <v>24</v>
      </c>
      <c r="W20" s="13" t="s">
        <v>934</v>
      </c>
      <c r="X20" s="13" t="s">
        <v>933</v>
      </c>
      <c r="Y20" s="5"/>
      <c r="Z20" s="4"/>
      <c r="AA20" s="4"/>
      <c r="AB20" s="3"/>
      <c r="AC20" s="11" t="str">
        <f ca="1">IFERROR(__xludf.DUMMYFUNCTION("HYPERLINK(
""https://wa.me/""&amp;REGEXREPLACE(Q20,""[^0-9]"","""")&amp;
""?text=""&amp;
ENCODEURL(
""Buenas tardes *""&amp;B20&amp;""*.
Te recordamos que tu plan """"""&amp;E20&amp;"""""" no incluye la declaración de renta. Te enviamos varios correos informando sobre este proceso."&amp;" Esta semana vencen las primeras declaraciones juradas, lo que generará multas
Valor: *$""&amp;AD20&amp;""* + IVA = *$""&amp;AE20&amp;""*
El pago puedes hacerlo vía transferencia en la siguiente *EN HASTA DOS CUOTAS* cuenta:
*CUENTA BANCARIA*
VOLLAIRE &amp; OLIVOS SIMPLE "&amp;"PYME LTDA
Banco BCI
Cuenta corriente
RUT 78.306.207-0
Número de cuenta: 70809538
MATIAS.OLIVOS@VSVCONSULTORES.COM
También puedes pagar con tarjeta de débito o crédito en el siguiente link:
https://www.flow.cl/btn.php?token=xe78c9acb73c3eff5e917d5c932a4a2"&amp;"f7f971abe
Simple Pyme""
),
""Enviar WhatsApp""
)"),"Enviar WhatsApp")</f>
        <v>Enviar WhatsApp</v>
      </c>
      <c r="AD20" s="26">
        <v>156250</v>
      </c>
      <c r="AE20" s="26">
        <v>185937.5</v>
      </c>
    </row>
    <row r="21" spans="1:31" ht="13.5">
      <c r="A21" s="24" t="s">
        <v>795</v>
      </c>
      <c r="B21" s="21" t="s">
        <v>932</v>
      </c>
      <c r="C21" s="13" t="s">
        <v>9</v>
      </c>
      <c r="D21" s="13" t="s">
        <v>9</v>
      </c>
      <c r="E21" s="17" t="s">
        <v>8</v>
      </c>
      <c r="F21" s="8"/>
      <c r="G21" s="4"/>
      <c r="H21" s="14">
        <v>30000</v>
      </c>
      <c r="I21" s="14">
        <f>H21*1.19</f>
        <v>35700</v>
      </c>
      <c r="J21" s="13">
        <v>506</v>
      </c>
      <c r="K21" s="6"/>
      <c r="L21" s="4" t="s">
        <v>931</v>
      </c>
      <c r="M21" s="19" t="s">
        <v>930</v>
      </c>
      <c r="N21" s="19" t="s">
        <v>929</v>
      </c>
      <c r="O21" s="13" t="s">
        <v>928</v>
      </c>
      <c r="P21" s="13" t="s">
        <v>927</v>
      </c>
      <c r="Q21" s="13" t="s">
        <v>926</v>
      </c>
      <c r="R21" s="28"/>
      <c r="S21" s="13" t="s">
        <v>2</v>
      </c>
      <c r="T21" s="13" t="s">
        <v>31</v>
      </c>
      <c r="U21" s="52"/>
      <c r="V21" s="17" t="s">
        <v>24</v>
      </c>
      <c r="W21" s="13" t="s">
        <v>925</v>
      </c>
      <c r="X21" s="13" t="s">
        <v>924</v>
      </c>
      <c r="Y21" s="5"/>
      <c r="Z21" s="4"/>
      <c r="AA21" s="4"/>
      <c r="AB21" s="3"/>
      <c r="AC21" s="11" t="str">
        <f ca="1">IFERROR(__xludf.DUMMYFUNCTION("HYPERLINK(
""https://wa.me/""&amp;REGEXREPLACE(Q21,""[^0-9]"","""")&amp;
""?text=""&amp;
ENCODEURL(
""Hola *""&amp;B21&amp;""*.
Te recordamos que la factura Nº *""&amp;J21&amp;""* por el plan """"""&amp;E21&amp;"""""" se encuentra disponible para pago y vence hoy.
Monto: *$""&amp;I21&amp;""*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*$""&amp;AD21&amp;""*
Valor total febrero (con IVA): *$""&amp;AE21&amp;""*
A partir de mañana el valor aument"&amp;"a un 25%, correspondiente al valor de diciembre.
Simple Pyme""
),
""Enviar WhatsApp""
)"),"Enviar WhatsApp")</f>
        <v>Enviar WhatsApp</v>
      </c>
      <c r="AD21" s="3"/>
      <c r="AE21" s="3"/>
    </row>
    <row r="22" spans="1:31" ht="13.5">
      <c r="A22" s="24" t="s">
        <v>795</v>
      </c>
      <c r="B22" s="21" t="s">
        <v>923</v>
      </c>
      <c r="C22" s="13" t="s">
        <v>9</v>
      </c>
      <c r="D22" s="13" t="s">
        <v>9</v>
      </c>
      <c r="E22" s="17" t="s">
        <v>8</v>
      </c>
      <c r="F22" s="8"/>
      <c r="G22" s="4"/>
      <c r="H22" s="14">
        <v>25210</v>
      </c>
      <c r="I22" s="14">
        <f>H22*1.19</f>
        <v>29999.899999999998</v>
      </c>
      <c r="J22" s="13">
        <v>508</v>
      </c>
      <c r="K22" s="6">
        <v>80000</v>
      </c>
      <c r="L22" s="4"/>
      <c r="M22" s="19" t="s">
        <v>922</v>
      </c>
      <c r="N22" s="19" t="s">
        <v>921</v>
      </c>
      <c r="O22" s="13" t="s">
        <v>920</v>
      </c>
      <c r="P22" s="13" t="s">
        <v>919</v>
      </c>
      <c r="Q22" s="13" t="s">
        <v>918</v>
      </c>
      <c r="R22" s="80"/>
      <c r="S22" s="17" t="s">
        <v>112</v>
      </c>
      <c r="T22" s="13" t="s">
        <v>31</v>
      </c>
      <c r="U22" s="52"/>
      <c r="V22" s="17" t="s">
        <v>9</v>
      </c>
      <c r="W22" s="13" t="s">
        <v>917</v>
      </c>
      <c r="X22" s="13" t="s">
        <v>44</v>
      </c>
      <c r="Y22" s="5"/>
      <c r="Z22" s="4"/>
      <c r="AA22" s="4"/>
      <c r="AB22" s="3"/>
      <c r="AC22" s="11" t="str">
        <f ca="1">IFERROR(__xludf.DUMMYFUNCTION("HYPERLINK(
""https://wa.me/""&amp;REGEXREPLACE(Q22,""[^0-9]"","""")&amp;
""?text=""&amp;
ENCODEURL(
""Hola *""&amp;B22&amp;""*.
Te recordamos que la factura Nº *""&amp;J22&amp;""* por el plan """"""&amp;E22&amp;"""""" se encuentra disponible para pago y vence hoy.
Monto: *$""&amp;I22&amp;""*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22" s="3"/>
      <c r="AE22" s="3">
        <f>AD22*1.19</f>
        <v>0</v>
      </c>
    </row>
    <row r="23" spans="1:31" ht="13.5">
      <c r="A23" s="24" t="s">
        <v>795</v>
      </c>
      <c r="B23" s="21" t="s">
        <v>916</v>
      </c>
      <c r="C23" s="13" t="s">
        <v>9</v>
      </c>
      <c r="D23" s="13" t="s">
        <v>9</v>
      </c>
      <c r="E23" s="17" t="s">
        <v>47</v>
      </c>
      <c r="F23" s="25">
        <v>4</v>
      </c>
      <c r="G23" s="13">
        <v>16</v>
      </c>
      <c r="H23" s="14">
        <v>120000</v>
      </c>
      <c r="I23" s="14">
        <f>H23*1.19</f>
        <v>142800</v>
      </c>
      <c r="J23" s="13">
        <v>510</v>
      </c>
      <c r="K23" s="6"/>
      <c r="L23" s="13"/>
      <c r="M23" s="19" t="s">
        <v>915</v>
      </c>
      <c r="N23" s="19" t="s">
        <v>914</v>
      </c>
      <c r="O23" s="13" t="s">
        <v>913</v>
      </c>
      <c r="P23" s="13" t="s">
        <v>912</v>
      </c>
      <c r="Q23" s="13" t="s">
        <v>911</v>
      </c>
      <c r="R23" s="28"/>
      <c r="S23" s="13" t="s">
        <v>2</v>
      </c>
      <c r="T23" s="13" t="s">
        <v>31</v>
      </c>
      <c r="U23" s="22"/>
      <c r="V23" s="17" t="s">
        <v>9</v>
      </c>
      <c r="W23" s="13" t="s">
        <v>910</v>
      </c>
      <c r="X23" s="13" t="s">
        <v>909</v>
      </c>
      <c r="Y23" s="5"/>
      <c r="Z23" s="8"/>
      <c r="AA23" s="8"/>
      <c r="AB23" s="9"/>
      <c r="AC23" s="11" t="str">
        <f ca="1">IFERROR(__xludf.DUMMYFUNCTION("HYPERLINK(
""https://wa.me/""&amp;REGEXREPLACE(Q23,""[^0-9]"","""")&amp;
""?text=""&amp;
ENCODEURL(
""Hola *""&amp;B23&amp;""*.
Te recordamos que la factura Nº *""&amp;J23&amp;""* por el plan """"""&amp;E23&amp;"""""" se encuentra disponible para pago y vence hoy.
Monto: *$""&amp;I23&amp;""*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*$""&amp;AD23&amp;""*
Valor total febrero (con IVA): *$""&amp;AE23&amp;""*
A partir de mañana el valor aument"&amp;"a un 25%, correspondiente al valor de diciembre.
Simple Pyme""
),
""Enviar WhatsApp""
)"),"Enviar WhatsApp")</f>
        <v>Enviar WhatsApp</v>
      </c>
      <c r="AD23" s="3"/>
      <c r="AE23" s="3"/>
    </row>
    <row r="24" spans="1:31" ht="13.5">
      <c r="A24" s="24" t="s">
        <v>795</v>
      </c>
      <c r="B24" s="21" t="s">
        <v>908</v>
      </c>
      <c r="C24" s="13" t="s">
        <v>9</v>
      </c>
      <c r="D24" s="13" t="s">
        <v>9</v>
      </c>
      <c r="E24" s="17" t="s">
        <v>47</v>
      </c>
      <c r="F24" s="8"/>
      <c r="G24" s="4"/>
      <c r="H24" s="14">
        <v>60504</v>
      </c>
      <c r="I24" s="14">
        <f>H24*1.19</f>
        <v>71999.759999999995</v>
      </c>
      <c r="J24" s="13">
        <v>512</v>
      </c>
      <c r="K24" s="6">
        <v>59500</v>
      </c>
      <c r="L24" s="4"/>
      <c r="M24" s="19" t="s">
        <v>907</v>
      </c>
      <c r="N24" s="19" t="s">
        <v>906</v>
      </c>
      <c r="O24" s="13" t="s">
        <v>905</v>
      </c>
      <c r="P24" s="13" t="s">
        <v>904</v>
      </c>
      <c r="Q24" s="54" t="s">
        <v>903</v>
      </c>
      <c r="R24" s="28"/>
      <c r="S24" s="13" t="s">
        <v>2</v>
      </c>
      <c r="T24" s="13" t="s">
        <v>31</v>
      </c>
      <c r="U24" s="78"/>
      <c r="V24" s="17" t="s">
        <v>24</v>
      </c>
      <c r="W24" s="13" t="s">
        <v>902</v>
      </c>
      <c r="X24" s="13" t="s">
        <v>901</v>
      </c>
      <c r="Y24" s="5"/>
      <c r="Z24" s="4"/>
      <c r="AA24" s="4"/>
      <c r="AB24" s="3"/>
      <c r="AC24" s="11" t="str">
        <f ca="1">IFERROR(__xludf.DUMMYFUNCTION("HYPERLINK(
""https://wa.me/""&amp;REGEXREPLACE(Q24,""[^0-9]"","""")&amp;
""?text=""&amp;
ENCODEURL(
""Hola *""&amp;B24&amp;""*.
Te recordamos que la factura Nº *""&amp;J24&amp;""* por el plan """"""&amp;E24&amp;"""""" se encuentra disponible para pago y vence hoy.
Monto: *$""&amp;I24&amp;""*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*$""&amp;AD24&amp;""*
Valor total febrero (con IVA): *$""&amp;AE24&amp;""*
A partir de mañana el valor aument"&amp;"a un 25%, correspondiente al valor de diciembre.
Simple Pyme""
),
""Enviar WhatsApp""
)"),"Enviar WhatsApp")</f>
        <v>Enviar WhatsApp</v>
      </c>
      <c r="AD24" s="3"/>
      <c r="AE24" s="3"/>
    </row>
    <row r="25" spans="1:31" ht="13.5">
      <c r="A25" s="24" t="s">
        <v>795</v>
      </c>
      <c r="B25" s="21" t="s">
        <v>900</v>
      </c>
      <c r="C25" s="13" t="s">
        <v>9</v>
      </c>
      <c r="D25" s="13" t="s">
        <v>9</v>
      </c>
      <c r="E25" s="17" t="s">
        <v>23</v>
      </c>
      <c r="F25" s="8"/>
      <c r="G25" s="4"/>
      <c r="H25" s="81">
        <v>10000</v>
      </c>
      <c r="I25" s="14">
        <f>H25*1.19</f>
        <v>11900</v>
      </c>
      <c r="J25" s="13">
        <v>516</v>
      </c>
      <c r="K25" s="6"/>
      <c r="L25" s="4"/>
      <c r="M25" s="19" t="s">
        <v>899</v>
      </c>
      <c r="N25" s="19" t="s">
        <v>898</v>
      </c>
      <c r="O25" s="13" t="s">
        <v>897</v>
      </c>
      <c r="P25" s="13" t="s">
        <v>896</v>
      </c>
      <c r="Q25" s="54" t="s">
        <v>895</v>
      </c>
      <c r="R25" s="28"/>
      <c r="S25" s="13" t="s">
        <v>2</v>
      </c>
      <c r="T25" s="13" t="s">
        <v>31</v>
      </c>
      <c r="U25" s="62"/>
      <c r="V25" s="17" t="s">
        <v>24</v>
      </c>
      <c r="W25" s="13" t="s">
        <v>894</v>
      </c>
      <c r="X25" s="13" t="s">
        <v>893</v>
      </c>
      <c r="Y25" s="5"/>
      <c r="Z25" s="4"/>
      <c r="AA25" s="4"/>
      <c r="AB25" s="3"/>
      <c r="AC25" s="11" t="str">
        <f ca="1">IFERROR(__xludf.DUMMYFUNCTION("HYPERLINK(
""https://wa.me/""&amp;REGEXREPLACE(Q25,""[^0-9]"","""")&amp;
""?text=""&amp;
ENCODEURL(
""Buenas tardes *""&amp;B25&amp;""*.
Te recordamos que tu plan """"""&amp;E25&amp;"""""" no incluye la declaración de renta. Te enviamos varios correos informando sobre este proceso."&amp;" Esta semana vencen las primeras declaraciones juradas, lo que generará multas
Valor: *$""&amp;AD25&amp;""* + IVA = *$""&amp;AE25&amp;""*
El pago puedes hacerlo vía transferencia en la siguiente cuenta:
*CUENTA BANCARIA*
VOLLAIRE &amp; OLIVOS SIMPLE PYME LTDA
Banco BCI
Cu"&amp;"enta corriente
RUT 78.306.207-0
Número de cuenta: 70809538
MATIAS.OLIVOS@VSVCONSULTORES.COM
También puedes pagar con tarjeta de débito o crédito en el siguiente link:
https://www.flow.cl/btn.php?token=xe78c9acb73c3eff5e917d5c932a4a2f7f971abe
Simple Pym"&amp;"e""
),
""Enviar WhatsApp""
)"),"Enviar WhatsApp")</f>
        <v>Enviar WhatsApp</v>
      </c>
      <c r="AD25" s="26">
        <v>78125</v>
      </c>
      <c r="AE25" s="26">
        <f>AD25*1.19</f>
        <v>92968.75</v>
      </c>
    </row>
    <row r="26" spans="1:31" ht="13.5">
      <c r="A26" s="61" t="s">
        <v>795</v>
      </c>
      <c r="B26" s="21" t="s">
        <v>892</v>
      </c>
      <c r="C26" s="13" t="s">
        <v>24</v>
      </c>
      <c r="D26" s="13"/>
      <c r="E26" s="13" t="s">
        <v>93</v>
      </c>
      <c r="F26" s="25">
        <v>1</v>
      </c>
      <c r="G26" s="13">
        <v>3</v>
      </c>
      <c r="H26" s="14">
        <v>60000</v>
      </c>
      <c r="I26" s="14">
        <f>H26*1.19</f>
        <v>71400</v>
      </c>
      <c r="J26" s="13">
        <v>514</v>
      </c>
      <c r="K26" s="6"/>
      <c r="L26" s="21"/>
      <c r="M26" s="19" t="s">
        <v>891</v>
      </c>
      <c r="N26" s="19" t="s">
        <v>890</v>
      </c>
      <c r="O26" s="13" t="s">
        <v>889</v>
      </c>
      <c r="P26" s="13" t="s">
        <v>888</v>
      </c>
      <c r="Q26" s="13" t="s">
        <v>887</v>
      </c>
      <c r="R26" s="28"/>
      <c r="S26" s="13" t="s">
        <v>2</v>
      </c>
      <c r="T26" s="13" t="s">
        <v>31</v>
      </c>
      <c r="U26" s="52"/>
      <c r="V26" s="13" t="s">
        <v>24</v>
      </c>
      <c r="W26" s="13" t="s">
        <v>886</v>
      </c>
      <c r="X26" s="13" t="s">
        <v>885</v>
      </c>
      <c r="Y26" s="4"/>
      <c r="Z26" s="4"/>
      <c r="AA26" s="4"/>
      <c r="AB26" s="3"/>
      <c r="AC26" s="11" t="str">
        <f ca="1">IFERROR(__xludf.DUMMYFUNCTION("HYPERLINK(
""https://wa.me/""&amp;REGEXREPLACE(Q26,""[^0-9]"","""")&amp;
""?text=""&amp;
ENCODEURL(
""Buenas tardes *""&amp;B26&amp;""*.
Te recordamos que tu plan """"""&amp;E26&amp;"""""" no incluye la declaración de renta. Te enviamos varios correos informando sobre este proceso."&amp;" Esta semana vencen las primeras declaraciones juradas, lo que generará multas
Valor: *$""&amp;AD26&amp;""* + IVA = *$""&amp;AE26&amp;""*
El pago puedes hacerlo vía transferencia en la siguiente *EN HASTA DOS CUOTAS* cuenta:
*CUENTA BANCARIA*
VOLLAIRE &amp; OLIVOS SIMPLE "&amp;"PYME LTDA
Banco BCI
Cuenta corriente
RUT 78.306.207-0
Número de cuenta: 70809538
MATIAS.OLIVOS@VSVCONSULTORES.COM
También puedes pagar con tarjeta de débito o crédito en el siguiente link:
https://www.flow.cl/btn.php?token=xe78c9acb73c3eff5e917d5c932a4a2"&amp;"f7f971abe
Simple Pyme""
),
""Enviar WhatsApp""
)"),"Enviar WhatsApp")</f>
        <v>Enviar WhatsApp</v>
      </c>
      <c r="AD26" s="26">
        <v>312500</v>
      </c>
      <c r="AE26" s="26">
        <v>371875</v>
      </c>
    </row>
    <row r="27" spans="1:31" ht="13.5">
      <c r="A27" s="24" t="s">
        <v>795</v>
      </c>
      <c r="B27" s="21" t="s">
        <v>884</v>
      </c>
      <c r="C27" s="13" t="s">
        <v>9</v>
      </c>
      <c r="D27" s="13" t="s">
        <v>9</v>
      </c>
      <c r="E27" s="17" t="s">
        <v>23</v>
      </c>
      <c r="F27" s="8"/>
      <c r="G27" s="4"/>
      <c r="H27" s="14">
        <v>10000</v>
      </c>
      <c r="I27" s="14">
        <f>H27*1.19</f>
        <v>11900</v>
      </c>
      <c r="J27" s="13">
        <v>520</v>
      </c>
      <c r="K27" s="6"/>
      <c r="L27" s="4"/>
      <c r="M27" s="19" t="s">
        <v>883</v>
      </c>
      <c r="N27" s="19" t="s">
        <v>882</v>
      </c>
      <c r="O27" s="13" t="s">
        <v>881</v>
      </c>
      <c r="P27" s="13" t="s">
        <v>880</v>
      </c>
      <c r="Q27" s="55" t="s">
        <v>879</v>
      </c>
      <c r="R27" s="28"/>
      <c r="S27" s="13" t="s">
        <v>2</v>
      </c>
      <c r="T27" s="13" t="s">
        <v>1</v>
      </c>
      <c r="U27" s="114"/>
      <c r="V27" s="17" t="s">
        <v>24</v>
      </c>
      <c r="W27" s="13" t="s">
        <v>878</v>
      </c>
      <c r="X27" s="13" t="s">
        <v>877</v>
      </c>
      <c r="Y27" s="5"/>
      <c r="Z27" s="4"/>
      <c r="AA27" s="4"/>
      <c r="AB27" s="3"/>
      <c r="AC27" s="11" t="str">
        <f ca="1">IFERROR(__xludf.DUMMYFUNCTION("HYPERLINK(
""https://wa.me/""&amp;REGEXREPLACE(Q27,""[^0-9]"","""")&amp;
""?text=""&amp;
ENCODEURL(
""Buenas tardes *""&amp;B27&amp;""*.
Te recordamos que tu plan *""""""&amp;E27&amp;""""""* *no incluye* la declaración de renta. Te enviamos varios correos informando sobre este proc"&amp;"eso. Esta semana vencen las primeras declaraciones juradas, lo que generará multas
Valor: *$""&amp;AD27&amp;""* + IVA = *$""&amp;AE27&amp;""*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27" s="26">
        <v>78125</v>
      </c>
      <c r="AE27" s="26">
        <v>92968.75</v>
      </c>
    </row>
    <row r="28" spans="1:31" ht="13.5">
      <c r="A28" s="24" t="s">
        <v>795</v>
      </c>
      <c r="B28" s="21" t="s">
        <v>876</v>
      </c>
      <c r="C28" s="13" t="s">
        <v>9</v>
      </c>
      <c r="D28" s="13" t="s">
        <v>9</v>
      </c>
      <c r="E28" s="17" t="s">
        <v>23</v>
      </c>
      <c r="F28" s="8"/>
      <c r="G28" s="4"/>
      <c r="H28" s="14">
        <v>10000</v>
      </c>
      <c r="I28" s="14">
        <f>H28*1.19</f>
        <v>11900</v>
      </c>
      <c r="J28" s="13">
        <v>518</v>
      </c>
      <c r="K28" s="6"/>
      <c r="L28" s="4"/>
      <c r="M28" s="19" t="s">
        <v>875</v>
      </c>
      <c r="N28" s="19" t="s">
        <v>870</v>
      </c>
      <c r="O28" s="21" t="s">
        <v>874</v>
      </c>
      <c r="P28" s="13" t="s">
        <v>873</v>
      </c>
      <c r="Q28" s="51" t="s">
        <v>872</v>
      </c>
      <c r="R28" s="28"/>
      <c r="S28" s="13" t="s">
        <v>2</v>
      </c>
      <c r="T28" s="13" t="s">
        <v>31</v>
      </c>
      <c r="U28" s="4"/>
      <c r="V28" s="17" t="s">
        <v>24</v>
      </c>
      <c r="W28" s="13" t="s">
        <v>871</v>
      </c>
      <c r="X28" s="13" t="s">
        <v>870</v>
      </c>
      <c r="Y28" s="5"/>
      <c r="Z28" s="4"/>
      <c r="AA28" s="4"/>
      <c r="AB28" s="3"/>
      <c r="AC28" s="11" t="str">
        <f ca="1">IFERROR(__xludf.DUMMYFUNCTION("HYPERLINK(
""https://wa.me/""&amp;REGEXREPLACE(Q28,""[^0-9]"","""")&amp;
""?text=""&amp;
ENCODEURL(
""Hola *""&amp;B28&amp;""*.
Te recordamos que la factura Nº *""&amp;J28&amp;""* por el plan """"""&amp;E28&amp;"""""" se encuentra disponible para pago y vence hoy.
Monto: *$""&amp;I28&amp;""*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28" s="3"/>
      <c r="AE28" s="3">
        <f>AD28*1.19</f>
        <v>0</v>
      </c>
    </row>
    <row r="29" spans="1:31" ht="13.5">
      <c r="A29" s="24" t="s">
        <v>795</v>
      </c>
      <c r="B29" s="21" t="s">
        <v>869</v>
      </c>
      <c r="C29" s="13" t="s">
        <v>24</v>
      </c>
      <c r="D29" s="13"/>
      <c r="E29" s="17" t="s">
        <v>23</v>
      </c>
      <c r="F29" s="8"/>
      <c r="G29" s="4"/>
      <c r="H29" s="14">
        <v>10000</v>
      </c>
      <c r="I29" s="14">
        <f>H29*1.19</f>
        <v>11900</v>
      </c>
      <c r="J29" s="13">
        <v>522</v>
      </c>
      <c r="K29" s="6">
        <v>60000</v>
      </c>
      <c r="L29" s="4"/>
      <c r="M29" s="19" t="s">
        <v>868</v>
      </c>
      <c r="N29" s="19" t="s">
        <v>867</v>
      </c>
      <c r="O29" s="13" t="s">
        <v>866</v>
      </c>
      <c r="P29" s="13" t="s">
        <v>865</v>
      </c>
      <c r="Q29" s="55" t="s">
        <v>864</v>
      </c>
      <c r="R29" s="28"/>
      <c r="S29" s="13" t="s">
        <v>2</v>
      </c>
      <c r="T29" s="13" t="s">
        <v>31</v>
      </c>
      <c r="U29" s="78"/>
      <c r="V29" s="17" t="s">
        <v>24</v>
      </c>
      <c r="W29" s="13" t="s">
        <v>863</v>
      </c>
      <c r="X29" s="13" t="s">
        <v>862</v>
      </c>
      <c r="Y29" s="5"/>
      <c r="Z29" s="4"/>
      <c r="AA29" s="4"/>
      <c r="AB29" s="3"/>
      <c r="AC29" s="11" t="str">
        <f ca="1">IFERROR(__xludf.DUMMYFUNCTION("HYPERLINK(
""https://wa.me/""&amp;REGEXREPLACE(Q29,""[^0-9]"","""")&amp;
""?text=""&amp;
ENCODEURL(
""Buenas tardes *""&amp;B29&amp;""*.
Te recordamos que tu plan *""""""&amp;E29&amp;""""""* *no incluye* la declaración de renta. Te enviamos varios correos informando sobre este proc"&amp;"eso. Esta semana vencen las primeras declaraciones juradas, lo que generará multas
Valor: *$""&amp;AD29&amp;""* + IVA = *$""&amp;AE29&amp;""*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29" s="26">
        <v>78125</v>
      </c>
      <c r="AE29" s="26">
        <v>92968.75</v>
      </c>
    </row>
    <row r="30" spans="1:31" ht="13.5">
      <c r="A30" s="24" t="s">
        <v>795</v>
      </c>
      <c r="B30" s="21" t="s">
        <v>861</v>
      </c>
      <c r="C30" s="4"/>
      <c r="D30" s="4"/>
      <c r="E30" s="17" t="s">
        <v>709</v>
      </c>
      <c r="F30" s="8"/>
      <c r="G30" s="4"/>
      <c r="H30" s="14" t="s">
        <v>457</v>
      </c>
      <c r="I30" s="14">
        <f>H30*1.19</f>
        <v>0</v>
      </c>
      <c r="J30" s="25" t="s">
        <v>16</v>
      </c>
      <c r="K30" s="6"/>
      <c r="L30" s="13" t="s">
        <v>860</v>
      </c>
      <c r="M30" s="19" t="s">
        <v>859</v>
      </c>
      <c r="N30" s="19" t="s">
        <v>858</v>
      </c>
      <c r="O30" s="13" t="s">
        <v>857</v>
      </c>
      <c r="P30" s="13" t="s">
        <v>819</v>
      </c>
      <c r="Q30" s="13" t="s">
        <v>856</v>
      </c>
      <c r="R30" s="28"/>
      <c r="S30" s="13" t="s">
        <v>2</v>
      </c>
      <c r="T30" s="17" t="s">
        <v>709</v>
      </c>
      <c r="U30" s="4"/>
      <c r="V30" s="17" t="s">
        <v>24</v>
      </c>
      <c r="W30" s="13" t="s">
        <v>817</v>
      </c>
      <c r="X30" s="13" t="s">
        <v>44</v>
      </c>
      <c r="Y30" s="5"/>
      <c r="Z30" s="4"/>
      <c r="AA30" s="4"/>
      <c r="AB30" s="3"/>
      <c r="AC30" s="11" t="str">
        <f ca="1">IFERROR(__xludf.DUMMYFUNCTION("HYPERLINK(
""https://wa.me/""&amp;REGEXREPLACE(Q30,""[^0-9]"","""")&amp;
""?text=""&amp;
ENCODEURL(
""Hola *""&amp;B30&amp;""*.
Te recordamos que la factura Nº *""&amp;J30&amp;""* por el plan """"""&amp;E30&amp;"""""" se encuentra disponible para pago y vence hoy.
Monto: *$""&amp;I30&amp;""*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*$""&amp;AD30&amp;""*
Valor total febrero (con IVA): *$""&amp;AE30&amp;""*
A partir de mañana el valor aument"&amp;"a un 25%, correspondiente al valor de diciembre.
Simple Pyme""
),
""Enviar WhatsApp""
)"),"Enviar WhatsApp")</f>
        <v>Enviar WhatsApp</v>
      </c>
      <c r="AD30" s="3"/>
      <c r="AE30" s="3"/>
    </row>
    <row r="31" spans="1:31" ht="13.5">
      <c r="A31" s="24" t="s">
        <v>795</v>
      </c>
      <c r="B31" s="21" t="s">
        <v>855</v>
      </c>
      <c r="C31" s="13" t="s">
        <v>24</v>
      </c>
      <c r="D31" s="4"/>
      <c r="E31" s="17" t="s">
        <v>47</v>
      </c>
      <c r="F31" s="8"/>
      <c r="G31" s="4"/>
      <c r="H31" s="14">
        <v>60500</v>
      </c>
      <c r="I31" s="14">
        <f>H31*1.19</f>
        <v>71995</v>
      </c>
      <c r="J31" s="13" t="s">
        <v>854</v>
      </c>
      <c r="K31" s="6"/>
      <c r="L31" s="13" t="s">
        <v>853</v>
      </c>
      <c r="M31" s="19" t="s">
        <v>852</v>
      </c>
      <c r="N31" s="19" t="s">
        <v>851</v>
      </c>
      <c r="O31" s="13" t="s">
        <v>850</v>
      </c>
      <c r="P31" s="13" t="s">
        <v>849</v>
      </c>
      <c r="Q31" s="13" t="s">
        <v>848</v>
      </c>
      <c r="R31" s="28"/>
      <c r="S31" s="13" t="s">
        <v>2</v>
      </c>
      <c r="T31" s="13" t="s">
        <v>31</v>
      </c>
      <c r="U31" s="4"/>
      <c r="V31" s="17" t="s">
        <v>24</v>
      </c>
      <c r="W31" s="13" t="s">
        <v>847</v>
      </c>
      <c r="X31" s="13" t="s">
        <v>846</v>
      </c>
      <c r="Y31" s="5"/>
      <c r="Z31" s="4"/>
      <c r="AA31" s="4"/>
      <c r="AB31" s="3"/>
      <c r="AC31" s="11" t="str">
        <f ca="1">IFERROR(__xludf.DUMMYFUNCTION("HYPERLINK(
""https://wa.me/""&amp;REGEXREPLACE(Q31,""[^0-9]"","""")&amp;
""?text=""&amp;
ENCODEURL(
""Buenas tardes *""&amp;B31&amp;""*.
Te recordamos que tu plan *""""""&amp;E31&amp;""""""* *no incluye* la declaración de renta. Te enviamos varios correos informando sobre este proc"&amp;"eso. Esta semana vencen las primeras declaraciones juradas, lo que generará multas
Valor: *$""&amp;AD31&amp;""* + IVA = *$""&amp;AE31&amp;""*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31" s="3">
        <v>50000</v>
      </c>
      <c r="AE31" s="3">
        <v>59500</v>
      </c>
    </row>
    <row r="32" spans="1:31" ht="13.5">
      <c r="A32" s="24" t="s">
        <v>795</v>
      </c>
      <c r="B32" s="21" t="s">
        <v>845</v>
      </c>
      <c r="C32" s="13" t="s">
        <v>9</v>
      </c>
      <c r="D32" s="13" t="s">
        <v>9</v>
      </c>
      <c r="E32" s="17" t="s">
        <v>23</v>
      </c>
      <c r="F32" s="8"/>
      <c r="G32" s="4"/>
      <c r="H32" s="14">
        <v>10000</v>
      </c>
      <c r="I32" s="14">
        <f>H32*1.19</f>
        <v>11900</v>
      </c>
      <c r="J32" s="13">
        <v>525</v>
      </c>
      <c r="K32" s="6"/>
      <c r="L32" s="4"/>
      <c r="M32" s="19" t="s">
        <v>844</v>
      </c>
      <c r="N32" s="19" t="s">
        <v>843</v>
      </c>
      <c r="O32" s="21" t="s">
        <v>842</v>
      </c>
      <c r="P32" s="13" t="s">
        <v>839</v>
      </c>
      <c r="Q32" s="51" t="s">
        <v>841</v>
      </c>
      <c r="R32" s="28"/>
      <c r="S32" s="13" t="s">
        <v>2</v>
      </c>
      <c r="T32" s="13" t="s">
        <v>31</v>
      </c>
      <c r="U32" s="52"/>
      <c r="V32" s="17" t="s">
        <v>24</v>
      </c>
      <c r="W32" s="13" t="s">
        <v>840</v>
      </c>
      <c r="X32" s="13" t="s">
        <v>839</v>
      </c>
      <c r="Y32" s="5"/>
      <c r="Z32" s="4"/>
      <c r="AA32" s="4"/>
      <c r="AB32" s="3"/>
      <c r="AC32" s="11" t="str">
        <f ca="1">IFERROR(__xludf.DUMMYFUNCTION("HYPERLINK(
""https://wa.me/""&amp;REGEXREPLACE(Q32,""[^0-9]"","""")&amp;
""?text=""&amp;
ENCODEURL(
""Buenas tardes *""&amp;B32&amp;""*.
Te recordamos que tu plan """"""&amp;E32&amp;"""""" no incluye la declaración de renta. Te enviamos varios correos informando sobre este proceso."&amp;" Esta semana vencen las primeras declaraciones juradas, lo que generará multas
Valor: *$""&amp;AD32&amp;""* + IVA = *$""&amp;AE32&amp;""*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32" s="26">
        <v>78125</v>
      </c>
      <c r="AE32" s="26">
        <f>AD32*1.19</f>
        <v>92968.75</v>
      </c>
    </row>
    <row r="33" spans="1:31" ht="13.5">
      <c r="A33" s="24" t="s">
        <v>795</v>
      </c>
      <c r="B33" s="21" t="s">
        <v>838</v>
      </c>
      <c r="C33" s="13" t="s">
        <v>9</v>
      </c>
      <c r="D33" s="13" t="s">
        <v>9</v>
      </c>
      <c r="E33" s="17" t="s">
        <v>23</v>
      </c>
      <c r="F33" s="8"/>
      <c r="G33" s="4"/>
      <c r="H33" s="14">
        <v>10000</v>
      </c>
      <c r="I33" s="14">
        <f>H33*1.19</f>
        <v>11900</v>
      </c>
      <c r="J33" s="13">
        <v>527</v>
      </c>
      <c r="K33" s="6"/>
      <c r="L33" s="4"/>
      <c r="M33" s="19" t="s">
        <v>837</v>
      </c>
      <c r="N33" s="19" t="s">
        <v>836</v>
      </c>
      <c r="O33" s="13" t="s">
        <v>835</v>
      </c>
      <c r="P33" s="13" t="s">
        <v>834</v>
      </c>
      <c r="Q33" s="51">
        <v>943507043</v>
      </c>
      <c r="R33" s="28"/>
      <c r="S33" s="13" t="s">
        <v>2</v>
      </c>
      <c r="T33" s="13" t="s">
        <v>31</v>
      </c>
      <c r="U33" s="52"/>
      <c r="V33" s="17" t="s">
        <v>24</v>
      </c>
      <c r="W33" s="13" t="s">
        <v>833</v>
      </c>
      <c r="X33" s="13" t="s">
        <v>832</v>
      </c>
      <c r="Y33" s="5"/>
      <c r="Z33" s="4"/>
      <c r="AA33" s="4"/>
      <c r="AB33" s="3"/>
      <c r="AC33" s="3" t="str">
        <f ca="1">IFERROR(__xludf.DUMMYFUNCTION("HYPERLINK(
""https://wa.me/""&amp;REGEXREPLACE(Q33,""[^0-9]"","""")&amp;
""?text=""&amp;
ENCODEURL(
""Hola *""&amp;B33&amp;""*.
Te recordamos que la factura Nº *""&amp;J33&amp;""* por el plan """"""&amp;E33&amp;"""""" se encuentra disponible para pago y vence hoy.
Monto: *$""&amp;I33&amp;""*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*$""&amp;AD33&amp;""*
Valor total febrero (con IVA): *$""&amp;AE33&amp;""*
A partir de mañana el valor aument"&amp;"a un 25%, correspondiente al valor de diciembre.
Simple Pyme""
),
""Enviar WhatsApp""
)"),"Enviar WhatsApp")</f>
        <v>Enviar WhatsApp</v>
      </c>
      <c r="AD33" s="3"/>
      <c r="AE33" s="3"/>
    </row>
    <row r="34" spans="1:31" ht="13.5">
      <c r="A34" s="24" t="s">
        <v>795</v>
      </c>
      <c r="B34" s="21" t="s">
        <v>831</v>
      </c>
      <c r="C34" s="13" t="s">
        <v>9</v>
      </c>
      <c r="D34" s="13" t="s">
        <v>9</v>
      </c>
      <c r="E34" s="17" t="s">
        <v>93</v>
      </c>
      <c r="F34" s="8"/>
      <c r="G34" s="4"/>
      <c r="H34" s="14">
        <v>100000</v>
      </c>
      <c r="I34" s="14">
        <f>H34*1.19</f>
        <v>119000</v>
      </c>
      <c r="J34" s="13">
        <v>531</v>
      </c>
      <c r="K34" s="14">
        <v>83300</v>
      </c>
      <c r="L34" s="4"/>
      <c r="M34" s="19" t="s">
        <v>830</v>
      </c>
      <c r="N34" s="19" t="s">
        <v>829</v>
      </c>
      <c r="O34" s="13" t="s">
        <v>828</v>
      </c>
      <c r="P34" s="13" t="s">
        <v>827</v>
      </c>
      <c r="Q34" s="13" t="s">
        <v>826</v>
      </c>
      <c r="R34" s="28"/>
      <c r="S34" s="13" t="s">
        <v>2</v>
      </c>
      <c r="T34" s="13" t="s">
        <v>31</v>
      </c>
      <c r="U34" s="18"/>
      <c r="V34" s="17" t="s">
        <v>24</v>
      </c>
      <c r="W34" s="13" t="s">
        <v>825</v>
      </c>
      <c r="X34" s="13" t="s">
        <v>824</v>
      </c>
      <c r="Y34" s="5"/>
      <c r="Z34" s="4"/>
      <c r="AA34" s="4"/>
      <c r="AB34" s="3"/>
      <c r="AC34" s="11" t="str">
        <f ca="1">IFERROR(__xludf.DUMMYFUNCTION("HYPERLINK(
""https://wa.me/""&amp;REGEXREPLACE(Q34,""[^0-9]"","""")&amp;
""?text=""&amp;
ENCODEURL(
""Hola *""&amp;B34&amp;""*.
Te recordamos que la factura Nº *""&amp;J34&amp;""* por el plan """"""&amp;E34&amp;"""""" se encuentra disponible para pago y vence hoy.
Monto: *$""&amp;I34&amp;""*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34" s="3"/>
      <c r="AE34" s="3">
        <f>AD34*1.19</f>
        <v>0</v>
      </c>
    </row>
    <row r="35" spans="1:31" ht="13.5">
      <c r="A35" s="24" t="s">
        <v>795</v>
      </c>
      <c r="B35" s="21" t="s">
        <v>823</v>
      </c>
      <c r="C35" s="4"/>
      <c r="D35" s="4"/>
      <c r="E35" s="17" t="s">
        <v>11</v>
      </c>
      <c r="F35" s="8"/>
      <c r="G35" s="4"/>
      <c r="H35" s="14" t="s">
        <v>457</v>
      </c>
      <c r="I35" s="14">
        <f>H35*1.19</f>
        <v>0</v>
      </c>
      <c r="J35" s="25" t="s">
        <v>16</v>
      </c>
      <c r="K35" s="6"/>
      <c r="L35" s="4"/>
      <c r="M35" s="19" t="s">
        <v>822</v>
      </c>
      <c r="N35" s="19" t="s">
        <v>821</v>
      </c>
      <c r="O35" s="13" t="s">
        <v>820</v>
      </c>
      <c r="P35" s="13" t="s">
        <v>819</v>
      </c>
      <c r="Q35" s="13" t="s">
        <v>818</v>
      </c>
      <c r="R35" s="28"/>
      <c r="S35" s="13" t="s">
        <v>2</v>
      </c>
      <c r="T35" s="17" t="s">
        <v>11</v>
      </c>
      <c r="U35" s="4"/>
      <c r="V35" s="17" t="s">
        <v>24</v>
      </c>
      <c r="W35" s="13" t="s">
        <v>817</v>
      </c>
      <c r="X35" s="13" t="s">
        <v>816</v>
      </c>
      <c r="Y35" s="5"/>
      <c r="Z35" s="4"/>
      <c r="AA35" s="4"/>
      <c r="AB35" s="3"/>
      <c r="AC35" s="11" t="str">
        <f ca="1">IFERROR(__xludf.DUMMYFUNCTION("HYPERLINK(
""https://wa.me/""&amp;REGEXREPLACE(Q35,""[^0-9]"","""")&amp;
""?text=""&amp;
ENCODEURL(
""Hola *""&amp;B35&amp;""*.
Te recordamos que la factura Nº *""&amp;J35&amp;""* por el plan """"""&amp;E35&amp;"""""" se encuentra disponible para pago y vence hoy.
Monto: *$""&amp;I35&amp;""*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*$""&amp;AD35&amp;""*
Valor total febrero (con IVA): *$""&amp;AE35&amp;""*
A partir de mañana el valor aument"&amp;"a un 25%, correspondiente al valor de diciembre.
Simple Pyme""
),
""Enviar WhatsApp""
)"),"Enviar WhatsApp")</f>
        <v>Enviar WhatsApp</v>
      </c>
      <c r="AD35" s="3"/>
      <c r="AE35" s="3"/>
    </row>
    <row r="36" spans="1:31" ht="13.5">
      <c r="A36" s="24" t="s">
        <v>795</v>
      </c>
      <c r="B36" s="21" t="s">
        <v>815</v>
      </c>
      <c r="C36" s="13" t="s">
        <v>9</v>
      </c>
      <c r="D36" s="13" t="s">
        <v>9</v>
      </c>
      <c r="E36" s="17" t="s">
        <v>23</v>
      </c>
      <c r="F36" s="8"/>
      <c r="G36" s="4"/>
      <c r="H36" s="14">
        <v>10000</v>
      </c>
      <c r="I36" s="14">
        <f>H36*1.19</f>
        <v>11900</v>
      </c>
      <c r="J36" s="13">
        <v>534</v>
      </c>
      <c r="K36" s="6"/>
      <c r="L36" s="4"/>
      <c r="M36" s="19" t="s">
        <v>814</v>
      </c>
      <c r="N36" s="19" t="s">
        <v>813</v>
      </c>
      <c r="O36" s="13" t="s">
        <v>812</v>
      </c>
      <c r="P36" s="13" t="s">
        <v>811</v>
      </c>
      <c r="Q36" s="55" t="s">
        <v>810</v>
      </c>
      <c r="R36" s="28"/>
      <c r="S36" s="13" t="s">
        <v>2</v>
      </c>
      <c r="T36" s="13" t="s">
        <v>31</v>
      </c>
      <c r="U36" s="53"/>
      <c r="V36" s="17" t="s">
        <v>24</v>
      </c>
      <c r="W36" s="13" t="s">
        <v>809</v>
      </c>
      <c r="X36" s="13" t="s">
        <v>808</v>
      </c>
      <c r="Y36" s="108"/>
      <c r="Z36" s="4"/>
      <c r="AA36" s="6"/>
      <c r="AB36" s="10"/>
      <c r="AC36" s="11" t="str">
        <f ca="1">IFERROR(__xludf.DUMMYFUNCTION("HYPERLINK(
""https://wa.me/""&amp;REGEXREPLACE(Q36,""[^0-9]"","""")&amp;
""?text=""&amp;
ENCODEURL(
""Hola *""&amp;B36&amp;""*.
Te recordamos que la factura Nº *""&amp;J36&amp;""* por el plan """"""&amp;E36&amp;"""""" se encuentra disponible para pago y vence hoy.
Monto: *$""&amp;I36&amp;""*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36" s="3"/>
      <c r="AE36" s="3">
        <f>AD36*1.19</f>
        <v>0</v>
      </c>
    </row>
    <row r="37" spans="1:31" ht="13.5">
      <c r="A37" s="24" t="s">
        <v>795</v>
      </c>
      <c r="B37" s="21" t="s">
        <v>807</v>
      </c>
      <c r="C37" s="4"/>
      <c r="D37" s="4"/>
      <c r="E37" s="17" t="s">
        <v>11</v>
      </c>
      <c r="F37" s="8"/>
      <c r="G37" s="4"/>
      <c r="H37" s="14" t="s">
        <v>457</v>
      </c>
      <c r="I37" s="14">
        <f>H37*1.19</f>
        <v>0</v>
      </c>
      <c r="J37" s="25" t="s">
        <v>16</v>
      </c>
      <c r="K37" s="6"/>
      <c r="L37" s="4"/>
      <c r="M37" s="19" t="s">
        <v>806</v>
      </c>
      <c r="N37" s="19" t="s">
        <v>805</v>
      </c>
      <c r="O37" s="13" t="s">
        <v>524</v>
      </c>
      <c r="P37" s="13" t="s">
        <v>523</v>
      </c>
      <c r="Q37" s="51" t="s">
        <v>804</v>
      </c>
      <c r="R37" s="28"/>
      <c r="S37" s="13" t="s">
        <v>2</v>
      </c>
      <c r="T37" s="17" t="s">
        <v>11</v>
      </c>
      <c r="U37" s="4"/>
      <c r="V37" s="17" t="s">
        <v>24</v>
      </c>
      <c r="W37" s="13" t="s">
        <v>522</v>
      </c>
      <c r="X37" s="13" t="s">
        <v>521</v>
      </c>
      <c r="Y37" s="5"/>
      <c r="Z37" s="4"/>
      <c r="AA37" s="4"/>
      <c r="AB37" s="3"/>
      <c r="AC37" s="11" t="str">
        <f ca="1">IFERROR(__xludf.DUMMYFUNCTION("HYPERLINK(
""https://wa.me/""&amp;REGEXREPLACE(Q37,""[^0-9]"","""")&amp;
""?text=""&amp;
ENCODEURL(
""Hola *""&amp;B37&amp;""*.
Te recordamos que la factura Nº *""&amp;J37&amp;""* por el plan """"""&amp;E37&amp;"""""" se encuentra disponible para pago y vence hoy.
Monto: *$""&amp;I37&amp;""*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*$""&amp;AD37&amp;""*
Valor total febrero (con IVA): *$""&amp;AE37&amp;""*
A partir de mañana el valor aument"&amp;"a un 25%, correspondiente al valor de diciembre.
Simple Pyme""
),
""Enviar WhatsApp""
)"),"Enviar WhatsApp")</f>
        <v>Enviar WhatsApp</v>
      </c>
      <c r="AD37" s="3"/>
      <c r="AE37" s="3"/>
    </row>
    <row r="38" spans="1:31" ht="13.5">
      <c r="A38" s="24" t="s">
        <v>795</v>
      </c>
      <c r="B38" s="21" t="s">
        <v>803</v>
      </c>
      <c r="C38" s="13" t="s">
        <v>9</v>
      </c>
      <c r="D38" s="13" t="s">
        <v>9</v>
      </c>
      <c r="E38" s="17" t="s">
        <v>8</v>
      </c>
      <c r="F38" s="8"/>
      <c r="G38" s="4"/>
      <c r="H38" s="81">
        <v>30000</v>
      </c>
      <c r="I38" s="14">
        <f>H38*1.19</f>
        <v>35700</v>
      </c>
      <c r="J38" s="13">
        <v>529</v>
      </c>
      <c r="K38" s="6">
        <v>95200</v>
      </c>
      <c r="L38" s="13" t="s">
        <v>802</v>
      </c>
      <c r="M38" s="19" t="s">
        <v>801</v>
      </c>
      <c r="N38" s="19" t="s">
        <v>800</v>
      </c>
      <c r="O38" s="13" t="s">
        <v>799</v>
      </c>
      <c r="P38" s="13" t="s">
        <v>798</v>
      </c>
      <c r="Q38" s="51" t="s">
        <v>797</v>
      </c>
      <c r="R38" s="28"/>
      <c r="S38" s="13" t="s">
        <v>2</v>
      </c>
      <c r="T38" s="13" t="s">
        <v>31</v>
      </c>
      <c r="U38" s="22"/>
      <c r="V38" s="17" t="s">
        <v>24</v>
      </c>
      <c r="W38" s="13" t="s">
        <v>796</v>
      </c>
      <c r="X38" s="13">
        <v>1325740</v>
      </c>
      <c r="Y38" s="5"/>
      <c r="Z38" s="4"/>
      <c r="AA38" s="4"/>
      <c r="AB38" s="3"/>
      <c r="AC38" s="11" t="str">
        <f ca="1">IFERROR(__xludf.DUMMYFUNCTION("HYPERLINK(
""https://wa.me/""&amp;REGEXREPLACE(Q38,""[^0-9]"","""")&amp;
""?text=""&amp;
ENCODEURL(
""Hola *""&amp;B38&amp;""*.
Te recordamos que la factura Nº *""&amp;J38&amp;""* por el plan """"""&amp;E38&amp;"""""" se encuentra disponible para pago y vence hoy.
Monto: *$""&amp;I38&amp;""*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*$""&amp;AD38&amp;""*
Valor total febrero (con IVA): *$""&amp;AE38&amp;""*
A partir de mañana el valor aument"&amp;"a un 25%, correspondiente al valor de diciembre.
Simple Pyme""
),
""Enviar WhatsApp""
)"),"Enviar WhatsApp")</f>
        <v>Enviar WhatsApp</v>
      </c>
      <c r="AD38" s="3"/>
      <c r="AE38" s="3"/>
    </row>
    <row r="39" spans="1:31" ht="13.5">
      <c r="A39" s="24" t="s">
        <v>795</v>
      </c>
      <c r="B39" s="21" t="s">
        <v>794</v>
      </c>
      <c r="C39" s="13" t="s">
        <v>9</v>
      </c>
      <c r="D39" s="13" t="s">
        <v>9</v>
      </c>
      <c r="E39" s="17" t="s">
        <v>8</v>
      </c>
      <c r="F39" s="8"/>
      <c r="G39" s="4"/>
      <c r="H39" s="14">
        <v>30000</v>
      </c>
      <c r="I39" s="14">
        <f>H39*1.19</f>
        <v>35700</v>
      </c>
      <c r="J39" s="13">
        <v>533</v>
      </c>
      <c r="K39" s="6"/>
      <c r="L39" s="4"/>
      <c r="M39" s="19" t="s">
        <v>793</v>
      </c>
      <c r="N39" s="19" t="s">
        <v>792</v>
      </c>
      <c r="O39" s="13" t="s">
        <v>791</v>
      </c>
      <c r="P39" s="13" t="s">
        <v>790</v>
      </c>
      <c r="Q39" s="55" t="s">
        <v>789</v>
      </c>
      <c r="R39" s="113"/>
      <c r="S39" s="13" t="s">
        <v>2</v>
      </c>
      <c r="T39" s="13" t="s">
        <v>31</v>
      </c>
      <c r="U39" s="78"/>
      <c r="V39" s="17" t="s">
        <v>24</v>
      </c>
      <c r="W39" s="13" t="s">
        <v>788</v>
      </c>
      <c r="X39" s="13" t="s">
        <v>787</v>
      </c>
      <c r="Y39" s="5"/>
      <c r="Z39" s="4"/>
      <c r="AA39" s="4"/>
      <c r="AB39" s="3"/>
      <c r="AC39" s="11" t="str">
        <f ca="1">IFERROR(__xludf.DUMMYFUNCTION("HYPERLINK(
""https://wa.me/""&amp;REGEXREPLACE(Q39,""[^0-9]"","""")&amp;
""?text=""&amp;
ENCODEURL(
""Hola *""&amp;B39&amp;""*.
Te recordamos que la factura Nº *""&amp;J39&amp;""* por el plan """"""&amp;E39&amp;"""""" se encuentra disponible para pago y vence hoy.
Monto: *$""&amp;I39&amp;""*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*$""&amp;AD39&amp;""*
Valor total febrero (con IVA): *$""&amp;AE39&amp;""*
A partir de mañana el valor aument"&amp;"a un 25%, correspondiente al valor de diciembre.
Simple Pyme""
),
""Enviar WhatsApp""
)"),"Enviar WhatsApp")</f>
        <v>Enviar WhatsApp</v>
      </c>
      <c r="AD39" s="26">
        <v>100000</v>
      </c>
      <c r="AE39" s="26">
        <f>AD39*1.19</f>
        <v>119000</v>
      </c>
    </row>
    <row r="40" spans="1:31" ht="13.5">
      <c r="A40" s="24" t="s">
        <v>520</v>
      </c>
      <c r="B40" s="21" t="s">
        <v>786</v>
      </c>
      <c r="C40" s="13" t="s">
        <v>9</v>
      </c>
      <c r="D40" s="13" t="s">
        <v>9</v>
      </c>
      <c r="E40" s="17" t="s">
        <v>8</v>
      </c>
      <c r="F40" s="8"/>
      <c r="G40" s="4"/>
      <c r="H40" s="14">
        <v>30000</v>
      </c>
      <c r="I40" s="14">
        <f>H40*1.19</f>
        <v>35700</v>
      </c>
      <c r="J40" s="13">
        <v>537</v>
      </c>
      <c r="K40" s="6"/>
      <c r="L40" s="4"/>
      <c r="M40" s="19" t="s">
        <v>785</v>
      </c>
      <c r="N40" s="19" t="s">
        <v>784</v>
      </c>
      <c r="O40" s="13" t="s">
        <v>783</v>
      </c>
      <c r="P40" s="13" t="s">
        <v>782</v>
      </c>
      <c r="Q40" s="13" t="s">
        <v>781</v>
      </c>
      <c r="R40" s="28"/>
      <c r="S40" s="13" t="s">
        <v>2</v>
      </c>
      <c r="T40" s="13" t="s">
        <v>31</v>
      </c>
      <c r="U40" s="52"/>
      <c r="V40" s="17" t="s">
        <v>24</v>
      </c>
      <c r="W40" s="13" t="s">
        <v>780</v>
      </c>
      <c r="X40" s="13" t="s">
        <v>779</v>
      </c>
      <c r="Y40" s="5"/>
      <c r="Z40" s="4"/>
      <c r="AA40" s="4"/>
      <c r="AB40" s="3"/>
      <c r="AC40" s="11" t="str">
        <f ca="1">IFERROR(__xludf.DUMMYFUNCTION("HYPERLINK(
""https://wa.me/""&amp;REGEXREPLACE(Q40,""[^0-9]"","""")&amp;
""?text=""&amp;
ENCODEURL(
""Buenas tardes *""&amp;B40&amp;""*.
Te recordamos que tu plan *""""""&amp;E40&amp;""""""* *no incluye* la declaración de renta. Te enviamos varios correos informando sobre este proc"&amp;"eso. Esta semana vencen las primeras declaraciones juradas, lo que generará multas
Valor: *$""&amp;AD40&amp;""* + IVA = *$""&amp;AE40&amp;""*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40" s="26">
        <v>125000</v>
      </c>
      <c r="AE40" s="26">
        <v>148750</v>
      </c>
    </row>
    <row r="41" spans="1:31" ht="13.5">
      <c r="A41" s="24" t="s">
        <v>520</v>
      </c>
      <c r="B41" s="21" t="s">
        <v>778</v>
      </c>
      <c r="C41" s="13" t="s">
        <v>9</v>
      </c>
      <c r="D41" s="13" t="s">
        <v>9</v>
      </c>
      <c r="E41" s="17" t="s">
        <v>8</v>
      </c>
      <c r="F41" s="8"/>
      <c r="G41" s="4"/>
      <c r="H41" s="14">
        <v>30000</v>
      </c>
      <c r="I41" s="14">
        <f>H41*1.19</f>
        <v>35700</v>
      </c>
      <c r="J41" s="13">
        <v>536</v>
      </c>
      <c r="K41" s="6"/>
      <c r="L41" s="4"/>
      <c r="M41" s="19" t="s">
        <v>777</v>
      </c>
      <c r="N41" s="19" t="s">
        <v>776</v>
      </c>
      <c r="O41" s="13" t="s">
        <v>775</v>
      </c>
      <c r="P41" s="13" t="s">
        <v>774</v>
      </c>
      <c r="Q41" s="13" t="s">
        <v>773</v>
      </c>
      <c r="R41" s="28"/>
      <c r="S41" s="13" t="s">
        <v>2</v>
      </c>
      <c r="T41" s="13" t="s">
        <v>31</v>
      </c>
      <c r="U41" s="52"/>
      <c r="V41" s="17" t="s">
        <v>24</v>
      </c>
      <c r="W41" s="13" t="s">
        <v>772</v>
      </c>
      <c r="X41" s="13" t="s">
        <v>771</v>
      </c>
      <c r="Y41" s="5"/>
      <c r="Z41" s="4"/>
      <c r="AA41" s="4"/>
      <c r="AB41" s="3"/>
      <c r="AC41" s="11" t="str">
        <f ca="1">IFERROR(__xludf.DUMMYFUNCTION("HYPERLINK(
""https://wa.me/""&amp;REGEXREPLACE(Q41,""[^0-9]"","""")&amp;
""?text=""&amp;
ENCODEURL(
""Hola *""&amp;B41&amp;""*.
Te recordamos que la factura Nº *""&amp;J41&amp;""* por el plan """"""&amp;E41&amp;"""""" se encuentra disponible para pago y vence hoy.
Monto: *$""&amp;I41&amp;""*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41" s="3"/>
      <c r="AE41" s="3">
        <f>AD41*1.19</f>
        <v>0</v>
      </c>
    </row>
    <row r="42" spans="1:31" ht="13.5">
      <c r="A42" s="24" t="s">
        <v>520</v>
      </c>
      <c r="B42" s="21" t="s">
        <v>770</v>
      </c>
      <c r="C42" s="13" t="s">
        <v>9</v>
      </c>
      <c r="D42" s="13" t="s">
        <v>9</v>
      </c>
      <c r="E42" s="17" t="s">
        <v>8</v>
      </c>
      <c r="F42" s="8"/>
      <c r="G42" s="4"/>
      <c r="H42" s="14">
        <v>30000</v>
      </c>
      <c r="I42" s="14">
        <f>H42*1.19</f>
        <v>35700</v>
      </c>
      <c r="J42" s="13">
        <v>541</v>
      </c>
      <c r="K42" s="6"/>
      <c r="L42" s="4"/>
      <c r="M42" s="19" t="s">
        <v>769</v>
      </c>
      <c r="N42" s="19" t="s">
        <v>768</v>
      </c>
      <c r="O42" s="13" t="s">
        <v>767</v>
      </c>
      <c r="P42" s="13" t="s">
        <v>766</v>
      </c>
      <c r="Q42" s="13" t="s">
        <v>765</v>
      </c>
      <c r="R42" s="28"/>
      <c r="S42" s="13" t="s">
        <v>2</v>
      </c>
      <c r="T42" s="13" t="s">
        <v>31</v>
      </c>
      <c r="U42" s="52"/>
      <c r="V42" s="17" t="s">
        <v>24</v>
      </c>
      <c r="W42" s="13" t="s">
        <v>764</v>
      </c>
      <c r="X42" s="13" t="s">
        <v>763</v>
      </c>
      <c r="Y42" s="5"/>
      <c r="Z42" s="4"/>
      <c r="AA42" s="4"/>
      <c r="AB42" s="3"/>
      <c r="AC42" s="11" t="str">
        <f ca="1">IFERROR(__xludf.DUMMYFUNCTION("HYPERLINK(
""https://wa.me/""&amp;REGEXREPLACE(Q42,""[^0-9]"","""")&amp;
""?text=""&amp;
ENCODEURL(
""Hola *""&amp;B42&amp;""*.
Te recordamos que la factura Nº *""&amp;J42&amp;""* por el plan """"""&amp;E42&amp;"""""" se encuentra disponible para pago y vence hoy.
Monto: *$""&amp;I42&amp;""*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42" s="3"/>
      <c r="AE42" s="3">
        <f>AD42*1.19</f>
        <v>0</v>
      </c>
    </row>
    <row r="43" spans="1:31" ht="13.5">
      <c r="A43" s="24" t="s">
        <v>520</v>
      </c>
      <c r="B43" s="21" t="s">
        <v>762</v>
      </c>
      <c r="C43" s="13" t="s">
        <v>24</v>
      </c>
      <c r="D43" s="13"/>
      <c r="E43" s="17" t="s">
        <v>8</v>
      </c>
      <c r="F43" s="8"/>
      <c r="G43" s="4"/>
      <c r="H43" s="81">
        <v>30000</v>
      </c>
      <c r="I43" s="14">
        <f>H43*1.19</f>
        <v>35700</v>
      </c>
      <c r="J43" s="13">
        <v>540</v>
      </c>
      <c r="K43" s="6"/>
      <c r="L43" s="13"/>
      <c r="M43" s="19" t="s">
        <v>761</v>
      </c>
      <c r="N43" s="19" t="s">
        <v>760</v>
      </c>
      <c r="O43" s="13" t="s">
        <v>759</v>
      </c>
      <c r="P43" s="13" t="s">
        <v>758</v>
      </c>
      <c r="Q43" s="13" t="s">
        <v>757</v>
      </c>
      <c r="R43" s="28"/>
      <c r="S43" s="13" t="s">
        <v>2</v>
      </c>
      <c r="T43" s="13" t="s">
        <v>1</v>
      </c>
      <c r="U43" s="4"/>
      <c r="V43" s="17" t="s">
        <v>24</v>
      </c>
      <c r="W43" s="13" t="s">
        <v>756</v>
      </c>
      <c r="X43" s="13" t="s">
        <v>44</v>
      </c>
      <c r="Y43" s="5"/>
      <c r="Z43" s="4"/>
      <c r="AA43" s="4"/>
      <c r="AB43" s="3"/>
      <c r="AC43" s="11" t="str">
        <f ca="1">IFERROR(__xludf.DUMMYFUNCTION("HYPERLINK(
""https://wa.me/""&amp;REGEXREPLACE(Q43,""[^0-9]"","""")&amp;
""?text=""&amp;
ENCODEURL(
""Buenas tardes *""&amp;B43&amp;""*.
Te recordamos que tu plan *""""""&amp;E43&amp;""""""* *no incluye* la declaración de renta. Te enviamos varios correos informando sobre este proc"&amp;"eso. Esta semana vencen las primeras declaraciones juradas, lo que generará multas
Valor: *$""&amp;AD43&amp;""* + IVA = *$""&amp;AE43&amp;""*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43" s="26">
        <v>125000</v>
      </c>
      <c r="AE43" s="26">
        <v>148750</v>
      </c>
    </row>
    <row r="44" spans="1:31" ht="13.5">
      <c r="A44" s="24" t="s">
        <v>520</v>
      </c>
      <c r="B44" s="21" t="s">
        <v>755</v>
      </c>
      <c r="C44" s="13" t="s">
        <v>24</v>
      </c>
      <c r="D44" s="13"/>
      <c r="E44" s="17" t="s">
        <v>8</v>
      </c>
      <c r="F44" s="8"/>
      <c r="G44" s="4"/>
      <c r="H44" s="14">
        <v>30000</v>
      </c>
      <c r="I44" s="14">
        <f>H44*1.19</f>
        <v>35700</v>
      </c>
      <c r="J44" s="13">
        <v>543</v>
      </c>
      <c r="K44" s="6"/>
      <c r="L44" s="4"/>
      <c r="M44" s="19" t="s">
        <v>754</v>
      </c>
      <c r="N44" s="19" t="s">
        <v>753</v>
      </c>
      <c r="O44" s="13" t="s">
        <v>752</v>
      </c>
      <c r="P44" s="13" t="s">
        <v>751</v>
      </c>
      <c r="Q44" s="51" t="s">
        <v>750</v>
      </c>
      <c r="R44" s="28"/>
      <c r="S44" s="13" t="s">
        <v>2</v>
      </c>
      <c r="T44" s="13" t="s">
        <v>31</v>
      </c>
      <c r="U44" s="52"/>
      <c r="V44" s="17" t="s">
        <v>24</v>
      </c>
      <c r="W44" s="13" t="s">
        <v>749</v>
      </c>
      <c r="X44" s="13" t="s">
        <v>748</v>
      </c>
      <c r="Y44" s="5"/>
      <c r="Z44" s="4"/>
      <c r="AA44" s="4"/>
      <c r="AB44" s="3"/>
      <c r="AC44" s="11" t="str">
        <f ca="1">IFERROR(__xludf.DUMMYFUNCTION("HYPERLINK(
""https://wa.me/""&amp;REGEXREPLACE(Q44,""[^0-9]"","""")&amp;
""?text=""&amp;
ENCODEURL(
""Buenas tardes *""&amp;B44&amp;""*.
Te recordamos que tu plan *""""""&amp;E44&amp;""""""* *no incluye* la declaración de renta. Te enviamos varios correos informando sobre este proc"&amp;"eso. Esta semana vencen las primeras declaraciones juradas, lo que generará multas
Valor: *$""&amp;AD44&amp;""* + IVA = *$""&amp;AE44&amp;""*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44" s="26">
        <v>125000</v>
      </c>
      <c r="AE44" s="26">
        <v>148750</v>
      </c>
    </row>
    <row r="45" spans="1:31" ht="13.5">
      <c r="A45" s="24" t="s">
        <v>520</v>
      </c>
      <c r="B45" s="21" t="s">
        <v>747</v>
      </c>
      <c r="C45" s="13" t="s">
        <v>9</v>
      </c>
      <c r="D45" s="13" t="s">
        <v>9</v>
      </c>
      <c r="E45" s="17" t="s">
        <v>709</v>
      </c>
      <c r="F45" s="8"/>
      <c r="G45" s="4"/>
      <c r="H45" s="14" t="s">
        <v>457</v>
      </c>
      <c r="I45" s="14">
        <f>H45*1.19</f>
        <v>0</v>
      </c>
      <c r="J45" s="25" t="s">
        <v>16</v>
      </c>
      <c r="K45" s="6"/>
      <c r="L45" s="13" t="s">
        <v>746</v>
      </c>
      <c r="M45" s="19" t="s">
        <v>745</v>
      </c>
      <c r="N45" s="19" t="s">
        <v>744</v>
      </c>
      <c r="O45" s="13" t="s">
        <v>743</v>
      </c>
      <c r="P45" s="13" t="s">
        <v>742</v>
      </c>
      <c r="Q45" s="51">
        <v>963656735</v>
      </c>
      <c r="R45" s="28"/>
      <c r="S45" s="13" t="s">
        <v>2</v>
      </c>
      <c r="T45" s="17" t="s">
        <v>709</v>
      </c>
      <c r="U45" s="4"/>
      <c r="V45" s="17" t="s">
        <v>24</v>
      </c>
      <c r="W45" s="13" t="s">
        <v>741</v>
      </c>
      <c r="X45" s="13" t="s">
        <v>44</v>
      </c>
      <c r="Y45" s="5"/>
      <c r="Z45" s="4"/>
      <c r="AA45" s="4"/>
      <c r="AB45" s="3"/>
      <c r="AC45" s="3" t="str">
        <f ca="1">IFERROR(__xludf.DUMMYFUNCTION("HYPERLINK(
""https://wa.me/""&amp;REGEXREPLACE(Q45,""[^0-9]"","""")&amp;
""?text=""&amp;
ENCODEURL(
""Hola *""&amp;B45&amp;""*.
Te recordamos que la factura Nº *""&amp;J45&amp;""* por el plan """"""&amp;E45&amp;"""""" se encuentra disponible para pago y vence hoy.
Monto: *$""&amp;I45&amp;""*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*$""&amp;AD45&amp;""*
Valor total febrero (con IVA): *$""&amp;AE45&amp;""*
A partir de mañana el valor aument"&amp;"a un 25%, correspondiente al valor de diciembre.
Simple Pyme""
),
""Enviar WhatsApp""
)"),"Enviar WhatsApp")</f>
        <v>Enviar WhatsApp</v>
      </c>
      <c r="AD45" s="3"/>
      <c r="AE45" s="3"/>
    </row>
    <row r="46" spans="1:31" ht="13.5">
      <c r="A46" s="24" t="s">
        <v>520</v>
      </c>
      <c r="B46" s="21" t="s">
        <v>740</v>
      </c>
      <c r="C46" s="13" t="s">
        <v>9</v>
      </c>
      <c r="D46" s="13" t="s">
        <v>9</v>
      </c>
      <c r="E46" s="17" t="s">
        <v>23</v>
      </c>
      <c r="F46" s="8"/>
      <c r="G46" s="4"/>
      <c r="H46" s="14">
        <v>10000</v>
      </c>
      <c r="I46" s="14">
        <f>H46*1.19</f>
        <v>11900</v>
      </c>
      <c r="J46" s="13">
        <v>545</v>
      </c>
      <c r="K46" s="6"/>
      <c r="L46" s="4"/>
      <c r="M46" s="19" t="s">
        <v>739</v>
      </c>
      <c r="N46" s="19" t="s">
        <v>738</v>
      </c>
      <c r="O46" s="13" t="s">
        <v>737</v>
      </c>
      <c r="P46" s="13" t="s">
        <v>736</v>
      </c>
      <c r="Q46" s="51" t="s">
        <v>735</v>
      </c>
      <c r="R46" s="28"/>
      <c r="S46" s="13" t="s">
        <v>2</v>
      </c>
      <c r="T46" s="13" t="s">
        <v>31</v>
      </c>
      <c r="U46" s="52"/>
      <c r="V46" s="17" t="s">
        <v>24</v>
      </c>
      <c r="W46" s="13" t="s">
        <v>734</v>
      </c>
      <c r="X46" s="13" t="s">
        <v>733</v>
      </c>
      <c r="Y46" s="5"/>
      <c r="Z46" s="4"/>
      <c r="AA46" s="4"/>
      <c r="AB46" s="3"/>
      <c r="AC46" s="11" t="str">
        <f ca="1">IFERROR(__xludf.DUMMYFUNCTION("HYPERLINK(
""https://wa.me/""&amp;REGEXREPLACE(Q46,""[^0-9]"","""")&amp;
""?text=""&amp;
ENCODEURL(
""Hola *""&amp;B46&amp;""*.
Te recordamos que la factura Nº *""&amp;J46&amp;""* por el plan """"""&amp;E46&amp;"""""" se encuentra disponible para pago y vence hoy.
Monto: *$""&amp;I46&amp;""*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*$""&amp;AD46&amp;""*
Valor total febrero (con IVA): *$""&amp;AE46&amp;""*
A partir de mañana el valor aument"&amp;"a un 25%, correspondiente al valor de diciembre.
Simple Pyme""
),
""Enviar WhatsApp""
)"),"Enviar WhatsApp")</f>
        <v>Enviar WhatsApp</v>
      </c>
      <c r="AD46" s="26">
        <v>62500</v>
      </c>
      <c r="AE46" s="26">
        <f>AD46*1.19</f>
        <v>74375</v>
      </c>
    </row>
    <row r="47" spans="1:31" ht="13.5">
      <c r="A47" s="24" t="s">
        <v>520</v>
      </c>
      <c r="B47" s="21" t="s">
        <v>732</v>
      </c>
      <c r="C47" s="13" t="s">
        <v>24</v>
      </c>
      <c r="D47" s="13"/>
      <c r="E47" s="17" t="s">
        <v>8</v>
      </c>
      <c r="F47" s="8"/>
      <c r="G47" s="4"/>
      <c r="H47" s="14">
        <v>30000</v>
      </c>
      <c r="I47" s="14">
        <f>H47*1.19</f>
        <v>35700</v>
      </c>
      <c r="J47" s="13">
        <v>565</v>
      </c>
      <c r="K47" s="6"/>
      <c r="L47" s="4"/>
      <c r="M47" s="19" t="s">
        <v>731</v>
      </c>
      <c r="N47" s="19" t="s">
        <v>730</v>
      </c>
      <c r="O47" s="13" t="s">
        <v>729</v>
      </c>
      <c r="P47" s="13" t="s">
        <v>728</v>
      </c>
      <c r="Q47" s="54" t="s">
        <v>727</v>
      </c>
      <c r="R47" s="28"/>
      <c r="S47" s="13" t="s">
        <v>2</v>
      </c>
      <c r="T47" s="13" t="s">
        <v>1</v>
      </c>
      <c r="U47" s="78"/>
      <c r="V47" s="17" t="s">
        <v>24</v>
      </c>
      <c r="W47" s="13" t="s">
        <v>726</v>
      </c>
      <c r="X47" s="13" t="s">
        <v>725</v>
      </c>
      <c r="Y47" s="5"/>
      <c r="Z47" s="4"/>
      <c r="AA47" s="4"/>
      <c r="AB47" s="3"/>
      <c r="AC47" s="11" t="str">
        <f ca="1">IFERROR(__xludf.DUMMYFUNCTION("HYPERLINK(
""https://wa.me/""&amp;REGEXREPLACE(Q47,""[^0-9]"","""")&amp;
""?text=""&amp;
ENCODEURL(
""Buenas tardes *""&amp;B47&amp;""*.
Te recordamos que tu plan *""""""&amp;E47&amp;""""""* *no incluye* la declaración de renta. Te enviamos varios correos informando sobre este proc"&amp;"eso. Esta semana vencen las primeras declaraciones juradas, lo que generará multas
Valor: *$""&amp;AD47&amp;""* + IVA = *$""&amp;AE47&amp;""*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47" s="26">
        <v>125000</v>
      </c>
      <c r="AE47" s="26">
        <v>148750</v>
      </c>
    </row>
    <row r="48" spans="1:31" ht="13.5">
      <c r="A48" s="41" t="s">
        <v>520</v>
      </c>
      <c r="B48" s="40" t="s">
        <v>724</v>
      </c>
      <c r="C48" s="13" t="s">
        <v>24</v>
      </c>
      <c r="D48" s="34"/>
      <c r="E48" s="35" t="s">
        <v>93</v>
      </c>
      <c r="F48" s="47"/>
      <c r="G48" s="34"/>
      <c r="H48" s="27">
        <v>50000</v>
      </c>
      <c r="I48" s="27">
        <f>H48*1.19</f>
        <v>59500</v>
      </c>
      <c r="J48" s="35" t="s">
        <v>103</v>
      </c>
      <c r="K48" s="37"/>
      <c r="L48" s="35"/>
      <c r="M48" s="46" t="s">
        <v>723</v>
      </c>
      <c r="N48" s="46" t="s">
        <v>722</v>
      </c>
      <c r="O48" s="35" t="s">
        <v>721</v>
      </c>
      <c r="P48" s="35" t="s">
        <v>720</v>
      </c>
      <c r="Q48" s="112" t="s">
        <v>719</v>
      </c>
      <c r="R48" s="80"/>
      <c r="S48" s="13" t="s">
        <v>112</v>
      </c>
      <c r="T48" s="35" t="s">
        <v>97</v>
      </c>
      <c r="U48" s="34"/>
      <c r="V48" s="35" t="s">
        <v>24</v>
      </c>
      <c r="W48" s="35" t="s">
        <v>718</v>
      </c>
      <c r="X48" s="35" t="s">
        <v>717</v>
      </c>
      <c r="Y48" s="34"/>
      <c r="Z48" s="34"/>
      <c r="AA48" s="34"/>
      <c r="AB48" s="33"/>
      <c r="AC48" s="11" t="str">
        <f ca="1">IFERROR(__xludf.DUMMYFUNCTION("HYPERLINK(
""https://wa.me/""&amp;REGEXREPLACE(Q48,""[^0-9]"","""")&amp;
""?text=""&amp;
ENCODEURL(
""Buenas tardes *""&amp;B48&amp;""*.
Te recordamos que tu plan *""""""&amp;E48&amp;""""""* *no incluye* la declaración de renta. Te enviamos varios correos informando sobre este proc"&amp;"eso. Esta semana vencen las primeras declaraciones juradas, lo que generará multas
Valor: *$""&amp;AD48&amp;""* + IVA = *$""&amp;AE48&amp;""*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48" s="43">
        <v>117188</v>
      </c>
      <c r="AE48" s="26">
        <v>139453.72</v>
      </c>
    </row>
    <row r="49" spans="1:31" ht="13.5">
      <c r="A49" s="24" t="s">
        <v>520</v>
      </c>
      <c r="B49" s="21" t="s">
        <v>716</v>
      </c>
      <c r="C49" s="13"/>
      <c r="D49" s="4"/>
      <c r="E49" s="17" t="s">
        <v>709</v>
      </c>
      <c r="F49" s="8"/>
      <c r="G49" s="4"/>
      <c r="H49" s="14" t="s">
        <v>457</v>
      </c>
      <c r="I49" s="14">
        <f>H49*1.19</f>
        <v>0</v>
      </c>
      <c r="J49" s="25" t="s">
        <v>16</v>
      </c>
      <c r="K49" s="6"/>
      <c r="L49" s="13" t="s">
        <v>715</v>
      </c>
      <c r="M49" s="19" t="s">
        <v>714</v>
      </c>
      <c r="N49" s="19" t="s">
        <v>713</v>
      </c>
      <c r="O49" s="13" t="s">
        <v>712</v>
      </c>
      <c r="P49" s="13" t="s">
        <v>711</v>
      </c>
      <c r="Q49" s="13" t="s">
        <v>710</v>
      </c>
      <c r="R49" s="28"/>
      <c r="S49" s="13" t="s">
        <v>2</v>
      </c>
      <c r="T49" s="17" t="s">
        <v>709</v>
      </c>
      <c r="U49" s="4"/>
      <c r="V49" s="17" t="s">
        <v>24</v>
      </c>
      <c r="W49" s="13" t="s">
        <v>708</v>
      </c>
      <c r="X49" s="13" t="s">
        <v>707</v>
      </c>
      <c r="Y49" s="5"/>
      <c r="Z49" s="4"/>
      <c r="AA49" s="4"/>
      <c r="AB49" s="3"/>
      <c r="AC49" s="11" t="str">
        <f ca="1">IFERROR(__xludf.DUMMYFUNCTION("HYPERLINK(
""https://wa.me/""&amp;REGEXREPLACE(Q49,""[^0-9]"","""")&amp;
""?text=""&amp;
ENCODEURL(
""Hola *""&amp;B49&amp;""*.
Te recordamos que la factura Nº *""&amp;J49&amp;""* por el plan """"""&amp;E49&amp;"""""" se encuentra disponible para pago y vence hoy.
Monto: *$""&amp;I49&amp;""*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*$""&amp;AD49&amp;""*
Valor total febrero (con IVA): *$""&amp;AE49&amp;""*
A partir de mañana el valor aument"&amp;"a un 25%, correspondiente al valor de diciembre.
Simple Pyme""
),
""Enviar WhatsApp""
)"),"Enviar WhatsApp")</f>
        <v>Enviar WhatsApp</v>
      </c>
      <c r="AD49" s="3">
        <v>0</v>
      </c>
      <c r="AE49" s="3">
        <f>AD49*1.19</f>
        <v>0</v>
      </c>
    </row>
    <row r="50" spans="1:31" ht="13.5">
      <c r="A50" s="24" t="s">
        <v>520</v>
      </c>
      <c r="B50" s="21" t="s">
        <v>706</v>
      </c>
      <c r="C50" s="13" t="s">
        <v>9</v>
      </c>
      <c r="D50" s="13" t="s">
        <v>9</v>
      </c>
      <c r="E50" s="17" t="s">
        <v>8</v>
      </c>
      <c r="F50" s="8"/>
      <c r="G50" s="4"/>
      <c r="H50" s="14">
        <v>30000</v>
      </c>
      <c r="I50" s="14">
        <f>H50*1.19</f>
        <v>35700</v>
      </c>
      <c r="J50" s="13">
        <v>548</v>
      </c>
      <c r="K50" s="6"/>
      <c r="L50" s="13"/>
      <c r="M50" s="111" t="s">
        <v>705</v>
      </c>
      <c r="N50" s="19" t="s">
        <v>704</v>
      </c>
      <c r="O50" s="21" t="s">
        <v>703</v>
      </c>
      <c r="P50" s="13" t="s">
        <v>702</v>
      </c>
      <c r="Q50" s="13" t="s">
        <v>701</v>
      </c>
      <c r="R50" s="28"/>
      <c r="S50" s="13" t="s">
        <v>2</v>
      </c>
      <c r="T50" s="13" t="s">
        <v>31</v>
      </c>
      <c r="U50" s="4"/>
      <c r="V50" s="17" t="s">
        <v>24</v>
      </c>
      <c r="W50" s="13" t="s">
        <v>700</v>
      </c>
      <c r="X50" s="13" t="s">
        <v>44</v>
      </c>
      <c r="Y50" s="5"/>
      <c r="Z50" s="4"/>
      <c r="AA50" s="4"/>
      <c r="AB50" s="3"/>
      <c r="AC50" s="11" t="str">
        <f ca="1">IFERROR(__xludf.DUMMYFUNCTION("HYPERLINK(
""https://wa.me/""&amp;REGEXREPLACE(Q50,""[^0-9]"","""")&amp;
""?text=""&amp;
ENCODEURL(
""Hola *""&amp;B50&amp;""*.
Te recordamos que la factura Nº *""&amp;J50&amp;""* por el plan """"""&amp;E50&amp;"""""" se encuentra disponible para pago y vence hoy.
Monto: *$""&amp;I50&amp;""*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50" s="3"/>
      <c r="AE50" s="3">
        <f>AD50*1.19</f>
        <v>0</v>
      </c>
    </row>
    <row r="51" spans="1:31" ht="13.5">
      <c r="A51" s="24" t="s">
        <v>520</v>
      </c>
      <c r="B51" s="21" t="s">
        <v>699</v>
      </c>
      <c r="C51" s="13" t="s">
        <v>9</v>
      </c>
      <c r="D51" s="13" t="s">
        <v>9</v>
      </c>
      <c r="E51" s="17" t="s">
        <v>8</v>
      </c>
      <c r="F51" s="8"/>
      <c r="G51" s="13">
        <f>80000*1.19</f>
        <v>95200</v>
      </c>
      <c r="H51" s="14">
        <v>30000</v>
      </c>
      <c r="I51" s="14">
        <f>H51*1.19</f>
        <v>35700</v>
      </c>
      <c r="J51" s="13">
        <v>550</v>
      </c>
      <c r="K51" s="6"/>
      <c r="L51" s="4"/>
      <c r="M51" s="19" t="s">
        <v>698</v>
      </c>
      <c r="N51" s="19" t="s">
        <v>697</v>
      </c>
      <c r="O51" s="13" t="s">
        <v>696</v>
      </c>
      <c r="P51" s="13" t="s">
        <v>695</v>
      </c>
      <c r="Q51" s="51" t="s">
        <v>694</v>
      </c>
      <c r="R51" s="28"/>
      <c r="S51" s="13" t="s">
        <v>2</v>
      </c>
      <c r="T51" s="13" t="s">
        <v>31</v>
      </c>
      <c r="U51" s="52"/>
      <c r="V51" s="17" t="s">
        <v>24</v>
      </c>
      <c r="W51" s="13" t="s">
        <v>693</v>
      </c>
      <c r="X51" s="13" t="s">
        <v>692</v>
      </c>
      <c r="Y51" s="5"/>
      <c r="Z51" s="4"/>
      <c r="AA51" s="4"/>
      <c r="AB51" s="3"/>
      <c r="AC51" s="11" t="str">
        <f ca="1">IFERROR(__xludf.DUMMYFUNCTION("HYPERLINK(
""https://wa.me/""&amp;REGEXREPLACE(Q51,""[^0-9]"","""")&amp;
""?text=""&amp;
ENCODEURL(
""Hola *""&amp;B51&amp;""*.
Te recordamos que la factura Nº *""&amp;J51&amp;""* por el plan """"""&amp;E51&amp;"""""" se encuentra disponible para pago y vence hoy.
Monto: *$""&amp;I51&amp;""*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51" s="3"/>
      <c r="AE51" s="3">
        <f>AD51*1.19</f>
        <v>0</v>
      </c>
    </row>
    <row r="52" spans="1:31" ht="13.5">
      <c r="A52" s="24" t="s">
        <v>520</v>
      </c>
      <c r="B52" s="21" t="s">
        <v>691</v>
      </c>
      <c r="C52" s="13" t="s">
        <v>9</v>
      </c>
      <c r="D52" s="13" t="s">
        <v>9</v>
      </c>
      <c r="E52" s="17" t="s">
        <v>47</v>
      </c>
      <c r="F52" s="8"/>
      <c r="G52" s="4"/>
      <c r="H52" s="14">
        <v>60504</v>
      </c>
      <c r="I52" s="14">
        <f>H52*1.19</f>
        <v>71999.759999999995</v>
      </c>
      <c r="J52" s="13">
        <v>555</v>
      </c>
      <c r="K52" s="14">
        <v>238000</v>
      </c>
      <c r="L52" s="4"/>
      <c r="M52" s="19" t="s">
        <v>690</v>
      </c>
      <c r="N52" s="19" t="s">
        <v>689</v>
      </c>
      <c r="O52" s="13" t="s">
        <v>688</v>
      </c>
      <c r="P52" s="13" t="s">
        <v>687</v>
      </c>
      <c r="Q52" s="13" t="s">
        <v>686</v>
      </c>
      <c r="R52" s="28"/>
      <c r="S52" s="13" t="s">
        <v>2</v>
      </c>
      <c r="T52" s="13" t="s">
        <v>1</v>
      </c>
      <c r="U52" s="52"/>
      <c r="V52" s="17" t="s">
        <v>24</v>
      </c>
      <c r="W52" s="13" t="s">
        <v>685</v>
      </c>
      <c r="X52" s="13" t="s">
        <v>684</v>
      </c>
      <c r="Y52" s="5"/>
      <c r="Z52" s="4"/>
      <c r="AA52" s="4"/>
      <c r="AB52" s="3"/>
      <c r="AC52" s="11" t="str">
        <f ca="1">IFERROR(__xludf.DUMMYFUNCTION("HYPERLINK(
""https://wa.me/""&amp;REGEXREPLACE(Q52,""[^0-9]"","""")&amp;
""?text=""&amp;
ENCODEURL(
""Hola *""&amp;B52&amp;""*.
Te recordamos que la factura Nº *""&amp;J52&amp;""* por el plan """"""&amp;E52&amp;"""""" se encuentra disponible para pago y vence hoy.
Monto: *$""&amp;I52&amp;""*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52" s="3"/>
      <c r="AE52" s="3">
        <f>AD52*1.19</f>
        <v>0</v>
      </c>
    </row>
    <row r="53" spans="1:31" ht="13.5">
      <c r="A53" s="24" t="s">
        <v>520</v>
      </c>
      <c r="B53" s="21" t="s">
        <v>683</v>
      </c>
      <c r="C53" s="13" t="s">
        <v>24</v>
      </c>
      <c r="D53" s="13"/>
      <c r="E53" s="17" t="s">
        <v>8</v>
      </c>
      <c r="F53" s="8"/>
      <c r="G53" s="4"/>
      <c r="H53" s="14">
        <v>30000</v>
      </c>
      <c r="I53" s="14">
        <f>H53*1.19</f>
        <v>35700</v>
      </c>
      <c r="J53" s="13">
        <v>553</v>
      </c>
      <c r="K53" s="6"/>
      <c r="L53" s="4"/>
      <c r="M53" s="19" t="s">
        <v>682</v>
      </c>
      <c r="N53" s="19" t="s">
        <v>681</v>
      </c>
      <c r="O53" s="13" t="s">
        <v>680</v>
      </c>
      <c r="P53" s="13" t="s">
        <v>679</v>
      </c>
      <c r="Q53" s="13" t="s">
        <v>678</v>
      </c>
      <c r="R53" s="28"/>
      <c r="S53" s="13" t="s">
        <v>2</v>
      </c>
      <c r="T53" s="13" t="s">
        <v>1</v>
      </c>
      <c r="U53" s="18"/>
      <c r="V53" s="17" t="s">
        <v>24</v>
      </c>
      <c r="W53" s="13" t="s">
        <v>677</v>
      </c>
      <c r="X53" s="13" t="s">
        <v>676</v>
      </c>
      <c r="Y53" s="5"/>
      <c r="Z53" s="4"/>
      <c r="AA53" s="4"/>
      <c r="AB53" s="3"/>
      <c r="AC53" s="11" t="str">
        <f ca="1">IFERROR(__xludf.DUMMYFUNCTION("HYPERLINK(
""https://wa.me/""&amp;REGEXREPLACE(Q53,""[^0-9]"","""")&amp;
""?text=""&amp;
ENCODEURL(
""Buenas tardes *""&amp;B53&amp;""*.
Te recordamos que tu plan *""""""&amp;E53&amp;""""""* *no incluye* la declaración de renta. Te enviamos varios correos informando sobre este proc"&amp;"eso. Esta semana vencen las primeras declaraciones juradas, lo que generará multas
Valor: *$""&amp;AD53&amp;""* + IVA = *$""&amp;AE53&amp;""*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53" s="26">
        <v>125000</v>
      </c>
      <c r="AE53" s="26">
        <v>148750</v>
      </c>
    </row>
    <row r="54" spans="1:31" ht="13.5">
      <c r="A54" s="24" t="s">
        <v>520</v>
      </c>
      <c r="B54" s="21" t="s">
        <v>675</v>
      </c>
      <c r="C54" s="13" t="s">
        <v>9</v>
      </c>
      <c r="D54" s="13" t="s">
        <v>9</v>
      </c>
      <c r="E54" s="17" t="s">
        <v>23</v>
      </c>
      <c r="F54" s="8"/>
      <c r="G54" s="4"/>
      <c r="H54" s="14">
        <v>10000</v>
      </c>
      <c r="I54" s="14">
        <f>H54*1.19</f>
        <v>11900</v>
      </c>
      <c r="J54" s="13">
        <v>557</v>
      </c>
      <c r="K54" s="14">
        <v>59500</v>
      </c>
      <c r="L54" s="4"/>
      <c r="M54" s="19" t="s">
        <v>674</v>
      </c>
      <c r="N54" s="19" t="s">
        <v>673</v>
      </c>
      <c r="O54" s="13" t="s">
        <v>672</v>
      </c>
      <c r="P54" s="13" t="s">
        <v>550</v>
      </c>
      <c r="Q54" s="51" t="s">
        <v>671</v>
      </c>
      <c r="R54" s="28"/>
      <c r="S54" s="13" t="s">
        <v>2</v>
      </c>
      <c r="T54" s="13" t="s">
        <v>31</v>
      </c>
      <c r="U54" s="48"/>
      <c r="V54" s="17" t="s">
        <v>24</v>
      </c>
      <c r="W54" s="13" t="s">
        <v>670</v>
      </c>
      <c r="X54" s="13" t="s">
        <v>669</v>
      </c>
      <c r="Y54" s="5"/>
      <c r="Z54" s="4"/>
      <c r="AA54" s="4"/>
      <c r="AB54" s="3"/>
      <c r="AC54" s="11" t="str">
        <f ca="1">IFERROR(__xludf.DUMMYFUNCTION("HYPERLINK(
""https://wa.me/""&amp;REGEXREPLACE(Q54,""[^0-9]"","""")&amp;
""?text=""&amp;
ENCODEURL(
""Hola *""&amp;B54&amp;""*.
Te recordamos que la factura Nº *""&amp;J54&amp;""* por el plan """"""&amp;E54&amp;"""""" se encuentra disponible para pago y vence hoy.
Monto: *$""&amp;I54&amp;""*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54" s="3"/>
      <c r="AE54" s="3">
        <f>AD54*1.19</f>
        <v>0</v>
      </c>
    </row>
    <row r="55" spans="1:31" ht="13.5">
      <c r="A55" s="24" t="s">
        <v>520</v>
      </c>
      <c r="B55" s="21" t="s">
        <v>668</v>
      </c>
      <c r="C55" s="13" t="s">
        <v>24</v>
      </c>
      <c r="D55" s="13"/>
      <c r="E55" s="17" t="s">
        <v>8</v>
      </c>
      <c r="F55" s="8"/>
      <c r="G55" s="4"/>
      <c r="H55" s="14">
        <v>30000</v>
      </c>
      <c r="I55" s="14">
        <f>H55*1.19</f>
        <v>35700</v>
      </c>
      <c r="J55" s="13">
        <v>567</v>
      </c>
      <c r="K55" s="6"/>
      <c r="L55" s="13"/>
      <c r="M55" s="19" t="s">
        <v>667</v>
      </c>
      <c r="N55" s="19" t="s">
        <v>666</v>
      </c>
      <c r="O55" s="13" t="s">
        <v>665</v>
      </c>
      <c r="P55" s="13" t="s">
        <v>664</v>
      </c>
      <c r="Q55" s="13" t="s">
        <v>663</v>
      </c>
      <c r="R55" s="28"/>
      <c r="S55" s="13" t="s">
        <v>2</v>
      </c>
      <c r="T55" s="13" t="s">
        <v>31</v>
      </c>
      <c r="U55" s="18"/>
      <c r="V55" s="17" t="s">
        <v>24</v>
      </c>
      <c r="W55" s="13" t="s">
        <v>662</v>
      </c>
      <c r="X55" s="13" t="s">
        <v>661</v>
      </c>
      <c r="Y55" s="5"/>
      <c r="Z55" s="4"/>
      <c r="AA55" s="4"/>
      <c r="AB55" s="3"/>
      <c r="AC55" s="11" t="str">
        <f ca="1">IFERROR(__xludf.DUMMYFUNCTION("HYPERLINK(
""https://wa.me/""&amp;REGEXREPLACE(Q55,""[^0-9]"","""")&amp;
""?text=""&amp;
ENCODEURL(
""Buenas tardes *""&amp;B55&amp;""*.
Te recordamos que tu plan *""""""&amp;E55&amp;""""""* *no incluye* la declaración de renta. Te enviamos varios correos informando sobre este proc"&amp;"eso. Esta semana vencen las primeras declaraciones juradas, lo que generará multas
Valor: *$""&amp;AD55&amp;""* + IVA = *$""&amp;AE55&amp;""*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55" s="26">
        <v>125000</v>
      </c>
      <c r="AE55" s="26">
        <v>148750</v>
      </c>
    </row>
    <row r="56" spans="1:31" ht="13.5">
      <c r="A56" s="24" t="s">
        <v>520</v>
      </c>
      <c r="B56" s="21" t="s">
        <v>660</v>
      </c>
      <c r="C56" s="13" t="s">
        <v>9</v>
      </c>
      <c r="D56" s="13" t="s">
        <v>9</v>
      </c>
      <c r="E56" s="17" t="s">
        <v>93</v>
      </c>
      <c r="F56" s="8"/>
      <c r="G56" s="4"/>
      <c r="H56" s="14">
        <v>50000</v>
      </c>
      <c r="I56" s="14">
        <f>H56*1.19</f>
        <v>59500</v>
      </c>
      <c r="J56" s="13">
        <v>569</v>
      </c>
      <c r="K56" s="14">
        <v>119000</v>
      </c>
      <c r="L56" s="4"/>
      <c r="M56" s="19" t="s">
        <v>659</v>
      </c>
      <c r="N56" s="19" t="s">
        <v>658</v>
      </c>
      <c r="O56" s="13" t="s">
        <v>657</v>
      </c>
      <c r="P56" s="13" t="s">
        <v>656</v>
      </c>
      <c r="Q56" s="13" t="s">
        <v>139</v>
      </c>
      <c r="R56" s="28"/>
      <c r="S56" s="13" t="s">
        <v>2</v>
      </c>
      <c r="T56" s="13" t="s">
        <v>31</v>
      </c>
      <c r="U56" s="52"/>
      <c r="V56" s="17" t="s">
        <v>24</v>
      </c>
      <c r="W56" s="13" t="s">
        <v>655</v>
      </c>
      <c r="X56" s="13" t="s">
        <v>654</v>
      </c>
      <c r="Y56" s="5"/>
      <c r="Z56" s="4"/>
      <c r="AA56" s="4"/>
      <c r="AB56" s="3"/>
      <c r="AC56" s="11" t="str">
        <f ca="1">IFERROR(__xludf.DUMMYFUNCTION("HYPERLINK(
""https://wa.me/""&amp;REGEXREPLACE(Q56,""[^0-9]"","""")&amp;
""?text=""&amp;
ENCODEURL(
""Hola *""&amp;B56&amp;""*.
Te recordamos que la factura Nº *""&amp;J56&amp;""* por el plan """"""&amp;E56&amp;"""""" se encuentra disponible para pago y vence hoy.
Monto: *$""&amp;I56&amp;""*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*$""&amp;AD56&amp;""*
Valor total febrero (con IVA): *$""&amp;AE56&amp;""*
A partir de mañana el valor aument"&amp;"a un 25%, correspondiente al valor de diciembre.
Simple Pyme""
),
""Enviar WhatsApp""
)"),"Enviar WhatsApp")</f>
        <v>Enviar WhatsApp</v>
      </c>
      <c r="AD56" s="3"/>
      <c r="AE56" s="3"/>
    </row>
    <row r="57" spans="1:31" ht="13.5">
      <c r="A57" s="24" t="s">
        <v>520</v>
      </c>
      <c r="B57" s="21" t="s">
        <v>653</v>
      </c>
      <c r="C57" s="13"/>
      <c r="D57" s="13"/>
      <c r="E57" s="17" t="s">
        <v>11</v>
      </c>
      <c r="F57" s="8"/>
      <c r="G57" s="4"/>
      <c r="H57" s="14" t="s">
        <v>457</v>
      </c>
      <c r="I57" s="14">
        <f>H57*1.19</f>
        <v>0</v>
      </c>
      <c r="J57" s="25" t="s">
        <v>16</v>
      </c>
      <c r="K57" s="6"/>
      <c r="L57" s="4"/>
      <c r="M57" s="19" t="s">
        <v>85</v>
      </c>
      <c r="N57" s="19" t="s">
        <v>84</v>
      </c>
      <c r="O57" s="13" t="s">
        <v>83</v>
      </c>
      <c r="P57" s="13" t="s">
        <v>652</v>
      </c>
      <c r="Q57" s="51" t="s">
        <v>651</v>
      </c>
      <c r="R57" s="28"/>
      <c r="S57" s="13" t="s">
        <v>2</v>
      </c>
      <c r="T57" s="17" t="s">
        <v>11</v>
      </c>
      <c r="U57" s="4"/>
      <c r="V57" s="17" t="s">
        <v>24</v>
      </c>
      <c r="W57" s="13" t="s">
        <v>650</v>
      </c>
      <c r="X57" s="13" t="s">
        <v>649</v>
      </c>
      <c r="Y57" s="5"/>
      <c r="Z57" s="4"/>
      <c r="AA57" s="4"/>
      <c r="AB57" s="3"/>
      <c r="AC57" s="11" t="str">
        <f ca="1">IFERROR(__xludf.DUMMYFUNCTION("HYPERLINK(
""https://wa.me/""&amp;REGEXREPLACE(Q57,""[^0-9]"","""")&amp;
""?text=""&amp;
ENCODEURL(
""Hola *""&amp;B57&amp;""*.
Te recordamos que la factura Nº *""&amp;J57&amp;""* por el plan """"""&amp;E57&amp;"""""" se encuentra disponible para pago y vence hoy.
Monto: *$""&amp;I57&amp;""*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*$""&amp;AD57&amp;""*
Valor total febrero (con IVA): *$""&amp;AE57&amp;""*
A partir de mañana el valor aument"&amp;"a un 25%, correspondiente al valor de diciembre.
Simple Pyme""
),
""Enviar WhatsApp""
)"),"Enviar WhatsApp")</f>
        <v>Enviar WhatsApp</v>
      </c>
      <c r="AD57" s="3">
        <v>0</v>
      </c>
      <c r="AE57" s="3">
        <f>AD57*1.19</f>
        <v>0</v>
      </c>
    </row>
    <row r="58" spans="1:31" ht="13.5">
      <c r="A58" s="24" t="s">
        <v>520</v>
      </c>
      <c r="B58" s="21" t="s">
        <v>648</v>
      </c>
      <c r="C58" s="13" t="s">
        <v>24</v>
      </c>
      <c r="D58" s="13"/>
      <c r="E58" s="17" t="s">
        <v>8</v>
      </c>
      <c r="F58" s="8"/>
      <c r="G58" s="4"/>
      <c r="H58" s="14">
        <v>30000</v>
      </c>
      <c r="I58" s="14">
        <f>H58*1.19</f>
        <v>35700</v>
      </c>
      <c r="J58" s="13">
        <v>571</v>
      </c>
      <c r="K58" s="6"/>
      <c r="L58" s="13"/>
      <c r="M58" s="19" t="s">
        <v>647</v>
      </c>
      <c r="N58" s="19" t="s">
        <v>646</v>
      </c>
      <c r="O58" s="21" t="s">
        <v>164</v>
      </c>
      <c r="P58" s="13" t="s">
        <v>645</v>
      </c>
      <c r="Q58" s="55" t="s">
        <v>163</v>
      </c>
      <c r="R58" s="80"/>
      <c r="S58" s="13" t="s">
        <v>2</v>
      </c>
      <c r="T58" s="13" t="s">
        <v>31</v>
      </c>
      <c r="U58" s="78"/>
      <c r="V58" s="17" t="s">
        <v>24</v>
      </c>
      <c r="W58" s="13" t="s">
        <v>162</v>
      </c>
      <c r="X58" s="13" t="s">
        <v>161</v>
      </c>
      <c r="Y58" s="5"/>
      <c r="Z58" s="4"/>
      <c r="AA58" s="4"/>
      <c r="AB58" s="3"/>
      <c r="AC58" s="3" t="s">
        <v>160</v>
      </c>
      <c r="AD58" s="26">
        <v>125000</v>
      </c>
      <c r="AE58" s="26">
        <v>148750</v>
      </c>
    </row>
    <row r="59" spans="1:31" ht="13.5">
      <c r="A59" s="24" t="s">
        <v>520</v>
      </c>
      <c r="B59" s="105" t="s">
        <v>644</v>
      </c>
      <c r="C59" s="13" t="s">
        <v>9</v>
      </c>
      <c r="D59" s="13" t="s">
        <v>9</v>
      </c>
      <c r="E59" s="17" t="s">
        <v>8</v>
      </c>
      <c r="F59" s="8"/>
      <c r="G59" s="4"/>
      <c r="H59" s="103">
        <v>30000</v>
      </c>
      <c r="I59" s="14">
        <f>H59*1.19</f>
        <v>35700</v>
      </c>
      <c r="J59" s="13">
        <v>559</v>
      </c>
      <c r="K59" s="103">
        <v>95200</v>
      </c>
      <c r="L59" s="13"/>
      <c r="M59" s="19" t="s">
        <v>643</v>
      </c>
      <c r="N59" s="19" t="s">
        <v>642</v>
      </c>
      <c r="O59" s="31" t="s">
        <v>641</v>
      </c>
      <c r="P59" s="13" t="s">
        <v>640</v>
      </c>
      <c r="Q59" s="13" t="s">
        <v>639</v>
      </c>
      <c r="R59" s="80"/>
      <c r="S59" s="13" t="s">
        <v>2</v>
      </c>
      <c r="T59" s="13" t="s">
        <v>31</v>
      </c>
      <c r="U59" s="22"/>
      <c r="V59" s="17" t="s">
        <v>24</v>
      </c>
      <c r="W59" s="13" t="s">
        <v>638</v>
      </c>
      <c r="X59" s="13" t="s">
        <v>637</v>
      </c>
      <c r="Y59" s="5"/>
      <c r="Z59" s="4"/>
      <c r="AA59" s="4"/>
      <c r="AB59" s="3"/>
      <c r="AC59" s="11" t="str">
        <f ca="1">IFERROR(__xludf.DUMMYFUNCTION("HYPERLINK(
""https://wa.me/""&amp;REGEXREPLACE(Q59,""[^0-9]"","""")&amp;
""?text=""&amp;
ENCODEURL(
""Hola *""&amp;B59&amp;""*.
Te recordamos que la factura Nº *""&amp;J59&amp;""* por el plan """"""&amp;E59&amp;"""""" se encuentra disponible para pago y vence hoy.
Monto: *$""&amp;I59&amp;""*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59" s="3"/>
      <c r="AE59" s="3">
        <f>AD59*1.19</f>
        <v>0</v>
      </c>
    </row>
    <row r="60" spans="1:31" ht="13.5">
      <c r="A60" s="24" t="s">
        <v>520</v>
      </c>
      <c r="B60" s="21" t="s">
        <v>636</v>
      </c>
      <c r="C60" s="13" t="s">
        <v>9</v>
      </c>
      <c r="D60" s="13" t="s">
        <v>9</v>
      </c>
      <c r="E60" s="17" t="s">
        <v>8</v>
      </c>
      <c r="F60" s="8"/>
      <c r="G60" s="4"/>
      <c r="H60" s="14">
        <v>30000</v>
      </c>
      <c r="I60" s="14">
        <f>H60*1.19</f>
        <v>35700</v>
      </c>
      <c r="J60" s="13">
        <v>561</v>
      </c>
      <c r="K60" s="6"/>
      <c r="L60" s="13" t="s">
        <v>635</v>
      </c>
      <c r="M60" s="19" t="s">
        <v>634</v>
      </c>
      <c r="N60" s="19" t="s">
        <v>629</v>
      </c>
      <c r="O60" s="13" t="s">
        <v>633</v>
      </c>
      <c r="P60" s="13" t="s">
        <v>632</v>
      </c>
      <c r="Q60" s="51" t="s">
        <v>631</v>
      </c>
      <c r="R60" s="28"/>
      <c r="S60" s="13" t="s">
        <v>2</v>
      </c>
      <c r="T60" s="13" t="s">
        <v>31</v>
      </c>
      <c r="U60" s="48"/>
      <c r="V60" s="17" t="s">
        <v>24</v>
      </c>
      <c r="W60" s="13" t="s">
        <v>630</v>
      </c>
      <c r="X60" s="15" t="s">
        <v>629</v>
      </c>
      <c r="Y60" s="5"/>
      <c r="Z60" s="4"/>
      <c r="AA60" s="4"/>
      <c r="AB60" s="3"/>
      <c r="AC60" s="11" t="str">
        <f ca="1">IFERROR(__xludf.DUMMYFUNCTION("HYPERLINK(
""https://wa.me/""&amp;REGEXREPLACE(Q60,""[^0-9]"","""")&amp;
""?text=""&amp;
ENCODEURL(
""Hola *""&amp;B60&amp;""*.
Te recordamos que la factura Nº *""&amp;J60&amp;""* por el plan """"""&amp;E60&amp;"""""" se encuentra disponible para pago y vence hoy.
Monto: *$""&amp;I60&amp;""*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60" s="3"/>
      <c r="AE60" s="3">
        <f>AD60*1.19</f>
        <v>0</v>
      </c>
    </row>
    <row r="61" spans="1:31" ht="13.5">
      <c r="A61" s="24" t="s">
        <v>520</v>
      </c>
      <c r="B61" s="21" t="s">
        <v>628</v>
      </c>
      <c r="C61" s="13" t="s">
        <v>9</v>
      </c>
      <c r="D61" s="13" t="s">
        <v>9</v>
      </c>
      <c r="E61" s="13" t="s">
        <v>23</v>
      </c>
      <c r="F61" s="8"/>
      <c r="G61" s="4"/>
      <c r="H61" s="14">
        <v>10000</v>
      </c>
      <c r="I61" s="14">
        <f>H61*1.19</f>
        <v>11900</v>
      </c>
      <c r="J61" s="13">
        <v>573</v>
      </c>
      <c r="K61" s="6"/>
      <c r="L61" s="4"/>
      <c r="M61" s="19" t="s">
        <v>627</v>
      </c>
      <c r="N61" s="19" t="s">
        <v>626</v>
      </c>
      <c r="O61" s="21" t="s">
        <v>625</v>
      </c>
      <c r="P61" s="13" t="s">
        <v>624</v>
      </c>
      <c r="Q61" s="13" t="s">
        <v>623</v>
      </c>
      <c r="R61" s="14"/>
      <c r="S61" s="13" t="s">
        <v>2</v>
      </c>
      <c r="T61" s="13" t="s">
        <v>1</v>
      </c>
      <c r="U61" s="18"/>
      <c r="V61" s="17" t="s">
        <v>24</v>
      </c>
      <c r="W61" s="13" t="s">
        <v>622</v>
      </c>
      <c r="X61" s="13" t="s">
        <v>621</v>
      </c>
      <c r="Y61" s="5"/>
      <c r="Z61" s="4"/>
      <c r="AA61" s="4"/>
      <c r="AB61" s="3"/>
      <c r="AC61" s="11" t="str">
        <f ca="1">IFERROR(__xludf.DUMMYFUNCTION("HYPERLINK(
""https://wa.me/""&amp;REGEXREPLACE(Q61,""[^0-9]"","""")&amp;
""?text=""&amp;
ENCODEURL(
""Hola *""&amp;B61&amp;""*.
Te recordamos que la factura Nº *""&amp;J61&amp;""* por el plan """"""&amp;E61&amp;"""""" se encuentra disponible para pago y vence hoy.
Monto: *$""&amp;I61&amp;""*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61" s="3"/>
      <c r="AE61" s="3">
        <f>AD61*1.19</f>
        <v>0</v>
      </c>
    </row>
    <row r="62" spans="1:31" ht="13.5">
      <c r="A62" s="61" t="s">
        <v>520</v>
      </c>
      <c r="B62" s="21" t="s">
        <v>620</v>
      </c>
      <c r="C62" s="13" t="s">
        <v>24</v>
      </c>
      <c r="D62" s="13"/>
      <c r="E62" s="13" t="s">
        <v>8</v>
      </c>
      <c r="F62" s="8"/>
      <c r="G62" s="13">
        <v>1</v>
      </c>
      <c r="H62" s="14">
        <v>30000</v>
      </c>
      <c r="I62" s="14">
        <f>H62*1.19</f>
        <v>35700</v>
      </c>
      <c r="J62" s="13">
        <v>564</v>
      </c>
      <c r="K62" s="6"/>
      <c r="L62" s="13"/>
      <c r="M62" s="19" t="s">
        <v>619</v>
      </c>
      <c r="N62" s="19" t="s">
        <v>618</v>
      </c>
      <c r="O62" s="21" t="s">
        <v>617</v>
      </c>
      <c r="P62" s="13" t="s">
        <v>616</v>
      </c>
      <c r="Q62" s="13" t="s">
        <v>615</v>
      </c>
      <c r="R62" s="28"/>
      <c r="S62" s="13" t="s">
        <v>2</v>
      </c>
      <c r="T62" s="13" t="s">
        <v>1</v>
      </c>
      <c r="U62" s="52"/>
      <c r="V62" s="13" t="s">
        <v>24</v>
      </c>
      <c r="W62" s="13" t="s">
        <v>614</v>
      </c>
      <c r="X62" s="13" t="s">
        <v>613</v>
      </c>
      <c r="Y62" s="4"/>
      <c r="Z62" s="4"/>
      <c r="AA62" s="4"/>
      <c r="AB62" s="3"/>
      <c r="AC62" s="11" t="str">
        <f ca="1">IFERROR(__xludf.DUMMYFUNCTION("HYPERLINK(
""https://wa.me/""&amp;REGEXREPLACE(Q62,""[^0-9]"","""")&amp;
""?text=""&amp;
ENCODEURL(
""Buenas tardes *""&amp;B62&amp;""*.
Te recordamos que tu plan *""""""&amp;E62&amp;""""""* *no incluye* la declaración de renta. Te enviamos varios correos informando sobre este proc"&amp;"eso. Esta semana vencen las primeras declaraciones juradas, lo que generará multas
Valor: *$""&amp;AD62&amp;""* + IVA = *$""&amp;AE62&amp;""*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62" s="26">
        <v>125000</v>
      </c>
      <c r="AE62" s="26">
        <v>148750</v>
      </c>
    </row>
    <row r="63" spans="1:31" ht="13.5">
      <c r="A63" s="24" t="s">
        <v>520</v>
      </c>
      <c r="B63" s="21" t="s">
        <v>612</v>
      </c>
      <c r="C63" s="4"/>
      <c r="D63" s="4"/>
      <c r="E63" s="17" t="s">
        <v>11</v>
      </c>
      <c r="F63" s="8"/>
      <c r="G63" s="4"/>
      <c r="H63" s="14" t="s">
        <v>457</v>
      </c>
      <c r="I63" s="14">
        <f>H63*1.19</f>
        <v>0</v>
      </c>
      <c r="J63" s="25" t="s">
        <v>16</v>
      </c>
      <c r="K63" s="6"/>
      <c r="L63" s="4"/>
      <c r="M63" s="19" t="s">
        <v>611</v>
      </c>
      <c r="N63" s="19" t="s">
        <v>610</v>
      </c>
      <c r="O63" s="13" t="s">
        <v>609</v>
      </c>
      <c r="P63" s="13" t="s">
        <v>608</v>
      </c>
      <c r="Q63" s="51" t="s">
        <v>607</v>
      </c>
      <c r="R63" s="28"/>
      <c r="S63" s="13" t="s">
        <v>2</v>
      </c>
      <c r="T63" s="17" t="s">
        <v>11</v>
      </c>
      <c r="U63" s="4"/>
      <c r="V63" s="17" t="s">
        <v>24</v>
      </c>
      <c r="W63" s="13" t="s">
        <v>606</v>
      </c>
      <c r="X63" s="13">
        <v>27097283</v>
      </c>
      <c r="Y63" s="5"/>
      <c r="Z63" s="4"/>
      <c r="AA63" s="4"/>
      <c r="AB63" s="3"/>
      <c r="AC63" s="11" t="str">
        <f ca="1">IFERROR(__xludf.DUMMYFUNCTION("HYPERLINK(
""https://wa.me/""&amp;REGEXREPLACE(Q63,""[^0-9]"","""")&amp;
""?text=""&amp;
ENCODEURL(
""Hola *""&amp;B63&amp;""*.
Te recordamos que la factura Nº *""&amp;J63&amp;""* por el plan """"""&amp;E63&amp;"""""" se encuentra disponible para pago y vence hoy.
Monto: *$""&amp;I63&amp;""*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*$""&amp;AD63&amp;""*
Valor total febrero (con IVA): *$""&amp;AE63&amp;""*
A partir de mañana el valor aument"&amp;"a un 25%, correspondiente al valor de diciembre.
Simple Pyme""
),
""Enviar WhatsApp""
)"),"Enviar WhatsApp")</f>
        <v>Enviar WhatsApp</v>
      </c>
      <c r="AD63" s="3"/>
      <c r="AE63" s="3"/>
    </row>
    <row r="64" spans="1:31" ht="13.5">
      <c r="A64" s="24" t="s">
        <v>520</v>
      </c>
      <c r="B64" s="21" t="s">
        <v>605</v>
      </c>
      <c r="C64" s="4"/>
      <c r="D64" s="4"/>
      <c r="E64" s="17" t="s">
        <v>11</v>
      </c>
      <c r="F64" s="8"/>
      <c r="G64" s="4"/>
      <c r="H64" s="14" t="s">
        <v>457</v>
      </c>
      <c r="I64" s="14">
        <f>H64*1.19</f>
        <v>0</v>
      </c>
      <c r="J64" s="25" t="s">
        <v>16</v>
      </c>
      <c r="K64" s="6"/>
      <c r="L64" s="4"/>
      <c r="M64" s="19" t="s">
        <v>604</v>
      </c>
      <c r="N64" s="19" t="s">
        <v>603</v>
      </c>
      <c r="O64" s="13" t="s">
        <v>602</v>
      </c>
      <c r="P64" s="101" t="s">
        <v>601</v>
      </c>
      <c r="Q64" s="13" t="s">
        <v>600</v>
      </c>
      <c r="R64" s="28"/>
      <c r="S64" s="13" t="s">
        <v>2</v>
      </c>
      <c r="T64" s="17" t="s">
        <v>11</v>
      </c>
      <c r="U64" s="4"/>
      <c r="V64" s="17" t="s">
        <v>24</v>
      </c>
      <c r="W64" s="13" t="s">
        <v>599</v>
      </c>
      <c r="X64" s="101">
        <v>25293632</v>
      </c>
      <c r="Y64" s="5"/>
      <c r="Z64" s="4"/>
      <c r="AA64" s="4"/>
      <c r="AB64" s="3"/>
      <c r="AC64" s="11" t="str">
        <f ca="1">IFERROR(__xludf.DUMMYFUNCTION("HYPERLINK(
""https://wa.me/""&amp;REGEXREPLACE(Q64,""[^0-9]"","""")&amp;
""?text=""&amp;
ENCODEURL(
""Hola *""&amp;B64&amp;""*.
Te recordamos que la factura Nº *""&amp;J64&amp;""* por el plan """"""&amp;E64&amp;"""""" se encuentra disponible para pago y vence hoy.
Monto: *$""&amp;I64&amp;""*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*$""&amp;AD64&amp;""*
Valor total febrero (con IVA): *$""&amp;AE64&amp;""*
A partir de mañana el valor aument"&amp;"a un 25%, correspondiente al valor de diciembre.
Simple Pyme""
),
""Enviar WhatsApp""
)"),"Enviar WhatsApp")</f>
        <v>Enviar WhatsApp</v>
      </c>
      <c r="AD64" s="3"/>
      <c r="AE64" s="3"/>
    </row>
    <row r="65" spans="1:31" ht="13.5">
      <c r="A65" s="24" t="s">
        <v>520</v>
      </c>
      <c r="B65" s="21" t="s">
        <v>598</v>
      </c>
      <c r="C65" s="4"/>
      <c r="D65" s="4"/>
      <c r="E65" s="17" t="s">
        <v>11</v>
      </c>
      <c r="F65" s="8"/>
      <c r="G65" s="4"/>
      <c r="H65" s="14" t="s">
        <v>457</v>
      </c>
      <c r="I65" s="14">
        <f>H65*1.19</f>
        <v>0</v>
      </c>
      <c r="J65" s="25" t="s">
        <v>16</v>
      </c>
      <c r="K65" s="6"/>
      <c r="L65" s="4"/>
      <c r="M65" s="19" t="s">
        <v>597</v>
      </c>
      <c r="N65" s="19" t="s">
        <v>596</v>
      </c>
      <c r="O65" s="13" t="s">
        <v>595</v>
      </c>
      <c r="P65" s="110" t="s">
        <v>594</v>
      </c>
      <c r="Q65" s="51" t="s">
        <v>593</v>
      </c>
      <c r="R65" s="28"/>
      <c r="S65" s="13" t="s">
        <v>2</v>
      </c>
      <c r="T65" s="17" t="s">
        <v>11</v>
      </c>
      <c r="U65" s="4"/>
      <c r="V65" s="17" t="s">
        <v>24</v>
      </c>
      <c r="W65" s="13" t="s">
        <v>592</v>
      </c>
      <c r="X65" s="110">
        <v>17680593</v>
      </c>
      <c r="Y65" s="5"/>
      <c r="Z65" s="4"/>
      <c r="AA65" s="4"/>
      <c r="AB65" s="3"/>
      <c r="AC65" s="11" t="str">
        <f ca="1">IFERROR(__xludf.DUMMYFUNCTION("HYPERLINK(
""https://wa.me/""&amp;REGEXREPLACE(Q65,""[^0-9]"","""")&amp;
""?text=""&amp;
ENCODEURL(
""Hola *""&amp;B65&amp;""*.
Te recordamos que la factura Nº *""&amp;J65&amp;""* por el plan """"""&amp;E65&amp;"""""" se encuentra disponible para pago y vence hoy.
Monto: *$""&amp;I65&amp;""*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*$""&amp;AD65&amp;""*
Valor total febrero (con IVA): *$""&amp;AE65&amp;""*
A partir de mañana el valor aument"&amp;"a un 25%, correspondiente al valor de diciembre.
Simple Pyme""
),
""Enviar WhatsApp""
)"),"Enviar WhatsApp")</f>
        <v>Enviar WhatsApp</v>
      </c>
      <c r="AD65" s="3"/>
      <c r="AE65" s="3"/>
    </row>
    <row r="66" spans="1:31" ht="13.5">
      <c r="A66" s="24" t="s">
        <v>520</v>
      </c>
      <c r="B66" s="21" t="s">
        <v>591</v>
      </c>
      <c r="C66" s="4"/>
      <c r="D66" s="4"/>
      <c r="E66" s="17" t="s">
        <v>11</v>
      </c>
      <c r="F66" s="8"/>
      <c r="G66" s="4"/>
      <c r="H66" s="14" t="s">
        <v>457</v>
      </c>
      <c r="I66" s="14">
        <f>H66*1.19</f>
        <v>0</v>
      </c>
      <c r="J66" s="25" t="s">
        <v>16</v>
      </c>
      <c r="K66" s="6"/>
      <c r="L66" s="4"/>
      <c r="M66" s="19" t="s">
        <v>590</v>
      </c>
      <c r="N66" s="19" t="s">
        <v>259</v>
      </c>
      <c r="O66" s="13" t="s">
        <v>589</v>
      </c>
      <c r="P66" s="13" t="s">
        <v>588</v>
      </c>
      <c r="Q66" s="51" t="s">
        <v>257</v>
      </c>
      <c r="R66" s="28"/>
      <c r="S66" s="13" t="s">
        <v>2</v>
      </c>
      <c r="T66" s="17" t="s">
        <v>11</v>
      </c>
      <c r="U66" s="4"/>
      <c r="V66" s="17" t="s">
        <v>24</v>
      </c>
      <c r="W66" s="13" t="s">
        <v>587</v>
      </c>
      <c r="X66" s="13" t="s">
        <v>586</v>
      </c>
      <c r="Y66" s="5"/>
      <c r="Z66" s="4"/>
      <c r="AA66" s="4"/>
      <c r="AB66" s="3"/>
      <c r="AC66" s="11" t="str">
        <f ca="1">IFERROR(__xludf.DUMMYFUNCTION("HYPERLINK(
""https://wa.me/""&amp;REGEXREPLACE(Q66,""[^0-9]"","""")&amp;
""?text=""&amp;
ENCODEURL(
""Hola *""&amp;B66&amp;""*.
Te recordamos que la factura Nº *""&amp;J66&amp;""* por el plan """"""&amp;E66&amp;"""""" se encuentra disponible para pago y vence hoy.
Monto: *$""&amp;I66&amp;""*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*$""&amp;AD66&amp;""*
Valor total febrero (con IVA): *$""&amp;AE66&amp;""*
A partir de mañana el valor aument"&amp;"a un 25%, correspondiente al valor de diciembre.
Simple Pyme""
),
""Enviar WhatsApp""
)"),"Enviar WhatsApp")</f>
        <v>Enviar WhatsApp</v>
      </c>
      <c r="AD66" s="3"/>
      <c r="AE66" s="3"/>
    </row>
    <row r="67" spans="1:31" ht="13.5">
      <c r="A67" s="24" t="s">
        <v>520</v>
      </c>
      <c r="B67" s="21" t="s">
        <v>585</v>
      </c>
      <c r="C67" s="4"/>
      <c r="D67" s="4"/>
      <c r="E67" s="17" t="s">
        <v>11</v>
      </c>
      <c r="F67" s="8"/>
      <c r="G67" s="4"/>
      <c r="H67" s="14" t="s">
        <v>457</v>
      </c>
      <c r="I67" s="14">
        <f>H67*1.19</f>
        <v>0</v>
      </c>
      <c r="J67" s="25" t="s">
        <v>16</v>
      </c>
      <c r="K67" s="6"/>
      <c r="L67" s="4"/>
      <c r="M67" s="19" t="s">
        <v>584</v>
      </c>
      <c r="N67" s="19" t="s">
        <v>583</v>
      </c>
      <c r="O67" s="13" t="s">
        <v>582</v>
      </c>
      <c r="P67" s="13" t="s">
        <v>581</v>
      </c>
      <c r="Q67" s="51" t="s">
        <v>580</v>
      </c>
      <c r="R67" s="28"/>
      <c r="S67" s="13" t="s">
        <v>2</v>
      </c>
      <c r="T67" s="17" t="s">
        <v>11</v>
      </c>
      <c r="U67" s="4"/>
      <c r="V67" s="17" t="s">
        <v>24</v>
      </c>
      <c r="W67" s="13" t="s">
        <v>579</v>
      </c>
      <c r="X67" s="13">
        <v>18880857</v>
      </c>
      <c r="Y67" s="5"/>
      <c r="Z67" s="4"/>
      <c r="AA67" s="4"/>
      <c r="AB67" s="3"/>
      <c r="AC67" s="11" t="str">
        <f ca="1">IFERROR(__xludf.DUMMYFUNCTION("HYPERLINK(
""https://wa.me/""&amp;REGEXREPLACE(Q67,""[^0-9]"","""")&amp;
""?text=""&amp;
ENCODEURL(
""Hola *""&amp;B67&amp;""*.
Te recordamos que la factura Nº *""&amp;J67&amp;""* por el plan """"""&amp;E67&amp;"""""" se encuentra disponible para pago y vence hoy.
Monto: *$""&amp;I67&amp;""*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*$""&amp;AD67&amp;""*
Valor total febrero (con IVA): *$""&amp;AE67&amp;""*
A partir de mañana el valor aument"&amp;"a un 25%, correspondiente al valor de diciembre.
Simple Pyme""
),
""Enviar WhatsApp""
)"),"Enviar WhatsApp")</f>
        <v>Enviar WhatsApp</v>
      </c>
      <c r="AD67" s="3"/>
      <c r="AE67" s="3"/>
    </row>
    <row r="68" spans="1:31" ht="13.5">
      <c r="A68" s="24" t="s">
        <v>520</v>
      </c>
      <c r="B68" s="21" t="s">
        <v>578</v>
      </c>
      <c r="C68" s="4"/>
      <c r="D68" s="4"/>
      <c r="E68" s="17" t="s">
        <v>11</v>
      </c>
      <c r="F68" s="8"/>
      <c r="G68" s="4"/>
      <c r="H68" s="14" t="s">
        <v>457</v>
      </c>
      <c r="I68" s="14">
        <f>H68*1.19</f>
        <v>0</v>
      </c>
      <c r="J68" s="25" t="s">
        <v>16</v>
      </c>
      <c r="K68" s="6"/>
      <c r="L68" s="4"/>
      <c r="M68" s="19" t="s">
        <v>577</v>
      </c>
      <c r="N68" s="19" t="s">
        <v>576</v>
      </c>
      <c r="O68" s="13" t="s">
        <v>575</v>
      </c>
      <c r="P68" s="13" t="s">
        <v>574</v>
      </c>
      <c r="Q68" s="51" t="s">
        <v>301</v>
      </c>
      <c r="R68" s="28"/>
      <c r="S68" s="13" t="s">
        <v>2</v>
      </c>
      <c r="T68" s="17" t="s">
        <v>11</v>
      </c>
      <c r="U68" s="4"/>
      <c r="V68" s="17" t="s">
        <v>24</v>
      </c>
      <c r="W68" s="13" t="s">
        <v>573</v>
      </c>
      <c r="X68" s="13">
        <v>18782436</v>
      </c>
      <c r="Y68" s="5"/>
      <c r="Z68" s="4"/>
      <c r="AA68" s="4"/>
      <c r="AB68" s="3"/>
      <c r="AC68" s="11" t="str">
        <f ca="1">IFERROR(__xludf.DUMMYFUNCTION("HYPERLINK(
""https://wa.me/""&amp;REGEXREPLACE(Q68,""[^0-9]"","""")&amp;
""?text=""&amp;
ENCODEURL(
""Hola *""&amp;B68&amp;""*.
Te recordamos que la factura Nº *""&amp;J68&amp;""* por el plan """"""&amp;E68&amp;"""""" se encuentra disponible para pago y vence hoy.
Monto: *$""&amp;I68&amp;""*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*$""&amp;AD68&amp;""*
Valor total febrero (con IVA): *$""&amp;AE68&amp;""*
A partir de mañana el valor aument"&amp;"a un 25%, correspondiente al valor de diciembre.
Simple Pyme""
),
""Enviar WhatsApp""
)"),"Enviar WhatsApp")</f>
        <v>Enviar WhatsApp</v>
      </c>
      <c r="AD68" s="3"/>
      <c r="AE68" s="3"/>
    </row>
    <row r="69" spans="1:31" ht="13.5">
      <c r="A69" s="24" t="s">
        <v>520</v>
      </c>
      <c r="B69" s="21" t="s">
        <v>572</v>
      </c>
      <c r="C69" s="4"/>
      <c r="D69" s="4"/>
      <c r="E69" s="17" t="s">
        <v>11</v>
      </c>
      <c r="F69" s="8"/>
      <c r="G69" s="4"/>
      <c r="H69" s="14" t="s">
        <v>457</v>
      </c>
      <c r="I69" s="14">
        <f>H69*1.19</f>
        <v>0</v>
      </c>
      <c r="J69" s="25" t="s">
        <v>16</v>
      </c>
      <c r="K69" s="6"/>
      <c r="L69" s="4"/>
      <c r="M69" s="19" t="s">
        <v>571</v>
      </c>
      <c r="N69" s="19" t="s">
        <v>570</v>
      </c>
      <c r="O69" s="13" t="s">
        <v>569</v>
      </c>
      <c r="P69" s="13" t="s">
        <v>568</v>
      </c>
      <c r="Q69" s="51" t="s">
        <v>301</v>
      </c>
      <c r="R69" s="28"/>
      <c r="S69" s="13" t="s">
        <v>2</v>
      </c>
      <c r="T69" s="17" t="s">
        <v>11</v>
      </c>
      <c r="U69" s="4"/>
      <c r="V69" s="17" t="s">
        <v>24</v>
      </c>
      <c r="W69" s="13" t="s">
        <v>567</v>
      </c>
      <c r="X69" s="13" t="s">
        <v>566</v>
      </c>
      <c r="Y69" s="5"/>
      <c r="Z69" s="4"/>
      <c r="AA69" s="4"/>
      <c r="AB69" s="3"/>
      <c r="AC69" s="11" t="str">
        <f ca="1">IFERROR(__xludf.DUMMYFUNCTION("HYPERLINK(
""https://wa.me/""&amp;REGEXREPLACE(Q69,""[^0-9]"","""")&amp;
""?text=""&amp;
ENCODEURL(
""Hola *""&amp;B69&amp;""*.
Te recordamos que la factura Nº *""&amp;J69&amp;""* por el plan """"""&amp;E69&amp;"""""" se encuentra disponible para pago y vence hoy.
Monto: *$""&amp;I69&amp;""*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*$""&amp;AD69&amp;""*
Valor total febrero (con IVA): *$""&amp;AE69&amp;""*
A partir de mañana el valor aument"&amp;"a un 25%, correspondiente al valor de diciembre.
Simple Pyme""
),
""Enviar WhatsApp""
)"),"Enviar WhatsApp")</f>
        <v>Enviar WhatsApp</v>
      </c>
      <c r="AD69" s="3"/>
      <c r="AE69" s="3"/>
    </row>
    <row r="70" spans="1:31" ht="13.5">
      <c r="A70" s="24" t="s">
        <v>520</v>
      </c>
      <c r="B70" s="21" t="s">
        <v>565</v>
      </c>
      <c r="C70" s="4"/>
      <c r="D70" s="4"/>
      <c r="E70" s="17" t="s">
        <v>11</v>
      </c>
      <c r="F70" s="8"/>
      <c r="G70" s="4"/>
      <c r="H70" s="14" t="s">
        <v>457</v>
      </c>
      <c r="I70" s="14">
        <f>H70*1.19</f>
        <v>0</v>
      </c>
      <c r="J70" s="25" t="s">
        <v>16</v>
      </c>
      <c r="K70" s="6"/>
      <c r="L70" s="4"/>
      <c r="M70" s="19" t="s">
        <v>564</v>
      </c>
      <c r="N70" s="19" t="s">
        <v>563</v>
      </c>
      <c r="O70" s="13" t="s">
        <v>562</v>
      </c>
      <c r="P70" s="13" t="s">
        <v>561</v>
      </c>
      <c r="Q70" s="51" t="s">
        <v>301</v>
      </c>
      <c r="R70" s="28"/>
      <c r="S70" s="13" t="s">
        <v>2</v>
      </c>
      <c r="T70" s="17" t="s">
        <v>11</v>
      </c>
      <c r="U70" s="4"/>
      <c r="V70" s="17" t="s">
        <v>24</v>
      </c>
      <c r="W70" s="13" t="s">
        <v>560</v>
      </c>
      <c r="X70" s="13" t="s">
        <v>559</v>
      </c>
      <c r="Y70" s="5"/>
      <c r="Z70" s="4"/>
      <c r="AA70" s="4"/>
      <c r="AB70" s="3"/>
      <c r="AC70" s="11" t="str">
        <f ca="1">IFERROR(__xludf.DUMMYFUNCTION("HYPERLINK(
""https://wa.me/""&amp;REGEXREPLACE(Q70,""[^0-9]"","""")&amp;
""?text=""&amp;
ENCODEURL(
""Hola *""&amp;B70&amp;""*.
Te recordamos que la factura Nº *""&amp;J70&amp;""* por el plan """"""&amp;E70&amp;"""""" se encuentra disponible para pago y vence hoy.
Monto: *$""&amp;I70&amp;""*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*$""&amp;AD70&amp;""*
Valor total febrero (con IVA): *$""&amp;AE70&amp;""*
A partir de mañana el valor aument"&amp;"a un 25%, correspondiente al valor de diciembre.
Simple Pyme""
),
""Enviar WhatsApp""
)"),"Enviar WhatsApp")</f>
        <v>Enviar WhatsApp</v>
      </c>
      <c r="AD70" s="3"/>
      <c r="AE70" s="3"/>
    </row>
    <row r="71" spans="1:31" ht="13.5">
      <c r="A71" s="24" t="s">
        <v>520</v>
      </c>
      <c r="B71" s="21" t="s">
        <v>556</v>
      </c>
      <c r="C71" s="4"/>
      <c r="D71" s="4"/>
      <c r="E71" s="17" t="s">
        <v>11</v>
      </c>
      <c r="F71" s="8"/>
      <c r="G71" s="4"/>
      <c r="H71" s="14" t="s">
        <v>457</v>
      </c>
      <c r="I71" s="14">
        <f>H71*1.19</f>
        <v>0</v>
      </c>
      <c r="J71" s="25" t="s">
        <v>16</v>
      </c>
      <c r="K71" s="6"/>
      <c r="L71" s="4"/>
      <c r="M71" s="19">
        <v>143516717</v>
      </c>
      <c r="N71" s="19" t="s">
        <v>555</v>
      </c>
      <c r="O71" s="13" t="s">
        <v>558</v>
      </c>
      <c r="P71" s="13" t="s">
        <v>557</v>
      </c>
      <c r="Q71" s="51" t="s">
        <v>301</v>
      </c>
      <c r="R71" s="28"/>
      <c r="S71" s="13" t="s">
        <v>2</v>
      </c>
      <c r="T71" s="17" t="s">
        <v>11</v>
      </c>
      <c r="U71" s="4"/>
      <c r="V71" s="17" t="s">
        <v>24</v>
      </c>
      <c r="W71" s="13" t="s">
        <v>556</v>
      </c>
      <c r="X71" s="13" t="s">
        <v>555</v>
      </c>
      <c r="Y71" s="5"/>
      <c r="Z71" s="4"/>
      <c r="AA71" s="4"/>
      <c r="AB71" s="3"/>
      <c r="AC71" s="11" t="str">
        <f ca="1">IFERROR(__xludf.DUMMYFUNCTION("HYPERLINK(
""https://wa.me/""&amp;REGEXREPLACE(Q71,""[^0-9]"","""")&amp;
""?text=""&amp;
ENCODEURL(
""Hola *""&amp;B71&amp;""*.
Te recordamos que la factura Nº *""&amp;J71&amp;""* por el plan """"""&amp;E71&amp;"""""" se encuentra disponible para pago y vence hoy.
Monto: *$""&amp;I71&amp;""*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*$""&amp;AD71&amp;""*
Valor total febrero (con IVA): *$""&amp;AE71&amp;""*
A partir de mañana el valor aument"&amp;"a un 25%, correspondiente al valor de diciembre.
Simple Pyme""
),
""Enviar WhatsApp""
)"),"Enviar WhatsApp")</f>
        <v>Enviar WhatsApp</v>
      </c>
      <c r="AD71" s="3"/>
      <c r="AE71" s="3"/>
    </row>
    <row r="72" spans="1:31" ht="13.5">
      <c r="A72" s="24" t="s">
        <v>520</v>
      </c>
      <c r="B72" s="21" t="s">
        <v>554</v>
      </c>
      <c r="C72" s="4"/>
      <c r="D72" s="4"/>
      <c r="E72" s="17" t="s">
        <v>11</v>
      </c>
      <c r="F72" s="8"/>
      <c r="G72" s="4"/>
      <c r="H72" s="14" t="s">
        <v>457</v>
      </c>
      <c r="I72" s="14">
        <f>H72*1.19</f>
        <v>0</v>
      </c>
      <c r="J72" s="25" t="s">
        <v>16</v>
      </c>
      <c r="K72" s="6"/>
      <c r="L72" s="4"/>
      <c r="M72" s="19" t="s">
        <v>553</v>
      </c>
      <c r="N72" s="19" t="s">
        <v>552</v>
      </c>
      <c r="O72" s="13" t="s">
        <v>551</v>
      </c>
      <c r="P72" s="13" t="s">
        <v>550</v>
      </c>
      <c r="Q72" s="51" t="s">
        <v>301</v>
      </c>
      <c r="R72" s="19"/>
      <c r="S72" s="13" t="s">
        <v>2</v>
      </c>
      <c r="T72" s="17" t="s">
        <v>11</v>
      </c>
      <c r="U72" s="4"/>
      <c r="V72" s="17" t="s">
        <v>24</v>
      </c>
      <c r="W72" s="13" t="s">
        <v>549</v>
      </c>
      <c r="X72" s="13">
        <v>260616528</v>
      </c>
      <c r="Y72" s="5"/>
      <c r="Z72" s="4"/>
      <c r="AA72" s="4"/>
      <c r="AB72" s="3"/>
      <c r="AC72" s="11" t="str">
        <f ca="1">IFERROR(__xludf.DUMMYFUNCTION("HYPERLINK(
""https://wa.me/""&amp;REGEXREPLACE(Q72,""[^0-9]"","""")&amp;
""?text=""&amp;
ENCODEURL(
""Hola *""&amp;B72&amp;""*.
Te recordamos que la factura Nº *""&amp;J72&amp;""* por el plan """"""&amp;E72&amp;"""""" se encuentra disponible para pago y vence hoy.
Monto: *$""&amp;I72&amp;""*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*$""&amp;AD72&amp;""*
Valor total febrero (con IVA): *$""&amp;AE72&amp;""*
A partir de mañana el valor aument"&amp;"a un 25%, correspondiente al valor de diciembre.
Simple Pyme""
),
""Enviar WhatsApp""
)"),"Enviar WhatsApp")</f>
        <v>Enviar WhatsApp</v>
      </c>
      <c r="AD72" s="3"/>
      <c r="AE72" s="3"/>
    </row>
    <row r="73" spans="1:31" ht="13.5">
      <c r="A73" s="24" t="s">
        <v>520</v>
      </c>
      <c r="B73" s="21" t="s">
        <v>548</v>
      </c>
      <c r="C73" s="13" t="s">
        <v>9</v>
      </c>
      <c r="D73" s="13" t="s">
        <v>9</v>
      </c>
      <c r="E73" s="17" t="s">
        <v>8</v>
      </c>
      <c r="F73" s="8"/>
      <c r="G73" s="4"/>
      <c r="H73" s="14">
        <v>30000</v>
      </c>
      <c r="I73" s="14">
        <f>H73*1.19</f>
        <v>35700</v>
      </c>
      <c r="J73" s="13">
        <v>574</v>
      </c>
      <c r="K73" s="6"/>
      <c r="L73" s="4"/>
      <c r="M73" s="19" t="s">
        <v>547</v>
      </c>
      <c r="N73" s="19" t="s">
        <v>546</v>
      </c>
      <c r="O73" s="13" t="s">
        <v>545</v>
      </c>
      <c r="P73" s="13" t="s">
        <v>544</v>
      </c>
      <c r="Q73" s="51" t="s">
        <v>543</v>
      </c>
      <c r="R73" s="28"/>
      <c r="S73" s="13" t="s">
        <v>2</v>
      </c>
      <c r="T73" s="13" t="s">
        <v>1</v>
      </c>
      <c r="U73" s="52"/>
      <c r="V73" s="17" t="s">
        <v>24</v>
      </c>
      <c r="W73" s="13" t="s">
        <v>542</v>
      </c>
      <c r="X73" s="13">
        <v>26671708</v>
      </c>
      <c r="Y73" s="5"/>
      <c r="Z73" s="4"/>
      <c r="AA73" s="4"/>
      <c r="AB73" s="3"/>
      <c r="AC73" s="11" t="str">
        <f ca="1">IFERROR(__xludf.DUMMYFUNCTION("HYPERLINK(
""https://wa.me/""&amp;REGEXREPLACE(Q73,""[^0-9]"","""")&amp;
""?text=""&amp;
ENCODEURL(
""Buenas tardes *""&amp;B73&amp;""*.
Te recordamos que tu plan """"""&amp;E73&amp;"""""" no incluye la declaración de renta. Te enviamos varios correos informando sobre este proceso."&amp;" Esta semana vencen las primeras declaraciones juradas, lo que generará multas
Valor: *$""&amp;AD73&amp;""* + IVA = *$""&amp;AE73&amp;""*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73" s="26">
        <v>125000</v>
      </c>
      <c r="AE73" s="26">
        <f>AD73*1.19</f>
        <v>148750</v>
      </c>
    </row>
    <row r="74" spans="1:31" ht="13.5">
      <c r="A74" s="24" t="s">
        <v>520</v>
      </c>
      <c r="B74" s="21" t="s">
        <v>538</v>
      </c>
      <c r="C74" s="13" t="s">
        <v>9</v>
      </c>
      <c r="D74" s="13" t="s">
        <v>9</v>
      </c>
      <c r="E74" s="17" t="s">
        <v>8</v>
      </c>
      <c r="F74" s="8"/>
      <c r="G74" s="4"/>
      <c r="H74" s="14">
        <v>30000</v>
      </c>
      <c r="I74" s="14">
        <f>H74*1.19</f>
        <v>35700</v>
      </c>
      <c r="J74" s="13">
        <v>575</v>
      </c>
      <c r="K74" s="6"/>
      <c r="L74" s="4"/>
      <c r="M74" s="19" t="s">
        <v>540</v>
      </c>
      <c r="N74" s="19" t="s">
        <v>537</v>
      </c>
      <c r="O74" s="13" t="s">
        <v>541</v>
      </c>
      <c r="P74" s="13" t="s">
        <v>540</v>
      </c>
      <c r="Q74" s="51" t="s">
        <v>539</v>
      </c>
      <c r="R74" s="28"/>
      <c r="S74" s="13" t="s">
        <v>2</v>
      </c>
      <c r="T74" s="13" t="s">
        <v>31</v>
      </c>
      <c r="U74" s="22"/>
      <c r="V74" s="17" t="s">
        <v>24</v>
      </c>
      <c r="W74" s="13" t="s">
        <v>538</v>
      </c>
      <c r="X74" s="13" t="s">
        <v>537</v>
      </c>
      <c r="Y74" s="5"/>
      <c r="Z74" s="4"/>
      <c r="AA74" s="4"/>
      <c r="AB74" s="3"/>
      <c r="AC74" s="11" t="str">
        <f ca="1">IFERROR(__xludf.DUMMYFUNCTION("HYPERLINK(
""https://wa.me/""&amp;REGEXREPLACE(Q74,""[^0-9]"","""")&amp;
""?text=""&amp;
ENCODEURL(
""Hola *""&amp;B74&amp;""*.
Te recordamos que la factura Nº *""&amp;J74&amp;""* por el plan """"""&amp;E74&amp;"""""" se encuentra disponible para pago y vence hoy.
Monto: *$""&amp;I74&amp;""*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*$""&amp;AD74&amp;""*
Valor total febrero (con IVA): *$""&amp;AE74&amp;""*
A partir de mañana el valor aument"&amp;"a un 25%, correspondiente al valor de diciembre.
Simple Pyme""
),
""Enviar WhatsApp""
)"),"Enviar WhatsApp")</f>
        <v>Enviar WhatsApp</v>
      </c>
      <c r="AD74" s="26">
        <v>100000</v>
      </c>
      <c r="AE74" s="26">
        <f>AD74*1.19</f>
        <v>119000</v>
      </c>
    </row>
    <row r="75" spans="1:31" ht="13.5">
      <c r="A75" s="24" t="s">
        <v>520</v>
      </c>
      <c r="B75" s="21" t="s">
        <v>536</v>
      </c>
      <c r="C75" s="13" t="s">
        <v>9</v>
      </c>
      <c r="D75" s="13" t="s">
        <v>9</v>
      </c>
      <c r="E75" s="17" t="s">
        <v>93</v>
      </c>
      <c r="F75" s="8"/>
      <c r="G75" s="13">
        <v>2</v>
      </c>
      <c r="H75" s="14">
        <v>50000</v>
      </c>
      <c r="I75" s="14">
        <f>H75*1.19</f>
        <v>59500</v>
      </c>
      <c r="J75" s="13">
        <v>576</v>
      </c>
      <c r="K75" s="6">
        <v>119000</v>
      </c>
      <c r="L75" s="13" t="s">
        <v>535</v>
      </c>
      <c r="M75" s="19" t="s">
        <v>534</v>
      </c>
      <c r="N75" s="19" t="s">
        <v>533</v>
      </c>
      <c r="O75" s="21" t="s">
        <v>532</v>
      </c>
      <c r="P75" s="13" t="s">
        <v>531</v>
      </c>
      <c r="Q75" s="13" t="s">
        <v>530</v>
      </c>
      <c r="R75" s="28"/>
      <c r="S75" s="13" t="s">
        <v>2</v>
      </c>
      <c r="T75" s="13" t="s">
        <v>1</v>
      </c>
      <c r="U75" s="22"/>
      <c r="V75" s="17" t="s">
        <v>24</v>
      </c>
      <c r="W75" s="13" t="s">
        <v>529</v>
      </c>
      <c r="X75" s="13" t="s">
        <v>528</v>
      </c>
      <c r="Y75" s="5"/>
      <c r="Z75" s="4"/>
      <c r="AA75" s="4"/>
      <c r="AB75" s="3"/>
      <c r="AC75" s="11" t="str">
        <f ca="1">IFERROR(__xludf.DUMMYFUNCTION("HYPERLINK(
""https://wa.me/""&amp;REGEXREPLACE(Q75,""[^0-9]"","""")&amp;
""?text=""&amp;
ENCODEURL(
""Hola *""&amp;B75&amp;""*.
Te recordamos que la factura Nº *""&amp;J75&amp;""* por el plan """"""&amp;E75&amp;"""""" se encuentra disponible para pago y vence hoy.
Monto: *$""&amp;I75&amp;""*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75" s="3"/>
      <c r="AE75" s="3">
        <f>AD75*1.19</f>
        <v>0</v>
      </c>
    </row>
    <row r="76" spans="1:31" ht="13.5">
      <c r="A76" s="24" t="s">
        <v>520</v>
      </c>
      <c r="B76" s="21" t="s">
        <v>527</v>
      </c>
      <c r="C76" s="13" t="s">
        <v>9</v>
      </c>
      <c r="D76" s="13" t="s">
        <v>9</v>
      </c>
      <c r="E76" s="17" t="s">
        <v>8</v>
      </c>
      <c r="F76" s="8"/>
      <c r="G76" s="4"/>
      <c r="H76" s="14">
        <v>30000</v>
      </c>
      <c r="I76" s="14">
        <f>H76*1.19</f>
        <v>35700</v>
      </c>
      <c r="J76" s="13">
        <v>577</v>
      </c>
      <c r="K76" s="6"/>
      <c r="L76" s="21"/>
      <c r="M76" s="19" t="s">
        <v>526</v>
      </c>
      <c r="N76" s="19" t="s">
        <v>525</v>
      </c>
      <c r="O76" s="13" t="s">
        <v>524</v>
      </c>
      <c r="P76" s="13" t="s">
        <v>523</v>
      </c>
      <c r="Q76" s="54">
        <v>985582338</v>
      </c>
      <c r="R76" s="28"/>
      <c r="S76" s="13" t="s">
        <v>2</v>
      </c>
      <c r="T76" s="13" t="s">
        <v>31</v>
      </c>
      <c r="U76" s="62"/>
      <c r="V76" s="17" t="s">
        <v>24</v>
      </c>
      <c r="W76" s="13" t="s">
        <v>522</v>
      </c>
      <c r="X76" s="13" t="s">
        <v>521</v>
      </c>
      <c r="Y76" s="5"/>
      <c r="Z76" s="4"/>
      <c r="AA76" s="4"/>
      <c r="AB76" s="3"/>
      <c r="AC76" s="3" t="str">
        <f ca="1">IFERROR(__xludf.DUMMYFUNCTION("HYPERLINK(
""https://wa.me/""&amp;REGEXREPLACE(Q76,""[^0-9]"","""")&amp;
""?text=""&amp;
ENCODEURL(
""Hola *""&amp;B76&amp;""*.
Te recordamos que la factura Nº *""&amp;J76&amp;""* por el plan """"""&amp;E76&amp;"""""" se encuentra disponible para pago y vence hoy.
Monto: *$""&amp;I76&amp;""*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*$""&amp;AD76&amp;""*
Valor total febrero (con IVA): *$""&amp;AE76&amp;""*
A partir de mañana el valor aument"&amp;"a un 25%, correspondiente al valor de diciembre.
Simple Pyme""
),
""Enviar WhatsApp""
)"),"Enviar WhatsApp")</f>
        <v>Enviar WhatsApp</v>
      </c>
      <c r="AD76" s="3"/>
      <c r="AE76" s="3"/>
    </row>
    <row r="77" spans="1:31" ht="13.5">
      <c r="A77" s="24" t="s">
        <v>520</v>
      </c>
      <c r="B77" s="105" t="s">
        <v>519</v>
      </c>
      <c r="C77" s="13" t="s">
        <v>9</v>
      </c>
      <c r="D77" s="13" t="s">
        <v>9</v>
      </c>
      <c r="E77" s="17" t="s">
        <v>8</v>
      </c>
      <c r="F77" s="109"/>
      <c r="G77" s="5"/>
      <c r="H77" s="103">
        <v>30000</v>
      </c>
      <c r="I77" s="103">
        <f>H77*1.19</f>
        <v>35700</v>
      </c>
      <c r="J77" s="13">
        <v>578</v>
      </c>
      <c r="K77" s="108">
        <v>85200</v>
      </c>
      <c r="L77" s="13"/>
      <c r="M77" s="107" t="s">
        <v>518</v>
      </c>
      <c r="N77" s="107" t="s">
        <v>517</v>
      </c>
      <c r="O77" s="17" t="s">
        <v>516</v>
      </c>
      <c r="P77" s="17" t="s">
        <v>515</v>
      </c>
      <c r="Q77" s="17" t="s">
        <v>514</v>
      </c>
      <c r="R77" s="80"/>
      <c r="S77" s="13" t="s">
        <v>2</v>
      </c>
      <c r="T77" s="13" t="s">
        <v>1</v>
      </c>
      <c r="U77" s="106"/>
      <c r="V77" s="17" t="s">
        <v>24</v>
      </c>
      <c r="W77" s="17" t="s">
        <v>513</v>
      </c>
      <c r="X77" s="17" t="s">
        <v>512</v>
      </c>
      <c r="Y77" s="5"/>
      <c r="Z77" s="5"/>
      <c r="AA77" s="5"/>
      <c r="AB77" s="2"/>
      <c r="AC77" s="11" t="str">
        <f ca="1">IFERROR(__xludf.DUMMYFUNCTION("HYPERLINK(
""https://wa.me/""&amp;REGEXREPLACE(Q77,""[^0-9]"","""")&amp;
""?text=""&amp;
ENCODEURL(
""Hola *""&amp;B77&amp;""*.
Te recordamos que la factura Nº *""&amp;J77&amp;""* por el plan """"""&amp;E77&amp;"""""" se encuentra disponible para pago y vence hoy.
Monto: *$""&amp;I77&amp;""*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77" s="3"/>
      <c r="AE77" s="3">
        <f>AD77*1.19</f>
        <v>0</v>
      </c>
    </row>
    <row r="78" spans="1:31" ht="13.5">
      <c r="A78" s="24" t="s">
        <v>261</v>
      </c>
      <c r="B78" s="105" t="s">
        <v>511</v>
      </c>
      <c r="C78" s="13" t="s">
        <v>9</v>
      </c>
      <c r="D78" s="13" t="s">
        <v>9</v>
      </c>
      <c r="E78" s="17" t="s">
        <v>47</v>
      </c>
      <c r="F78" s="8"/>
      <c r="G78" s="13" t="s">
        <v>510</v>
      </c>
      <c r="H78" s="104">
        <v>60504</v>
      </c>
      <c r="I78" s="14">
        <f>H78*1.19</f>
        <v>71999.759999999995</v>
      </c>
      <c r="J78" s="13">
        <v>579</v>
      </c>
      <c r="K78" s="103">
        <v>59500</v>
      </c>
      <c r="L78" s="4"/>
      <c r="M78" s="102" t="s">
        <v>509</v>
      </c>
      <c r="N78" s="19" t="s">
        <v>508</v>
      </c>
      <c r="O78" s="13" t="s">
        <v>507</v>
      </c>
      <c r="P78" s="13" t="s">
        <v>506</v>
      </c>
      <c r="Q78" s="51" t="s">
        <v>505</v>
      </c>
      <c r="R78" s="28"/>
      <c r="S78" s="13" t="s">
        <v>2</v>
      </c>
      <c r="T78" s="13" t="s">
        <v>31</v>
      </c>
      <c r="U78" s="22"/>
      <c r="V78" s="17" t="s">
        <v>24</v>
      </c>
      <c r="W78" s="13" t="s">
        <v>504</v>
      </c>
      <c r="X78" s="13" t="s">
        <v>503</v>
      </c>
      <c r="Y78" s="5"/>
      <c r="Z78" s="4"/>
      <c r="AA78" s="4"/>
      <c r="AB78" s="3"/>
      <c r="AC78" s="11" t="str">
        <f ca="1">IFERROR(__xludf.DUMMYFUNCTION("HYPERLINK(
""https://wa.me/""&amp;REGEXREPLACE(Q78,""[^0-9]"","""")&amp;
""?text=""&amp;
ENCODEURL(
""Hola *""&amp;B78&amp;""*.
Te recordamos que la factura Nº *""&amp;J78&amp;""* por el plan """"""&amp;E78&amp;"""""" se encuentra disponible para pago y vence hoy.
Monto: *$""&amp;I78&amp;""*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*$""&amp;AD78&amp;""*
Valor total febrero (con IVA): *$""&amp;AE78&amp;""*
A partir de mañana el valor aument"&amp;"a un 25%, correspondiente al valor de diciembre.
Simple Pyme""
),
""Enviar WhatsApp""
)"),"Enviar WhatsApp")</f>
        <v>Enviar WhatsApp</v>
      </c>
      <c r="AD78" s="3"/>
      <c r="AE78" s="3"/>
    </row>
    <row r="79" spans="1:31" ht="13.5">
      <c r="A79" s="24" t="s">
        <v>261</v>
      </c>
      <c r="B79" s="21" t="s">
        <v>502</v>
      </c>
      <c r="C79" s="4"/>
      <c r="D79" s="4"/>
      <c r="E79" s="17" t="s">
        <v>11</v>
      </c>
      <c r="F79" s="8"/>
      <c r="G79" s="4"/>
      <c r="H79" s="14" t="s">
        <v>457</v>
      </c>
      <c r="I79" s="14">
        <f>H79*1.19</f>
        <v>0</v>
      </c>
      <c r="J79" s="25" t="s">
        <v>16</v>
      </c>
      <c r="K79" s="6"/>
      <c r="L79" s="4"/>
      <c r="M79" s="19" t="s">
        <v>501</v>
      </c>
      <c r="N79" s="19" t="s">
        <v>496</v>
      </c>
      <c r="O79" s="13" t="s">
        <v>500</v>
      </c>
      <c r="P79" s="101" t="s">
        <v>499</v>
      </c>
      <c r="Q79" s="51" t="s">
        <v>498</v>
      </c>
      <c r="R79" s="28"/>
      <c r="S79" s="13" t="s">
        <v>2</v>
      </c>
      <c r="T79" s="17" t="s">
        <v>11</v>
      </c>
      <c r="U79" s="4"/>
      <c r="V79" s="17" t="s">
        <v>24</v>
      </c>
      <c r="W79" s="13" t="s">
        <v>497</v>
      </c>
      <c r="X79" s="13" t="s">
        <v>496</v>
      </c>
      <c r="Y79" s="5"/>
      <c r="Z79" s="4"/>
      <c r="AA79" s="4"/>
      <c r="AB79" s="3"/>
      <c r="AC79" s="11" t="str">
        <f ca="1">IFERROR(__xludf.DUMMYFUNCTION("HYPERLINK(
""https://wa.me/""&amp;REGEXREPLACE(Q79,""[^0-9]"","""")&amp;
""?text=""&amp;
ENCODEURL(
""Hola *""&amp;B79&amp;""*.
Te recordamos que la factura Nº *""&amp;J79&amp;""* por el plan """"""&amp;E79&amp;"""""" se encuentra disponible para pago y vence hoy.
Monto: *$""&amp;I79&amp;""*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*$""&amp;AD79&amp;""*
Valor total febrero (con IVA): *$""&amp;AE79&amp;""*
A partir de mañana el valor aument"&amp;"a un 25%, correspondiente al valor de diciembre.
Simple Pyme""
),
""Enviar WhatsApp""
)"),"Enviar WhatsApp")</f>
        <v>Enviar WhatsApp</v>
      </c>
      <c r="AD79" s="3"/>
      <c r="AE79" s="3"/>
    </row>
    <row r="80" spans="1:31" ht="13.5">
      <c r="A80" s="24" t="s">
        <v>261</v>
      </c>
      <c r="B80" s="21" t="s">
        <v>495</v>
      </c>
      <c r="C80" s="4"/>
      <c r="D80" s="4"/>
      <c r="E80" s="17" t="s">
        <v>11</v>
      </c>
      <c r="F80" s="8"/>
      <c r="G80" s="4"/>
      <c r="H80" s="14" t="s">
        <v>457</v>
      </c>
      <c r="I80" s="14">
        <f>H80*1.19</f>
        <v>0</v>
      </c>
      <c r="J80" s="25" t="s">
        <v>16</v>
      </c>
      <c r="K80" s="6"/>
      <c r="L80" s="4"/>
      <c r="M80" s="19" t="s">
        <v>494</v>
      </c>
      <c r="N80" s="19" t="s">
        <v>493</v>
      </c>
      <c r="O80" s="13" t="s">
        <v>492</v>
      </c>
      <c r="P80" s="101" t="s">
        <v>491</v>
      </c>
      <c r="Q80" s="13" t="s">
        <v>490</v>
      </c>
      <c r="R80" s="28"/>
      <c r="S80" s="13" t="s">
        <v>2</v>
      </c>
      <c r="T80" s="17" t="s">
        <v>11</v>
      </c>
      <c r="U80" s="4"/>
      <c r="V80" s="17" t="s">
        <v>24</v>
      </c>
      <c r="W80" s="13" t="s">
        <v>489</v>
      </c>
      <c r="X80" s="101" t="s">
        <v>488</v>
      </c>
      <c r="Y80" s="5"/>
      <c r="Z80" s="4"/>
      <c r="AA80" s="4"/>
      <c r="AB80" s="3"/>
      <c r="AC80" s="11" t="str">
        <f ca="1">IFERROR(__xludf.DUMMYFUNCTION("HYPERLINK(
""https://wa.me/""&amp;REGEXREPLACE(Q80,""[^0-9]"","""")&amp;
""?text=""&amp;
ENCODEURL(
""Hola *""&amp;B80&amp;""*.
Te recordamos que la factura Nº *""&amp;J80&amp;""* por el plan """"""&amp;E80&amp;"""""" se encuentra disponible para pago y vence hoy.
Monto: *$""&amp;I80&amp;""*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*$""&amp;AD80&amp;""*
Valor total febrero (con IVA): *$""&amp;AE80&amp;""*
A partir de mañana el valor aument"&amp;"a un 25%, correspondiente al valor de diciembre.
Simple Pyme""
),
""Enviar WhatsApp""
)"),"Enviar WhatsApp")</f>
        <v>Enviar WhatsApp</v>
      </c>
      <c r="AD80" s="3"/>
      <c r="AE80" s="3"/>
    </row>
    <row r="81" spans="1:31" ht="13.5">
      <c r="A81" s="24" t="s">
        <v>261</v>
      </c>
      <c r="B81" s="21" t="s">
        <v>487</v>
      </c>
      <c r="C81" s="13" t="s">
        <v>9</v>
      </c>
      <c r="D81" s="13" t="s">
        <v>9</v>
      </c>
      <c r="E81" s="17" t="s">
        <v>23</v>
      </c>
      <c r="F81" s="8"/>
      <c r="G81" s="4"/>
      <c r="H81" s="14">
        <v>10000</v>
      </c>
      <c r="I81" s="14">
        <f>H81*1.19</f>
        <v>11900</v>
      </c>
      <c r="J81" s="13">
        <v>580</v>
      </c>
      <c r="K81" s="6"/>
      <c r="L81" s="13" t="s">
        <v>486</v>
      </c>
      <c r="M81" s="19" t="s">
        <v>485</v>
      </c>
      <c r="N81" s="19" t="s">
        <v>481</v>
      </c>
      <c r="O81" s="13" t="s">
        <v>484</v>
      </c>
      <c r="P81" s="13"/>
      <c r="Q81" s="51" t="s">
        <v>483</v>
      </c>
      <c r="R81" s="28"/>
      <c r="S81" s="13" t="s">
        <v>2</v>
      </c>
      <c r="T81" s="13" t="s">
        <v>31</v>
      </c>
      <c r="U81" s="18"/>
      <c r="V81" s="17" t="s">
        <v>24</v>
      </c>
      <c r="W81" s="13" t="s">
        <v>482</v>
      </c>
      <c r="X81" s="13" t="s">
        <v>481</v>
      </c>
      <c r="Y81" s="5"/>
      <c r="Z81" s="4"/>
      <c r="AA81" s="4"/>
      <c r="AB81" s="3"/>
      <c r="AC81" s="11" t="str">
        <f ca="1">IFERROR(__xludf.DUMMYFUNCTION("HYPERLINK(
""https://wa.me/""&amp;REGEXREPLACE(Q81,""[^0-9]"","""")&amp;
""?text=""&amp;
ENCODEURL(
""Buenas tardes *""&amp;B81&amp;""*.
Te recordamos que tu plan """"""&amp;E81&amp;"""""" no incluye la declaración de renta. Te enviamos varios correos informando sobre este proceso."&amp;" Esta semana vencen las primeras declaraciones juradas, lo que generará multas
Valor: *$""&amp;AD81&amp;""* + IVA = *$""&amp;AE81&amp;""*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81" s="26">
        <v>78125</v>
      </c>
      <c r="AE81" s="26">
        <f>AD81*1.19</f>
        <v>92968.75</v>
      </c>
    </row>
    <row r="82" spans="1:31" ht="13.5">
      <c r="A82" s="61" t="s">
        <v>261</v>
      </c>
      <c r="B82" s="21" t="s">
        <v>480</v>
      </c>
      <c r="C82" s="13" t="s">
        <v>9</v>
      </c>
      <c r="D82" s="13" t="s">
        <v>9</v>
      </c>
      <c r="E82" s="13" t="s">
        <v>93</v>
      </c>
      <c r="F82" s="8"/>
      <c r="G82" s="13">
        <v>1</v>
      </c>
      <c r="H82" s="14">
        <v>60000</v>
      </c>
      <c r="I82" s="14">
        <f>H82*1.19</f>
        <v>71400</v>
      </c>
      <c r="J82" s="13">
        <v>581</v>
      </c>
      <c r="K82" s="6"/>
      <c r="L82" s="13"/>
      <c r="M82" s="19" t="s">
        <v>479</v>
      </c>
      <c r="N82" s="19" t="s">
        <v>474</v>
      </c>
      <c r="O82" s="13" t="s">
        <v>478</v>
      </c>
      <c r="P82" s="101" t="s">
        <v>477</v>
      </c>
      <c r="Q82" s="13" t="s">
        <v>476</v>
      </c>
      <c r="R82" s="28"/>
      <c r="S82" s="13" t="s">
        <v>2</v>
      </c>
      <c r="T82" s="13" t="s">
        <v>31</v>
      </c>
      <c r="U82" s="52"/>
      <c r="V82" s="13" t="s">
        <v>24</v>
      </c>
      <c r="W82" s="13" t="s">
        <v>475</v>
      </c>
      <c r="X82" s="13" t="s">
        <v>474</v>
      </c>
      <c r="Y82" s="4"/>
      <c r="Z82" s="4"/>
      <c r="AA82" s="4"/>
      <c r="AB82" s="3"/>
      <c r="AC82" s="11" t="str">
        <f ca="1">IFERROR(__xludf.DUMMYFUNCTION("HYPERLINK(
""https://wa.me/""&amp;REGEXREPLACE(Q82,""[^0-9]"","""")&amp;
""?text=""&amp;
ENCODEURL(
""Hola *""&amp;B82&amp;""*.
Te recordamos que la factura Nº *""&amp;J82&amp;""* por el plan """"""&amp;E82&amp;"""""" se encuentra disponible para pago y vence hoy.
Monto: *$""&amp;I82&amp;""*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*$""&amp;AD82&amp;""*
Valor total febrero (con IVA): *$""&amp;AE82&amp;""*
A partir de mañana el valor aument"&amp;"a un 25%, correspondiente al valor de diciembre.
Simple Pyme""
),
""Enviar WhatsApp""
)"),"Enviar WhatsApp")</f>
        <v>Enviar WhatsApp</v>
      </c>
      <c r="AD82" s="3"/>
      <c r="AE82" s="3"/>
    </row>
    <row r="83" spans="1:31" ht="13.5">
      <c r="A83" s="24" t="s">
        <v>261</v>
      </c>
      <c r="B83" s="21" t="s">
        <v>473</v>
      </c>
      <c r="C83" s="13" t="s">
        <v>24</v>
      </c>
      <c r="D83" s="13"/>
      <c r="E83" s="17" t="s">
        <v>8</v>
      </c>
      <c r="F83" s="8"/>
      <c r="G83" s="4"/>
      <c r="H83" s="14">
        <v>30000</v>
      </c>
      <c r="I83" s="14">
        <f>H83*1.19</f>
        <v>35700</v>
      </c>
      <c r="J83" s="13">
        <v>582</v>
      </c>
      <c r="K83" s="6"/>
      <c r="L83" s="13"/>
      <c r="M83" s="19" t="s">
        <v>472</v>
      </c>
      <c r="N83" s="19" t="s">
        <v>467</v>
      </c>
      <c r="O83" s="13" t="s">
        <v>471</v>
      </c>
      <c r="P83" s="13" t="s">
        <v>470</v>
      </c>
      <c r="Q83" s="51" t="s">
        <v>469</v>
      </c>
      <c r="R83" s="80"/>
      <c r="S83" s="13" t="s">
        <v>2</v>
      </c>
      <c r="T83" s="13" t="s">
        <v>1</v>
      </c>
      <c r="U83" s="96"/>
      <c r="V83" s="17" t="s">
        <v>24</v>
      </c>
      <c r="W83" s="13" t="s">
        <v>468</v>
      </c>
      <c r="X83" s="13" t="s">
        <v>467</v>
      </c>
      <c r="Y83" s="5"/>
      <c r="Z83" s="4"/>
      <c r="AA83" s="4"/>
      <c r="AB83" s="3"/>
      <c r="AC83" s="11" t="str">
        <f ca="1">IFERROR(__xludf.DUMMYFUNCTION("HYPERLINK(
""https://wa.me/""&amp;REGEXREPLACE(Q83,""[^0-9]"","""")&amp;
""?text=""&amp;
ENCODEURL(
""Buenas tardes *""&amp;B83&amp;""*.
Te recordamos que tu plan *""""""&amp;E83&amp;""""""* *no incluye* la declaración de renta. Te enviamos varios correos informando sobre este proc"&amp;"eso. Esta semana vencen las primeras declaraciones juradas, lo que generará multas
Valor: *$""&amp;AD83&amp;""* + IVA = *$""&amp;AE83&amp;""*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83" s="26">
        <v>187500</v>
      </c>
      <c r="AE83" s="26">
        <v>223125</v>
      </c>
    </row>
    <row r="84" spans="1:31" ht="13.5">
      <c r="A84" s="24" t="s">
        <v>261</v>
      </c>
      <c r="B84" s="21" t="s">
        <v>466</v>
      </c>
      <c r="C84" s="13" t="s">
        <v>9</v>
      </c>
      <c r="D84" s="13" t="s">
        <v>9</v>
      </c>
      <c r="E84" s="17" t="s">
        <v>8</v>
      </c>
      <c r="F84" s="8"/>
      <c r="G84" s="4"/>
      <c r="H84" s="81">
        <v>30000</v>
      </c>
      <c r="I84" s="14">
        <f>H84*1.19</f>
        <v>35700</v>
      </c>
      <c r="J84" s="13">
        <v>583</v>
      </c>
      <c r="K84" s="6">
        <v>95200</v>
      </c>
      <c r="L84" s="4"/>
      <c r="M84" s="19" t="s">
        <v>465</v>
      </c>
      <c r="N84" s="19" t="s">
        <v>464</v>
      </c>
      <c r="O84" s="13" t="s">
        <v>463</v>
      </c>
      <c r="P84" s="13" t="s">
        <v>462</v>
      </c>
      <c r="Q84" s="54" t="s">
        <v>461</v>
      </c>
      <c r="R84" s="28"/>
      <c r="S84" s="13" t="s">
        <v>2</v>
      </c>
      <c r="T84" s="13" t="s">
        <v>31</v>
      </c>
      <c r="U84" s="62"/>
      <c r="V84" s="17" t="s">
        <v>24</v>
      </c>
      <c r="W84" s="13" t="s">
        <v>460</v>
      </c>
      <c r="X84" s="13" t="s">
        <v>459</v>
      </c>
      <c r="Y84" s="5"/>
      <c r="Z84" s="4"/>
      <c r="AA84" s="4"/>
      <c r="AB84" s="3"/>
      <c r="AC84" s="11" t="str">
        <f ca="1">IFERROR(__xludf.DUMMYFUNCTION("HYPERLINK(
""https://wa.me/""&amp;REGEXREPLACE(Q84,""[^0-9]"","""")&amp;
""?text=""&amp;
ENCODEURL(
""Hola *""&amp;B84&amp;""*.
Te recordamos que la factura Nº *""&amp;J84&amp;""* por el plan """"""&amp;E84&amp;"""""" se encuentra disponible para pago y vence hoy.
Monto: *$""&amp;I84&amp;""*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84" s="3"/>
      <c r="AE84" s="3">
        <f>AD84*1.19</f>
        <v>0</v>
      </c>
    </row>
    <row r="85" spans="1:31" ht="13.5">
      <c r="A85" s="24" t="s">
        <v>261</v>
      </c>
      <c r="B85" s="21" t="s">
        <v>458</v>
      </c>
      <c r="C85" s="4"/>
      <c r="D85" s="4"/>
      <c r="E85" s="17" t="s">
        <v>11</v>
      </c>
      <c r="F85" s="8"/>
      <c r="G85" s="4"/>
      <c r="H85" s="14" t="s">
        <v>457</v>
      </c>
      <c r="I85" s="14">
        <f>H85*1.19</f>
        <v>0</v>
      </c>
      <c r="J85" s="25" t="s">
        <v>16</v>
      </c>
      <c r="K85" s="6"/>
      <c r="L85" s="4"/>
      <c r="M85" s="19" t="s">
        <v>456</v>
      </c>
      <c r="N85" s="19" t="s">
        <v>455</v>
      </c>
      <c r="O85" s="13" t="s">
        <v>454</v>
      </c>
      <c r="P85" s="13">
        <v>276641999</v>
      </c>
      <c r="Q85" s="51" t="s">
        <v>453</v>
      </c>
      <c r="R85" s="28"/>
      <c r="S85" s="13" t="s">
        <v>2</v>
      </c>
      <c r="T85" s="17" t="s">
        <v>11</v>
      </c>
      <c r="U85" s="4"/>
      <c r="V85" s="17" t="s">
        <v>24</v>
      </c>
      <c r="W85" s="13" t="s">
        <v>452</v>
      </c>
      <c r="X85" s="13" t="s">
        <v>451</v>
      </c>
      <c r="Y85" s="5"/>
      <c r="Z85" s="4"/>
      <c r="AA85" s="4"/>
      <c r="AB85" s="3"/>
      <c r="AC85" s="11" t="str">
        <f ca="1">IFERROR(__xludf.DUMMYFUNCTION("HYPERLINK(
""https://wa.me/""&amp;REGEXREPLACE(Q85,""[^0-9]"","""")&amp;
""?text=""&amp;
ENCODEURL(
""Hola *""&amp;B85&amp;""*.
Te recordamos que la factura Nº *""&amp;J85&amp;""* por el plan """"""&amp;E85&amp;"""""" se encuentra disponible para pago y vence hoy.
Monto: *$""&amp;I85&amp;""*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*$""&amp;AD85&amp;""*
Valor total febrero (con IVA): *$""&amp;AE85&amp;""*
A partir de mañana el valor aument"&amp;"a un 25%, correspondiente al valor de diciembre.
Simple Pyme""
),
""Enviar WhatsApp""
)"),"Enviar WhatsApp")</f>
        <v>Enviar WhatsApp</v>
      </c>
      <c r="AD85" s="3"/>
      <c r="AE85" s="3"/>
    </row>
    <row r="86" spans="1:31" ht="13.5">
      <c r="A86" s="61" t="s">
        <v>261</v>
      </c>
      <c r="B86" s="21" t="s">
        <v>450</v>
      </c>
      <c r="C86" s="13" t="s">
        <v>9</v>
      </c>
      <c r="D86" s="13" t="s">
        <v>9</v>
      </c>
      <c r="E86" s="13" t="s">
        <v>8</v>
      </c>
      <c r="F86" s="8"/>
      <c r="G86" s="13">
        <v>1</v>
      </c>
      <c r="H86" s="14">
        <v>40000</v>
      </c>
      <c r="I86" s="14">
        <f>H86*1.19</f>
        <v>47600</v>
      </c>
      <c r="J86" s="25" t="s">
        <v>16</v>
      </c>
      <c r="K86" s="6"/>
      <c r="L86" s="13" t="s">
        <v>449</v>
      </c>
      <c r="M86" s="19" t="s">
        <v>448</v>
      </c>
      <c r="N86" s="19" t="s">
        <v>447</v>
      </c>
      <c r="O86" s="13" t="s">
        <v>446</v>
      </c>
      <c r="P86" s="13" t="s">
        <v>445</v>
      </c>
      <c r="Q86" s="51">
        <v>936563637</v>
      </c>
      <c r="R86" s="28"/>
      <c r="S86" s="13" t="s">
        <v>2</v>
      </c>
      <c r="T86" s="13" t="s">
        <v>31</v>
      </c>
      <c r="U86" s="22"/>
      <c r="V86" s="13" t="s">
        <v>9</v>
      </c>
      <c r="W86" s="13" t="s">
        <v>444</v>
      </c>
      <c r="X86" s="13" t="s">
        <v>443</v>
      </c>
      <c r="Y86" s="4"/>
      <c r="Z86" s="4"/>
      <c r="AA86" s="4"/>
      <c r="AB86" s="3"/>
      <c r="AC86" s="3" t="str">
        <f ca="1">IFERROR(__xludf.DUMMYFUNCTION("HYPERLINK(
""https://wa.me/""&amp;REGEXREPLACE(Q86,""[^0-9]"","""")&amp;
""?text=""&amp;
ENCODEURL(
""Hola *""&amp;B86&amp;""*.
Te recordamos que la factura Nº *""&amp;J86&amp;""* por el plan """"""&amp;E86&amp;"""""" se encuentra disponible para pago y vence hoy.
Monto: *$""&amp;I86&amp;""*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*$""&amp;AD86&amp;""*
Valor total febrero (con IVA): *$""&amp;AE86&amp;""*
A partir de mañana el valor aument"&amp;"a un 25%, correspondiente al valor de diciembre.
Simple Pyme""
),
""Enviar WhatsApp""
)"),"Enviar WhatsApp")</f>
        <v>Enviar WhatsApp</v>
      </c>
      <c r="AD86" s="3"/>
      <c r="AE86" s="3"/>
    </row>
    <row r="87" spans="1:31" ht="13.5">
      <c r="A87" s="24" t="s">
        <v>261</v>
      </c>
      <c r="B87" s="21" t="s">
        <v>442</v>
      </c>
      <c r="C87" s="13" t="s">
        <v>9</v>
      </c>
      <c r="D87" s="13" t="s">
        <v>9</v>
      </c>
      <c r="E87" s="17" t="s">
        <v>23</v>
      </c>
      <c r="F87" s="8"/>
      <c r="G87" s="4"/>
      <c r="H87" s="14">
        <v>10000</v>
      </c>
      <c r="I87" s="14">
        <f>H87*1.19</f>
        <v>11900</v>
      </c>
      <c r="J87" s="13">
        <v>584</v>
      </c>
      <c r="K87" s="6">
        <v>59500</v>
      </c>
      <c r="L87" s="4"/>
      <c r="M87" s="19" t="s">
        <v>441</v>
      </c>
      <c r="N87" s="19" t="s">
        <v>440</v>
      </c>
      <c r="O87" s="13" t="s">
        <v>439</v>
      </c>
      <c r="P87" s="13" t="s">
        <v>438</v>
      </c>
      <c r="Q87" s="51">
        <v>959527618</v>
      </c>
      <c r="R87" s="100"/>
      <c r="S87" s="13" t="s">
        <v>2</v>
      </c>
      <c r="T87" s="13" t="s">
        <v>31</v>
      </c>
      <c r="U87" s="22"/>
      <c r="V87" s="17" t="s">
        <v>24</v>
      </c>
      <c r="W87" s="13" t="s">
        <v>437</v>
      </c>
      <c r="X87" s="13" t="s">
        <v>436</v>
      </c>
      <c r="Y87" s="5"/>
      <c r="Z87" s="4"/>
      <c r="AA87" s="4"/>
      <c r="AB87" s="3"/>
      <c r="AC87" s="3" t="str">
        <f ca="1">IFERROR(__xludf.DUMMYFUNCTION("HYPERLINK(
""https://wa.me/""&amp;REGEXREPLACE(Q87,""[^0-9]"","""")&amp;
""?text=""&amp;
ENCODEURL(
""Hola *""&amp;B87&amp;""*.
Te recordamos que la factura Nº *""&amp;J87&amp;""* por el plan """"""&amp;E87&amp;"""""" se encuentra disponible para pago y vence hoy.
Monto: *$""&amp;I87&amp;""*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*$""&amp;AD87&amp;""*
Valor total febrero (con IVA): *$""&amp;AE87&amp;""*
A partir de mañana el valor aument"&amp;"a un 25%, correspondiente al valor de diciembre.
Simple Pyme""
),
""Enviar WhatsApp""
)"),"Enviar WhatsApp")</f>
        <v>Enviar WhatsApp</v>
      </c>
      <c r="AD87" s="3"/>
      <c r="AE87" s="3"/>
    </row>
    <row r="88" spans="1:31" ht="13.5">
      <c r="A88" s="24" t="s">
        <v>261</v>
      </c>
      <c r="B88" s="21" t="s">
        <v>435</v>
      </c>
      <c r="C88" s="13" t="s">
        <v>9</v>
      </c>
      <c r="D88" s="13" t="s">
        <v>9</v>
      </c>
      <c r="E88" s="17" t="s">
        <v>23</v>
      </c>
      <c r="F88" s="8"/>
      <c r="G88" s="4"/>
      <c r="H88" s="14">
        <v>10000</v>
      </c>
      <c r="I88" s="14">
        <f>H88*1.19</f>
        <v>11900</v>
      </c>
      <c r="J88" s="13">
        <v>585</v>
      </c>
      <c r="K88" s="6"/>
      <c r="L88" s="4"/>
      <c r="M88" s="19" t="s">
        <v>434</v>
      </c>
      <c r="N88" s="19" t="s">
        <v>429</v>
      </c>
      <c r="O88" s="13" t="s">
        <v>433</v>
      </c>
      <c r="P88" s="13" t="s">
        <v>432</v>
      </c>
      <c r="Q88" s="51" t="s">
        <v>431</v>
      </c>
      <c r="R88" s="28"/>
      <c r="S88" s="13" t="s">
        <v>2</v>
      </c>
      <c r="T88" s="13" t="s">
        <v>31</v>
      </c>
      <c r="U88" s="52"/>
      <c r="V88" s="17" t="s">
        <v>24</v>
      </c>
      <c r="W88" s="13" t="s">
        <v>430</v>
      </c>
      <c r="X88" s="13" t="s">
        <v>429</v>
      </c>
      <c r="Y88" s="5"/>
      <c r="Z88" s="4"/>
      <c r="AA88" s="4"/>
      <c r="AB88" s="3"/>
      <c r="AC88" s="11" t="str">
        <f ca="1">IFERROR(__xludf.DUMMYFUNCTION("HYPERLINK(
""https://wa.me/""&amp;REGEXREPLACE(Q88,""[^0-9]"","""")&amp;
""?text=""&amp;
ENCODEURL(
""Buenas tardes *""&amp;B88&amp;""*.
Te recordamos que tu plan """"""&amp;E88&amp;"""""" no incluye la declaración de renta. Te enviamos varios correos informando sobre este proceso."&amp;" Esta semana vencen las primeras declaraciones juradas, lo que generará multas
Valor: *$""&amp;AD88&amp;""* + IVA = *$""&amp;AE88&amp;""*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88" s="26">
        <v>78125</v>
      </c>
      <c r="AE88" s="26">
        <f>AD88*1.19</f>
        <v>92968.75</v>
      </c>
    </row>
    <row r="89" spans="1:31" ht="13.5">
      <c r="A89" s="24" t="s">
        <v>261</v>
      </c>
      <c r="B89" s="21" t="s">
        <v>428</v>
      </c>
      <c r="C89" s="13" t="s">
        <v>9</v>
      </c>
      <c r="D89" s="13" t="s">
        <v>9</v>
      </c>
      <c r="E89" s="17" t="s">
        <v>93</v>
      </c>
      <c r="F89" s="25">
        <v>2</v>
      </c>
      <c r="G89" s="13">
        <v>16</v>
      </c>
      <c r="H89" s="14">
        <f>(60500+14*5000)</f>
        <v>130500</v>
      </c>
      <c r="I89" s="14">
        <f>H89*1.19</f>
        <v>155295</v>
      </c>
      <c r="J89" s="13">
        <v>586</v>
      </c>
      <c r="K89" s="6">
        <v>119000</v>
      </c>
      <c r="L89" s="13"/>
      <c r="M89" s="19" t="s">
        <v>427</v>
      </c>
      <c r="N89" s="19" t="s">
        <v>426</v>
      </c>
      <c r="O89" s="21" t="s">
        <v>425</v>
      </c>
      <c r="P89" s="13" t="s">
        <v>424</v>
      </c>
      <c r="Q89" s="13" t="s">
        <v>423</v>
      </c>
      <c r="R89" s="80"/>
      <c r="S89" s="13" t="s">
        <v>2</v>
      </c>
      <c r="T89" s="13" t="s">
        <v>31</v>
      </c>
      <c r="U89" s="52"/>
      <c r="V89" s="17" t="s">
        <v>24</v>
      </c>
      <c r="W89" s="13" t="s">
        <v>422</v>
      </c>
      <c r="X89" s="13" t="s">
        <v>421</v>
      </c>
      <c r="Y89" s="5"/>
      <c r="Z89" s="4"/>
      <c r="AA89" s="4"/>
      <c r="AB89" s="3"/>
      <c r="AC89" s="11" t="str">
        <f ca="1">IFERROR(__xludf.DUMMYFUNCTION("HYPERLINK(
""https://wa.me/""&amp;REGEXREPLACE(Q89,""[^0-9]"","""")&amp;
""?text=""&amp;
ENCODEURL(
""Hola *""&amp;B89&amp;""*.
Te recordamos que la factura Nº *""&amp;J89&amp;""* por el plan """"""&amp;E89&amp;"""""" se encuentra disponible para pago y vence hoy.
Monto: *$""&amp;I89&amp;""*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89" s="3"/>
      <c r="AE89" s="3">
        <f>AD89*1.19</f>
        <v>0</v>
      </c>
    </row>
    <row r="90" spans="1:31" ht="23.25">
      <c r="A90" s="24" t="s">
        <v>261</v>
      </c>
      <c r="B90" s="99" t="s">
        <v>420</v>
      </c>
      <c r="C90" s="13" t="s">
        <v>9</v>
      </c>
      <c r="D90" s="13" t="s">
        <v>9</v>
      </c>
      <c r="E90" s="17" t="s">
        <v>93</v>
      </c>
      <c r="F90" s="8"/>
      <c r="G90" s="13">
        <v>1</v>
      </c>
      <c r="H90" s="81">
        <v>50000</v>
      </c>
      <c r="I90" s="14">
        <f>H90*1.19</f>
        <v>59500</v>
      </c>
      <c r="J90" s="13">
        <v>587</v>
      </c>
      <c r="K90" s="14">
        <v>119000</v>
      </c>
      <c r="L90" s="4"/>
      <c r="M90" s="19" t="s">
        <v>419</v>
      </c>
      <c r="N90" s="19" t="s">
        <v>418</v>
      </c>
      <c r="O90" s="21" t="s">
        <v>417</v>
      </c>
      <c r="P90" s="13" t="s">
        <v>416</v>
      </c>
      <c r="Q90" s="13" t="s">
        <v>415</v>
      </c>
      <c r="R90" s="28"/>
      <c r="S90" s="13" t="s">
        <v>2</v>
      </c>
      <c r="T90" s="13" t="s">
        <v>31</v>
      </c>
      <c r="U90" s="22"/>
      <c r="V90" s="17" t="s">
        <v>24</v>
      </c>
      <c r="W90" s="13" t="s">
        <v>414</v>
      </c>
      <c r="X90" s="13" t="s">
        <v>413</v>
      </c>
      <c r="Y90" s="5"/>
      <c r="Z90" s="4"/>
      <c r="AA90" s="4"/>
      <c r="AB90" s="3"/>
      <c r="AC90" s="11" t="str">
        <f ca="1">IFERROR(__xludf.DUMMYFUNCTION("HYPERLINK(
""https://wa.me/""&amp;REGEXREPLACE(Q90,""[^0-9]"","""")&amp;
""?text=""&amp;
ENCODEURL(
""Hola *""&amp;B90&amp;""*.
Te recordamos que la factura Nº *""&amp;J90&amp;""* por el plan """"""&amp;E90&amp;"""""" se encuentra disponible para pago y vence hoy.
Monto: *$""&amp;I90&amp;""*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90" s="3"/>
      <c r="AE90" s="3">
        <f>AD90*1.19</f>
        <v>0</v>
      </c>
    </row>
    <row r="91" spans="1:31" ht="13.5">
      <c r="A91" s="24" t="s">
        <v>261</v>
      </c>
      <c r="B91" s="21" t="s">
        <v>412</v>
      </c>
      <c r="C91" s="13" t="s">
        <v>9</v>
      </c>
      <c r="D91" s="13" t="s">
        <v>9</v>
      </c>
      <c r="E91" s="17" t="s">
        <v>8</v>
      </c>
      <c r="F91" s="8"/>
      <c r="G91" s="4"/>
      <c r="H91" s="14">
        <v>30000</v>
      </c>
      <c r="I91" s="14">
        <f>H91*1.19</f>
        <v>35700</v>
      </c>
      <c r="J91" s="13">
        <v>588</v>
      </c>
      <c r="K91" s="6"/>
      <c r="L91" s="4"/>
      <c r="M91" s="19" t="s">
        <v>411</v>
      </c>
      <c r="N91" s="19" t="s">
        <v>410</v>
      </c>
      <c r="O91" s="13" t="s">
        <v>409</v>
      </c>
      <c r="P91" s="13" t="s">
        <v>408</v>
      </c>
      <c r="Q91" s="13" t="s">
        <v>407</v>
      </c>
      <c r="R91" s="28"/>
      <c r="S91" s="13" t="s">
        <v>2</v>
      </c>
      <c r="T91" s="13" t="s">
        <v>1</v>
      </c>
      <c r="U91" s="4"/>
      <c r="V91" s="17" t="s">
        <v>24</v>
      </c>
      <c r="W91" s="13" t="s">
        <v>406</v>
      </c>
      <c r="X91" s="13" t="s">
        <v>405</v>
      </c>
      <c r="Y91" s="5"/>
      <c r="Z91" s="4"/>
      <c r="AA91" s="4"/>
      <c r="AB91" s="3"/>
      <c r="AC91" s="11" t="str">
        <f ca="1">IFERROR(__xludf.DUMMYFUNCTION("HYPERLINK(
""https://wa.me/""&amp;REGEXREPLACE(Q91,""[^0-9]"","""")&amp;
""?text=""&amp;
ENCODEURL(
""Hola *""&amp;B91&amp;""*.
Te recordamos que la factura Nº *""&amp;J91&amp;""* por el plan """"""&amp;E91&amp;"""""" se encuentra disponible para pago y vence hoy.
Monto: *$""&amp;I91&amp;""*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91" s="3"/>
      <c r="AE91" s="3">
        <f>AD91*1.19</f>
        <v>0</v>
      </c>
    </row>
    <row r="92" spans="1:31" ht="13.5">
      <c r="A92" s="61" t="s">
        <v>261</v>
      </c>
      <c r="B92" s="21" t="s">
        <v>404</v>
      </c>
      <c r="C92" s="13" t="s">
        <v>9</v>
      </c>
      <c r="D92" s="13" t="s">
        <v>9</v>
      </c>
      <c r="E92" s="13" t="s">
        <v>23</v>
      </c>
      <c r="F92" s="8"/>
      <c r="G92" s="4"/>
      <c r="H92" s="14">
        <v>10000</v>
      </c>
      <c r="I92" s="14">
        <f>H92*1.19</f>
        <v>11900</v>
      </c>
      <c r="J92" s="13">
        <v>589</v>
      </c>
      <c r="K92" s="6"/>
      <c r="L92" s="4"/>
      <c r="M92" s="19" t="s">
        <v>403</v>
      </c>
      <c r="N92" s="19" t="s">
        <v>402</v>
      </c>
      <c r="O92" s="31" t="s">
        <v>401</v>
      </c>
      <c r="P92" s="13" t="s">
        <v>400</v>
      </c>
      <c r="Q92" s="51" t="s">
        <v>399</v>
      </c>
      <c r="R92" s="28"/>
      <c r="S92" s="13" t="s">
        <v>2</v>
      </c>
      <c r="T92" s="13" t="s">
        <v>31</v>
      </c>
      <c r="U92" s="18"/>
      <c r="V92" s="13" t="s">
        <v>24</v>
      </c>
      <c r="W92" s="13" t="s">
        <v>398</v>
      </c>
      <c r="X92" s="13" t="s">
        <v>397</v>
      </c>
      <c r="Y92" s="4"/>
      <c r="Z92" s="4"/>
      <c r="AA92" s="4"/>
      <c r="AB92" s="3"/>
      <c r="AC92" s="11" t="str">
        <f ca="1">IFERROR(__xludf.DUMMYFUNCTION("HYPERLINK(
""https://wa.me/""&amp;REGEXREPLACE(Q92,""[^0-9]"","""")&amp;
""?text=""&amp;
ENCODEURL(
""Buenas tardes *""&amp;B92&amp;""*.
Te recordamos que tu plan """"""&amp;E92&amp;"""""" no incluye la declaración de renta. Te enviamos varios correos informando sobre este proceso."&amp;" Esta semana vencen las primeras declaraciones juradas, lo que generará multas
Valor: *$""&amp;AD92&amp;""* + IVA = *$""&amp;AE92&amp;""*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92" s="26">
        <f>78125+100000</f>
        <v>178125</v>
      </c>
      <c r="AE92" s="26">
        <f>AD92*1.19</f>
        <v>211968.75</v>
      </c>
    </row>
    <row r="93" spans="1:31" ht="13.5">
      <c r="A93" s="24" t="s">
        <v>261</v>
      </c>
      <c r="B93" s="21" t="s">
        <v>396</v>
      </c>
      <c r="C93" s="13" t="s">
        <v>24</v>
      </c>
      <c r="D93" s="13"/>
      <c r="E93" s="17" t="s">
        <v>37</v>
      </c>
      <c r="F93" s="8"/>
      <c r="G93" s="13"/>
      <c r="H93" s="14">
        <v>50000</v>
      </c>
      <c r="I93" s="14">
        <f>H93*1.19</f>
        <v>59500</v>
      </c>
      <c r="J93" s="13">
        <v>590</v>
      </c>
      <c r="K93" s="6"/>
      <c r="L93" s="4"/>
      <c r="M93" s="19" t="s">
        <v>395</v>
      </c>
      <c r="N93" s="98" t="s">
        <v>394</v>
      </c>
      <c r="O93" s="13" t="s">
        <v>393</v>
      </c>
      <c r="P93" s="13" t="s">
        <v>392</v>
      </c>
      <c r="Q93" s="51" t="s">
        <v>391</v>
      </c>
      <c r="R93" s="28"/>
      <c r="S93" s="13" t="s">
        <v>2</v>
      </c>
      <c r="T93" s="13" t="s">
        <v>37</v>
      </c>
      <c r="U93" s="52"/>
      <c r="V93" s="17" t="s">
        <v>24</v>
      </c>
      <c r="W93" s="13" t="s">
        <v>390</v>
      </c>
      <c r="X93" s="13" t="s">
        <v>389</v>
      </c>
      <c r="Y93" s="5"/>
      <c r="Z93" s="4"/>
      <c r="AA93" s="4"/>
      <c r="AB93" s="3"/>
      <c r="AC93" s="11" t="str">
        <f ca="1">IFERROR(__xludf.DUMMYFUNCTION("HYPERLINK(
""https://wa.me/""&amp;REGEXREPLACE(Q93,""[^0-9]"","""")&amp;
""?text=""&amp;
ENCODEURL(
""Buenas tardes *""&amp;B93&amp;""*.
Te recordamos que tu plan *""""""&amp;E93&amp;""""""* *no incluye* la declaración de renta. Te enviamos varios correos informando sobre este proc"&amp;"eso. Esta semana vencen las primeras declaraciones juradas, lo que generará multas
Valor: *$""&amp;AD93&amp;""* + IVA = *$""&amp;AE93&amp;""*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93" s="26">
        <v>156250</v>
      </c>
      <c r="AE93" s="26">
        <v>185937.5</v>
      </c>
    </row>
    <row r="94" spans="1:31" ht="13.5">
      <c r="A94" s="24" t="s">
        <v>261</v>
      </c>
      <c r="B94" s="21" t="s">
        <v>388</v>
      </c>
      <c r="C94" s="13" t="s">
        <v>9</v>
      </c>
      <c r="D94" s="13" t="s">
        <v>9</v>
      </c>
      <c r="E94" s="17" t="s">
        <v>23</v>
      </c>
      <c r="F94" s="8"/>
      <c r="G94" s="13" t="s">
        <v>387</v>
      </c>
      <c r="H94" s="81">
        <v>0</v>
      </c>
      <c r="I94" s="14">
        <f>H94*1.19</f>
        <v>0</v>
      </c>
      <c r="J94" s="13" t="s">
        <v>386</v>
      </c>
      <c r="K94" s="6"/>
      <c r="L94" s="13" t="s">
        <v>385</v>
      </c>
      <c r="M94" s="19">
        <v>781483168</v>
      </c>
      <c r="N94" s="19" t="s">
        <v>384</v>
      </c>
      <c r="O94" s="21" t="s">
        <v>383</v>
      </c>
      <c r="P94" s="13" t="s">
        <v>376</v>
      </c>
      <c r="Q94" s="13" t="s">
        <v>375</v>
      </c>
      <c r="R94" s="28"/>
      <c r="S94" s="13" t="s">
        <v>2</v>
      </c>
      <c r="T94" s="13" t="s">
        <v>31</v>
      </c>
      <c r="U94" s="96"/>
      <c r="V94" s="17" t="s">
        <v>24</v>
      </c>
      <c r="W94" s="13" t="s">
        <v>382</v>
      </c>
      <c r="X94" s="13" t="s">
        <v>381</v>
      </c>
      <c r="Y94" s="5"/>
      <c r="Z94" s="4"/>
      <c r="AA94" s="4"/>
      <c r="AB94" s="3"/>
      <c r="AC94" s="11" t="str">
        <f ca="1">IFERROR(__xludf.DUMMYFUNCTION("HYPERLINK(
""https://wa.me/""&amp;REGEXREPLACE(Q94,""[^0-9]"","""")&amp;
""?text=""&amp;
ENCODEURL(
""Hola *""&amp;B94&amp;""*.
Te recordamos que la factura Nº *""&amp;J94&amp;""* por el plan """"""&amp;E94&amp;"""""" se encuentra disponible para pago y vence hoy.
Monto: *$""&amp;I94&amp;""*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94" s="3"/>
      <c r="AE94" s="3">
        <f>AD94*1.19</f>
        <v>0</v>
      </c>
    </row>
    <row r="95" spans="1:31" ht="13.5">
      <c r="A95" s="24" t="s">
        <v>261</v>
      </c>
      <c r="B95" s="21" t="s">
        <v>380</v>
      </c>
      <c r="C95" s="13" t="s">
        <v>9</v>
      </c>
      <c r="D95" s="13" t="s">
        <v>9</v>
      </c>
      <c r="E95" s="17" t="s">
        <v>47</v>
      </c>
      <c r="F95" s="8"/>
      <c r="G95" s="13">
        <v>2</v>
      </c>
      <c r="H95" s="81">
        <v>150000</v>
      </c>
      <c r="I95" s="14">
        <f>H95*1.19</f>
        <v>178500</v>
      </c>
      <c r="J95" s="13">
        <v>625</v>
      </c>
      <c r="K95" s="6"/>
      <c r="L95" s="4"/>
      <c r="M95" s="19" t="s">
        <v>379</v>
      </c>
      <c r="N95" s="19" t="s">
        <v>378</v>
      </c>
      <c r="O95" s="13" t="s">
        <v>377</v>
      </c>
      <c r="P95" s="13" t="s">
        <v>376</v>
      </c>
      <c r="Q95" s="13" t="s">
        <v>375</v>
      </c>
      <c r="R95" s="28"/>
      <c r="S95" s="13" t="s">
        <v>2</v>
      </c>
      <c r="T95" s="13" t="s">
        <v>31</v>
      </c>
      <c r="U95" s="22"/>
      <c r="V95" s="17" t="s">
        <v>9</v>
      </c>
      <c r="W95" s="4"/>
      <c r="X95" s="4"/>
      <c r="Y95" s="17" t="s">
        <v>2</v>
      </c>
      <c r="Z95" s="4"/>
      <c r="AA95" s="8"/>
      <c r="AB95" s="3"/>
      <c r="AC95" s="11" t="str">
        <f ca="1">IFERROR(__xludf.DUMMYFUNCTION("HYPERLINK(
""https://wa.me/""&amp;REGEXREPLACE(Q95,""[^0-9]"","""")&amp;
""?text=""&amp;
ENCODEURL(
""Hola *""&amp;B95&amp;""*.
Te recordamos que la factura Nº *""&amp;J95&amp;""* por el plan """"""&amp;E95&amp;"""""" se encuentra disponible para pago y vence hoy.
Monto: *$""&amp;I95&amp;""*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95" s="3"/>
      <c r="AE95" s="3">
        <f>AD95*1.19</f>
        <v>0</v>
      </c>
    </row>
    <row r="96" spans="1:31" ht="13.5">
      <c r="A96" s="24" t="s">
        <v>261</v>
      </c>
      <c r="B96" s="21" t="s">
        <v>374</v>
      </c>
      <c r="C96" s="13" t="s">
        <v>9</v>
      </c>
      <c r="D96" s="13" t="s">
        <v>9</v>
      </c>
      <c r="E96" s="17" t="s">
        <v>8</v>
      </c>
      <c r="F96" s="8"/>
      <c r="G96" s="4"/>
      <c r="H96" s="81">
        <v>30000</v>
      </c>
      <c r="I96" s="14">
        <f>H96*1.19</f>
        <v>35700</v>
      </c>
      <c r="J96" s="13">
        <v>592</v>
      </c>
      <c r="K96" s="6"/>
      <c r="L96" s="4"/>
      <c r="M96" s="19" t="s">
        <v>373</v>
      </c>
      <c r="N96" s="19" t="s">
        <v>372</v>
      </c>
      <c r="O96" s="13" t="s">
        <v>371</v>
      </c>
      <c r="P96" s="13" t="s">
        <v>370</v>
      </c>
      <c r="Q96" s="55" t="s">
        <v>369</v>
      </c>
      <c r="R96" s="28"/>
      <c r="S96" s="13" t="s">
        <v>2</v>
      </c>
      <c r="T96" s="17" t="s">
        <v>31</v>
      </c>
      <c r="U96" s="62"/>
      <c r="V96" s="17" t="s">
        <v>24</v>
      </c>
      <c r="W96" s="13" t="s">
        <v>368</v>
      </c>
      <c r="X96" s="13" t="s">
        <v>367</v>
      </c>
      <c r="Y96" s="5"/>
      <c r="Z96" s="4"/>
      <c r="AA96" s="4"/>
      <c r="AB96" s="3"/>
      <c r="AC96" s="11" t="str">
        <f ca="1">IFERROR(__xludf.DUMMYFUNCTION("HYPERLINK(
""https://wa.me/""&amp;REGEXREPLACE(Q96,""[^0-9]"","""")&amp;
""?text=""&amp;
ENCODEURL(
""Buenas tardes *""&amp;B96&amp;""*.
Te recordamos que tu plan """"""&amp;E96&amp;"""""" no incluye la declaración de renta. Te enviamos varios correos informando sobre este proceso."&amp;" Esta semana vencen las primeras declaraciones juradas, lo que generará multas
Valor: *$""&amp;AD96&amp;""* + IVA = *$""&amp;AE96&amp;""*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D96" s="26">
        <v>117188</v>
      </c>
      <c r="AE96" s="26">
        <f>AD96*1.19</f>
        <v>139453.72</v>
      </c>
    </row>
    <row r="97" spans="1:31" ht="13.5">
      <c r="A97" s="24" t="s">
        <v>261</v>
      </c>
      <c r="B97" s="21" t="s">
        <v>366</v>
      </c>
      <c r="C97" s="13" t="s">
        <v>9</v>
      </c>
      <c r="D97" s="13" t="s">
        <v>9</v>
      </c>
      <c r="E97" s="17" t="s">
        <v>8</v>
      </c>
      <c r="F97" s="8"/>
      <c r="G97" s="4"/>
      <c r="H97" s="14">
        <v>30000</v>
      </c>
      <c r="I97" s="14">
        <f>H97*1.19</f>
        <v>35700</v>
      </c>
      <c r="J97" s="13">
        <v>593</v>
      </c>
      <c r="K97" s="6">
        <v>95200</v>
      </c>
      <c r="L97" s="4"/>
      <c r="M97" s="97" t="s">
        <v>365</v>
      </c>
      <c r="N97" s="19" t="s">
        <v>364</v>
      </c>
      <c r="O97" s="13" t="s">
        <v>363</v>
      </c>
      <c r="P97" s="13" t="s">
        <v>362</v>
      </c>
      <c r="Q97" s="13" t="s">
        <v>361</v>
      </c>
      <c r="R97" s="28"/>
      <c r="S97" s="13" t="s">
        <v>2</v>
      </c>
      <c r="T97" s="17" t="s">
        <v>1</v>
      </c>
      <c r="U97" s="52"/>
      <c r="V97" s="17" t="s">
        <v>24</v>
      </c>
      <c r="W97" s="13" t="s">
        <v>360</v>
      </c>
      <c r="X97" s="13" t="s">
        <v>359</v>
      </c>
      <c r="Y97" s="5"/>
      <c r="Z97" s="4"/>
      <c r="AA97" s="4"/>
      <c r="AB97" s="3"/>
      <c r="AC97" s="11" t="str">
        <f ca="1">IFERROR(__xludf.DUMMYFUNCTION("HYPERLINK(
""https://wa.me/""&amp;REGEXREPLACE(Q97,""[^0-9]"","""")&amp;
""?text=""&amp;
ENCODEURL(
""Hola *""&amp;B97&amp;""*.
Te recordamos que la factura Nº *""&amp;J97&amp;""* por el plan """"""&amp;E97&amp;"""""" se encuentra disponible para pago y vence hoy.
Monto: *$""&amp;I97&amp;""*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97" s="3"/>
      <c r="AE97" s="3">
        <f>AD97*1.19</f>
        <v>0</v>
      </c>
    </row>
    <row r="98" spans="1:31" ht="13.5">
      <c r="A98" s="24" t="s">
        <v>261</v>
      </c>
      <c r="B98" s="21" t="s">
        <v>358</v>
      </c>
      <c r="C98" s="13" t="s">
        <v>24</v>
      </c>
      <c r="D98" s="13"/>
      <c r="E98" s="17" t="s">
        <v>23</v>
      </c>
      <c r="F98" s="8"/>
      <c r="G98" s="4"/>
      <c r="H98" s="14">
        <v>10000</v>
      </c>
      <c r="I98" s="14">
        <f>H98*1.19</f>
        <v>11900</v>
      </c>
      <c r="J98" s="13">
        <v>594</v>
      </c>
      <c r="K98" s="6"/>
      <c r="L98" s="13"/>
      <c r="M98" s="19" t="s">
        <v>357</v>
      </c>
      <c r="N98" s="19" t="s">
        <v>356</v>
      </c>
      <c r="O98" s="13" t="s">
        <v>355</v>
      </c>
      <c r="P98" s="13" t="s">
        <v>354</v>
      </c>
      <c r="Q98" s="13" t="s">
        <v>353</v>
      </c>
      <c r="R98" s="80"/>
      <c r="S98" s="13" t="s">
        <v>2</v>
      </c>
      <c r="T98" s="17" t="s">
        <v>31</v>
      </c>
      <c r="U98" s="96"/>
      <c r="V98" s="17" t="s">
        <v>24</v>
      </c>
      <c r="W98" s="13" t="s">
        <v>352</v>
      </c>
      <c r="X98" s="13" t="s">
        <v>351</v>
      </c>
      <c r="Y98" s="5"/>
      <c r="Z98" s="4"/>
      <c r="AA98" s="4"/>
      <c r="AB98" s="3"/>
      <c r="AC98" s="11" t="str">
        <f ca="1">IFERROR(__xludf.DUMMYFUNCTION("HYPERLINK(
""https://wa.me/""&amp;REGEXREPLACE(Q98,""[^0-9]"","""")&amp;
""?text=""&amp;
ENCODEURL(
""Buenas tardes *""&amp;B98&amp;""*.
Te recordamos que tu plan *""""""&amp;E98&amp;""""""* *no incluye* la declaración de renta. Te enviamos varios correos informando sobre este proc"&amp;"eso. Esta semana vencen las primeras declaraciones juradas, lo que generará multas
Valor: *$""&amp;AD98&amp;""* + IVA = *$""&amp;AE98&amp;""*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D98" s="26">
        <v>78125</v>
      </c>
      <c r="AE98" s="26">
        <v>92968.75</v>
      </c>
    </row>
    <row r="99" spans="1:31" ht="13.5">
      <c r="A99" s="24" t="s">
        <v>261</v>
      </c>
      <c r="B99" s="21" t="s">
        <v>350</v>
      </c>
      <c r="C99" s="13" t="s">
        <v>9</v>
      </c>
      <c r="D99" s="13" t="s">
        <v>9</v>
      </c>
      <c r="E99" s="17" t="s">
        <v>8</v>
      </c>
      <c r="F99" s="8"/>
      <c r="G99" s="4"/>
      <c r="H99" s="14">
        <v>30000</v>
      </c>
      <c r="I99" s="14">
        <f>H99*1.19</f>
        <v>35700</v>
      </c>
      <c r="J99" s="13">
        <v>595</v>
      </c>
      <c r="K99" s="6"/>
      <c r="L99" s="4"/>
      <c r="M99" s="19" t="s">
        <v>349</v>
      </c>
      <c r="N99" s="19" t="s">
        <v>348</v>
      </c>
      <c r="O99" s="13" t="s">
        <v>347</v>
      </c>
      <c r="P99" s="4"/>
      <c r="Q99" s="51" t="s">
        <v>346</v>
      </c>
      <c r="R99" s="28"/>
      <c r="S99" s="13" t="s">
        <v>2</v>
      </c>
      <c r="T99" s="17" t="s">
        <v>31</v>
      </c>
      <c r="U99" s="52"/>
      <c r="V99" s="17" t="s">
        <v>24</v>
      </c>
      <c r="W99" s="13" t="s">
        <v>345</v>
      </c>
      <c r="X99" s="4"/>
      <c r="Y99" s="5"/>
      <c r="Z99" s="4"/>
      <c r="AA99" s="4"/>
      <c r="AB99" s="3"/>
      <c r="AC99" s="11" t="str">
        <f ca="1">IFERROR(__xludf.DUMMYFUNCTION("HYPERLINK(
""https://wa.me/""&amp;REGEXREPLACE(Q99,""[^0-9]"","""")&amp;
""?text=""&amp;
ENCODEURL(
""Hola *""&amp;B99&amp;""*.
Te recordamos que la factura Nº *""&amp;J99&amp;""* por el plan """"""&amp;E99&amp;"""""" se encuentra disponible para pago y vence hoy.
Monto: *$""&amp;I99&amp;""*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*$""&amp;AD99&amp;""*
Valor total febrero (con IVA): *$""&amp;AE99&amp;""*
A partir de mañana el valor aument"&amp;"a un 25%, correspondiente al valor de diciembre.
Simple Pyme""
),
""Enviar WhatsApp""
)"),"Enviar WhatsApp")</f>
        <v>Enviar WhatsApp</v>
      </c>
      <c r="AD99" s="3"/>
      <c r="AE99" s="3"/>
    </row>
    <row r="100" spans="1:31" ht="13.5">
      <c r="A100" s="24" t="s">
        <v>261</v>
      </c>
      <c r="B100" s="21" t="s">
        <v>344</v>
      </c>
      <c r="C100" s="13" t="s">
        <v>9</v>
      </c>
      <c r="D100" s="13" t="s">
        <v>9</v>
      </c>
      <c r="E100" s="17" t="s">
        <v>8</v>
      </c>
      <c r="F100" s="8"/>
      <c r="G100" s="4"/>
      <c r="H100" s="14">
        <v>30000</v>
      </c>
      <c r="I100" s="14">
        <f>H100*1.19</f>
        <v>35700</v>
      </c>
      <c r="J100" s="13">
        <v>597</v>
      </c>
      <c r="K100" s="6"/>
      <c r="L100" s="4"/>
      <c r="M100" s="19" t="s">
        <v>343</v>
      </c>
      <c r="N100" s="19" t="s">
        <v>342</v>
      </c>
      <c r="O100" s="13" t="s">
        <v>341</v>
      </c>
      <c r="P100" s="13" t="s">
        <v>340</v>
      </c>
      <c r="Q100" s="13" t="s">
        <v>339</v>
      </c>
      <c r="R100" s="28"/>
      <c r="S100" s="13" t="s">
        <v>2</v>
      </c>
      <c r="T100" s="17" t="s">
        <v>31</v>
      </c>
      <c r="U100" s="22"/>
      <c r="V100" s="17" t="s">
        <v>24</v>
      </c>
      <c r="W100" s="13" t="s">
        <v>338</v>
      </c>
      <c r="X100" s="13" t="s">
        <v>337</v>
      </c>
      <c r="Y100" s="5"/>
      <c r="Z100" s="4"/>
      <c r="AA100" s="4"/>
      <c r="AB100" s="3"/>
      <c r="AC100" s="11" t="str">
        <f ca="1">IFERROR(__xludf.DUMMYFUNCTION("HYPERLINK(
""https://wa.me/""&amp;REGEXREPLACE(Q100,""[^0-9]"","""")&amp;
""?text=""&amp;
ENCODEURL(
""Buenas tardes *""&amp;B100&amp;""*.
Te recordamos que tu plan """"""&amp;E100&amp;"""""" no incluye la declaración de renta. Te enviamos varios correos informando sobre este proce"&amp;"so. Esta semana vencen las primeras declaraciones juradas, lo que generará multas
Valor: *$""&amp;AD100&amp;""* + IVA = *$""&amp;AE100&amp;""*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00" s="26">
        <v>125000</v>
      </c>
      <c r="AE100" s="26">
        <f>AD100*1.19</f>
        <v>148750</v>
      </c>
    </row>
    <row r="101" spans="1:31" ht="13.5">
      <c r="A101" s="24" t="s">
        <v>261</v>
      </c>
      <c r="B101" s="21" t="s">
        <v>336</v>
      </c>
      <c r="C101" s="13" t="s">
        <v>9</v>
      </c>
      <c r="D101" s="13" t="s">
        <v>9</v>
      </c>
      <c r="E101" s="17" t="s">
        <v>8</v>
      </c>
      <c r="F101" s="8"/>
      <c r="G101" s="4"/>
      <c r="H101" s="14">
        <v>30000</v>
      </c>
      <c r="I101" s="14">
        <f>H101*1.19</f>
        <v>35700</v>
      </c>
      <c r="J101" s="13">
        <v>598</v>
      </c>
      <c r="K101" s="6">
        <v>95200</v>
      </c>
      <c r="L101" s="4"/>
      <c r="M101" s="19" t="s">
        <v>335</v>
      </c>
      <c r="N101" s="19" t="s">
        <v>330</v>
      </c>
      <c r="O101" s="13" t="s">
        <v>334</v>
      </c>
      <c r="P101" s="13" t="s">
        <v>333</v>
      </c>
      <c r="Q101" s="13" t="s">
        <v>332</v>
      </c>
      <c r="R101" s="28"/>
      <c r="S101" s="13" t="s">
        <v>2</v>
      </c>
      <c r="T101" s="17" t="s">
        <v>31</v>
      </c>
      <c r="U101" s="52">
        <v>46083</v>
      </c>
      <c r="V101" s="17" t="s">
        <v>24</v>
      </c>
      <c r="W101" s="13" t="s">
        <v>331</v>
      </c>
      <c r="X101" s="13" t="s">
        <v>330</v>
      </c>
      <c r="Y101" s="5"/>
      <c r="Z101" s="4"/>
      <c r="AA101" s="4"/>
      <c r="AB101" s="3"/>
      <c r="AC101" s="11" t="str">
        <f ca="1">IFERROR(__xludf.DUMMYFUNCTION("HYPERLINK(
""https://wa.me/""&amp;REGEXREPLACE(Q101,""[^0-9]"","""")&amp;
""?text=""&amp;
ENCODEURL(
""Hola *""&amp;B101&amp;""*.
Te recordamos que la factura Nº *""&amp;J101&amp;""* por el plan """"""&amp;E101&amp;"""""" se encuentra disponible para pago y vence hoy.
Monto: *$""&amp;I101&amp;""*"&amp;"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*$""&amp;AD101&amp;""*
Valor total febrero (con IVA): *$""&amp;AE101&amp;""*
A partir de mañana el valor"&amp;" aumenta un 25%, correspondiente al valor de diciembre.
Simple Pyme""
),
""Enviar WhatsApp""
)"),"Enviar WhatsApp")</f>
        <v>Enviar WhatsApp</v>
      </c>
      <c r="AD101" s="3"/>
      <c r="AE101" s="3"/>
    </row>
    <row r="102" spans="1:31" ht="13.5">
      <c r="A102" s="24" t="s">
        <v>261</v>
      </c>
      <c r="B102" s="21" t="s">
        <v>329</v>
      </c>
      <c r="C102" s="13" t="s">
        <v>9</v>
      </c>
      <c r="D102" s="13" t="s">
        <v>9</v>
      </c>
      <c r="E102" s="17" t="s">
        <v>47</v>
      </c>
      <c r="F102" s="8"/>
      <c r="G102" s="4"/>
      <c r="H102" s="14">
        <v>60504</v>
      </c>
      <c r="I102" s="14">
        <f>H102*1.19</f>
        <v>71999.759999999995</v>
      </c>
      <c r="J102" s="13">
        <v>599</v>
      </c>
      <c r="K102" s="14">
        <v>59500</v>
      </c>
      <c r="L102" s="4"/>
      <c r="M102" s="19" t="s">
        <v>328</v>
      </c>
      <c r="N102" s="19" t="s">
        <v>327</v>
      </c>
      <c r="O102" s="13" t="s">
        <v>326</v>
      </c>
      <c r="P102" s="13" t="s">
        <v>325</v>
      </c>
      <c r="Q102" s="51" t="s">
        <v>324</v>
      </c>
      <c r="R102" s="28"/>
      <c r="S102" s="13" t="s">
        <v>2</v>
      </c>
      <c r="T102" s="17" t="s">
        <v>31</v>
      </c>
      <c r="U102" s="52"/>
      <c r="V102" s="17" t="s">
        <v>24</v>
      </c>
      <c r="W102" s="13" t="s">
        <v>323</v>
      </c>
      <c r="X102" s="13" t="s">
        <v>322</v>
      </c>
      <c r="Y102" s="5"/>
      <c r="Z102" s="4"/>
      <c r="AA102" s="4"/>
      <c r="AB102" s="3"/>
      <c r="AC102" s="11" t="str">
        <f ca="1">IFERROR(__xludf.DUMMYFUNCTION("HYPERLINK(
""https://wa.me/""&amp;REGEXREPLACE(Q102,""[^0-9]"","""")&amp;
""?text=""&amp;
ENCODEURL(
""Hola *""&amp;B102&amp;""*.
Te recordamos que la factura Nº *""&amp;J102&amp;""* por el plan """"""&amp;E102&amp;"""""" se encuentra disponible para pago y vence hoy.
Monto: *$""&amp;I102&amp;""*"&amp;"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02" s="3"/>
      <c r="AE102" s="3">
        <f>AD102*1.19</f>
        <v>0</v>
      </c>
    </row>
    <row r="103" spans="1:31" ht="13.5">
      <c r="A103" s="61" t="s">
        <v>261</v>
      </c>
      <c r="B103" s="21" t="s">
        <v>321</v>
      </c>
      <c r="C103" s="13" t="s">
        <v>9</v>
      </c>
      <c r="D103" s="13" t="s">
        <v>9</v>
      </c>
      <c r="E103" s="13" t="s">
        <v>47</v>
      </c>
      <c r="F103" s="8"/>
      <c r="G103" s="4"/>
      <c r="H103" s="14">
        <v>60504</v>
      </c>
      <c r="I103" s="14">
        <f>H103*1.19</f>
        <v>71999.759999999995</v>
      </c>
      <c r="J103" s="13">
        <v>600</v>
      </c>
      <c r="K103" s="6"/>
      <c r="L103" s="4"/>
      <c r="M103" s="19" t="s">
        <v>320</v>
      </c>
      <c r="N103" s="19" t="s">
        <v>319</v>
      </c>
      <c r="O103" s="13" t="s">
        <v>318</v>
      </c>
      <c r="P103" s="13" t="s">
        <v>317</v>
      </c>
      <c r="Q103" s="51" t="s">
        <v>316</v>
      </c>
      <c r="R103" s="28"/>
      <c r="S103" s="13" t="s">
        <v>2</v>
      </c>
      <c r="T103" s="17" t="s">
        <v>1</v>
      </c>
      <c r="U103" s="52"/>
      <c r="V103" s="13" t="s">
        <v>24</v>
      </c>
      <c r="W103" s="13" t="s">
        <v>315</v>
      </c>
      <c r="X103" s="13" t="s">
        <v>314</v>
      </c>
      <c r="Y103" s="4"/>
      <c r="Z103" s="4"/>
      <c r="AA103" s="4"/>
      <c r="AB103" s="3"/>
      <c r="AC103" s="11" t="str">
        <f ca="1">IFERROR(__xludf.DUMMYFUNCTION("HYPERLINK(
""https://wa.me/""&amp;REGEXREPLACE(Q103,""[^0-9]"","""")&amp;
""?text=""&amp;
ENCODEURL(
""Hola *""&amp;B103&amp;""*.
Te recordamos que la factura Nº *""&amp;J103&amp;""* por el plan """"""&amp;E103&amp;"""""" se encuentra disponible para pago y vence hoy.
Monto: *$""&amp;I103&amp;""*"&amp;"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03" s="3"/>
      <c r="AE103" s="3">
        <f>AD103*1.19</f>
        <v>0</v>
      </c>
    </row>
    <row r="104" spans="1:31" ht="13.5">
      <c r="A104" s="24" t="s">
        <v>261</v>
      </c>
      <c r="B104" s="21" t="s">
        <v>313</v>
      </c>
      <c r="C104" s="13"/>
      <c r="D104" s="4"/>
      <c r="E104" s="17" t="s">
        <v>47</v>
      </c>
      <c r="F104" s="8"/>
      <c r="G104" s="4"/>
      <c r="H104" s="20">
        <v>60500</v>
      </c>
      <c r="I104" s="14">
        <f>H104*1.19</f>
        <v>71995</v>
      </c>
      <c r="J104" s="25" t="s">
        <v>16</v>
      </c>
      <c r="K104" s="6"/>
      <c r="L104" s="4" t="s">
        <v>70</v>
      </c>
      <c r="M104" s="71" t="s">
        <v>312</v>
      </c>
      <c r="N104" s="71" t="s">
        <v>311</v>
      </c>
      <c r="O104" s="95" t="s">
        <v>310</v>
      </c>
      <c r="P104" s="13" t="s">
        <v>309</v>
      </c>
      <c r="Q104" s="51">
        <v>995993291</v>
      </c>
      <c r="R104" s="28"/>
      <c r="S104" s="17" t="s">
        <v>2</v>
      </c>
      <c r="T104" s="17" t="s">
        <v>40</v>
      </c>
      <c r="U104" s="4"/>
      <c r="V104" s="17" t="s">
        <v>24</v>
      </c>
      <c r="W104" s="13" t="s">
        <v>308</v>
      </c>
      <c r="X104" s="13" t="s">
        <v>307</v>
      </c>
      <c r="Y104" s="5"/>
      <c r="Z104" s="4"/>
      <c r="AA104" s="4"/>
      <c r="AB104" s="3"/>
      <c r="AC104" s="3" t="str">
        <f ca="1">IFERROR(__xludf.DUMMYFUNCTION("HYPERLINK(
""https://wa.me/""&amp;REGEXREPLACE(Q104,""[^0-9]"","""")&amp;
""?text=""&amp;
ENCODEURL(
""Hola *""&amp;B104&amp;""*.
Te recordamos que la factura Nº *""&amp;J104&amp;""* por el plan """"""&amp;E104&amp;"""""" se encuentra disponible para pago y vence hoy.
Monto: *$""&amp;I104&amp;""*"&amp;"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*$""&amp;AD104&amp;""*
Valor total febrero (con IVA): *$""&amp;AE104&amp;""*
A partir de mañana el valor"&amp;" aumenta un 25%, correspondiente al valor de diciembre.
Simple Pyme""
),
""Enviar WhatsApp""
)"),"Enviar WhatsApp")</f>
        <v>Enviar WhatsApp</v>
      </c>
      <c r="AD104" s="3">
        <v>0</v>
      </c>
      <c r="AE104" s="3">
        <f>AD104*1.19</f>
        <v>0</v>
      </c>
    </row>
    <row r="105" spans="1:31" ht="13.5">
      <c r="A105" s="61" t="s">
        <v>261</v>
      </c>
      <c r="B105" s="21" t="s">
        <v>306</v>
      </c>
      <c r="C105" s="13" t="s">
        <v>9</v>
      </c>
      <c r="D105" s="13" t="s">
        <v>9</v>
      </c>
      <c r="E105" s="13" t="s">
        <v>93</v>
      </c>
      <c r="F105" s="8"/>
      <c r="G105" s="13">
        <v>1</v>
      </c>
      <c r="H105" s="14">
        <v>50000</v>
      </c>
      <c r="I105" s="14">
        <f>H105*1.19</f>
        <v>59500</v>
      </c>
      <c r="J105" s="13">
        <v>602</v>
      </c>
      <c r="K105" s="6"/>
      <c r="L105" s="4"/>
      <c r="M105" s="19" t="s">
        <v>305</v>
      </c>
      <c r="N105" s="19" t="s">
        <v>304</v>
      </c>
      <c r="O105" s="13" t="s">
        <v>303</v>
      </c>
      <c r="P105" s="13" t="s">
        <v>302</v>
      </c>
      <c r="Q105" s="51" t="s">
        <v>301</v>
      </c>
      <c r="R105" s="28"/>
      <c r="S105" s="17" t="s">
        <v>2</v>
      </c>
      <c r="T105" s="17" t="s">
        <v>31</v>
      </c>
      <c r="U105" s="18"/>
      <c r="V105" s="13" t="s">
        <v>24</v>
      </c>
      <c r="W105" s="13" t="s">
        <v>300</v>
      </c>
      <c r="X105" s="4"/>
      <c r="Y105" s="4"/>
      <c r="Z105" s="4"/>
      <c r="AA105" s="4"/>
      <c r="AB105" s="3"/>
      <c r="AC105" s="11" t="str">
        <f ca="1">IFERROR(__xludf.DUMMYFUNCTION("HYPERLINK(
""https://wa.me/""&amp;REGEXREPLACE(Q105,""[^0-9]"","""")&amp;
""?text=""&amp;
ENCODEURL(
""Buenas tardes *""&amp;B105&amp;""*.
Te recordamos que tu plan """"""&amp;E105&amp;"""""" no incluye la declaración de renta. Te enviamos varios correos informando sobre este proce"&amp;"so. Esta semana vencen las primeras declaraciones juradas, lo que generará multas
Valor: *$""&amp;AD105&amp;""* + IVA = *$""&amp;AE105&amp;""*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05" s="26">
        <v>156250</v>
      </c>
      <c r="AE105" s="26">
        <f>AD105*1.19</f>
        <v>185937.5</v>
      </c>
    </row>
    <row r="106" spans="1:31" ht="15">
      <c r="A106" s="24" t="s">
        <v>261</v>
      </c>
      <c r="B106" s="21" t="s">
        <v>299</v>
      </c>
      <c r="C106" s="4"/>
      <c r="D106" s="4"/>
      <c r="E106" s="17" t="s">
        <v>11</v>
      </c>
      <c r="F106" s="8"/>
      <c r="G106" s="4"/>
      <c r="H106" s="20">
        <v>0</v>
      </c>
      <c r="I106" s="14">
        <f>H106*1.19</f>
        <v>0</v>
      </c>
      <c r="J106" s="25" t="s">
        <v>16</v>
      </c>
      <c r="K106" s="6"/>
      <c r="L106" s="4"/>
      <c r="M106" s="19" t="s">
        <v>298</v>
      </c>
      <c r="N106" s="19" t="s">
        <v>297</v>
      </c>
      <c r="O106" s="94" t="s">
        <v>296</v>
      </c>
      <c r="P106" s="3"/>
      <c r="Q106" s="51" t="s">
        <v>295</v>
      </c>
      <c r="R106" s="28"/>
      <c r="S106" s="13" t="s">
        <v>2</v>
      </c>
      <c r="T106" s="17" t="s">
        <v>11</v>
      </c>
      <c r="U106" s="4"/>
      <c r="V106" s="17" t="s">
        <v>24</v>
      </c>
      <c r="W106" s="4"/>
      <c r="X106" s="4"/>
      <c r="Y106" s="5"/>
      <c r="Z106" s="4"/>
      <c r="AA106" s="4"/>
      <c r="AB106" s="3"/>
      <c r="AC106" s="11" t="str">
        <f ca="1">IFERROR(__xludf.DUMMYFUNCTION("HYPERLINK(
""https://wa.me/""&amp;REGEXREPLACE(Q106,""[^0-9]"","""")&amp;
""?text=""&amp;
ENCODEURL(
""Hola *""&amp;B106&amp;""*.
Te recordamos que la factura Nº *""&amp;J106&amp;""* por el plan """"""&amp;E106&amp;"""""" se encuentra disponible para pago y vence hoy.
Monto: *$""&amp;I106&amp;""*"&amp;"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*$""&amp;AD106&amp;""*
Valor total febrero (con IVA): *$""&amp;AE106&amp;""*
A partir de mañana el valor"&amp;" aumenta un 25%, correspondiente al valor de diciembre.
Simple Pyme""
),
""Enviar WhatsApp""
)"),"Enviar WhatsApp")</f>
        <v>Enviar WhatsApp</v>
      </c>
      <c r="AD106" s="3"/>
      <c r="AE106" s="3"/>
    </row>
    <row r="107" spans="1:31" ht="13.5">
      <c r="A107" s="24" t="s">
        <v>261</v>
      </c>
      <c r="B107" s="93" t="s">
        <v>294</v>
      </c>
      <c r="C107" s="13" t="s">
        <v>9</v>
      </c>
      <c r="D107" s="13" t="s">
        <v>9</v>
      </c>
      <c r="E107" s="17" t="s">
        <v>11</v>
      </c>
      <c r="F107" s="92"/>
      <c r="G107" s="83"/>
      <c r="H107" s="91">
        <v>60504</v>
      </c>
      <c r="I107" s="91">
        <f>H107*1.19</f>
        <v>71999.759999999995</v>
      </c>
      <c r="J107" s="13">
        <v>603</v>
      </c>
      <c r="K107" s="90"/>
      <c r="L107" s="83"/>
      <c r="M107" s="89" t="s">
        <v>293</v>
      </c>
      <c r="N107" s="89" t="s">
        <v>292</v>
      </c>
      <c r="O107" s="84" t="s">
        <v>291</v>
      </c>
      <c r="P107" s="84" t="s">
        <v>290</v>
      </c>
      <c r="Q107" s="88" t="s">
        <v>289</v>
      </c>
      <c r="R107" s="87"/>
      <c r="S107" s="13" t="s">
        <v>2</v>
      </c>
      <c r="T107" s="17" t="s">
        <v>11</v>
      </c>
      <c r="U107" s="86"/>
      <c r="V107" s="17" t="s">
        <v>24</v>
      </c>
      <c r="W107" s="85" t="s">
        <v>288</v>
      </c>
      <c r="X107" s="84" t="s">
        <v>287</v>
      </c>
      <c r="Y107" s="5"/>
      <c r="Z107" s="83"/>
      <c r="AA107" s="83"/>
      <c r="AB107" s="82"/>
      <c r="AC107" s="11" t="str">
        <f ca="1">IFERROR(__xludf.DUMMYFUNCTION("HYPERLINK(
""https://wa.me/""&amp;REGEXREPLACE(Q107,""[^0-9]"","""")&amp;
""?text=""&amp;
ENCODEURL(
""Buenas tardes *""&amp;B107&amp;""*.
Te recordamos que tu plan """"""&amp;E107&amp;"""""" no incluye la declaración de renta. Te enviamos varios correos informando sobre este proce"&amp;"so. Esta semana vencen las primeras declaraciones juradas, lo que generará multas
Valor: *$""&amp;AD107&amp;""* + IVA = *$""&amp;AE107&amp;""*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07" s="26">
        <v>78125</v>
      </c>
      <c r="AE107" s="26">
        <f>AD107*1.19</f>
        <v>92968.75</v>
      </c>
    </row>
    <row r="108" spans="1:31" ht="13.5">
      <c r="A108" s="61" t="s">
        <v>261</v>
      </c>
      <c r="B108" s="61" t="s">
        <v>286</v>
      </c>
      <c r="C108" s="13" t="s">
        <v>24</v>
      </c>
      <c r="D108" s="13"/>
      <c r="E108" s="13" t="s">
        <v>8</v>
      </c>
      <c r="F108" s="8"/>
      <c r="G108" s="4"/>
      <c r="H108" s="81">
        <v>30000</v>
      </c>
      <c r="I108" s="14">
        <f>H108*1.19</f>
        <v>35700</v>
      </c>
      <c r="J108" s="13" t="s">
        <v>103</v>
      </c>
      <c r="K108" s="6"/>
      <c r="L108" s="4"/>
      <c r="M108" s="19" t="s">
        <v>285</v>
      </c>
      <c r="N108" s="19" t="s">
        <v>284</v>
      </c>
      <c r="O108" s="13" t="s">
        <v>283</v>
      </c>
      <c r="P108" s="13" t="s">
        <v>282</v>
      </c>
      <c r="Q108" s="13" t="s">
        <v>281</v>
      </c>
      <c r="R108" s="28"/>
      <c r="S108" s="13" t="s">
        <v>2</v>
      </c>
      <c r="T108" s="13" t="s">
        <v>1</v>
      </c>
      <c r="U108" s="22"/>
      <c r="V108" s="13" t="s">
        <v>24</v>
      </c>
      <c r="W108" s="13" t="s">
        <v>280</v>
      </c>
      <c r="X108" s="13" t="s">
        <v>279</v>
      </c>
      <c r="Y108" s="4"/>
      <c r="Z108" s="4"/>
      <c r="AA108" s="4"/>
      <c r="AB108" s="3"/>
      <c r="AC108" s="11" t="str">
        <f ca="1">IFERROR(__xludf.DUMMYFUNCTION("HYPERLINK(
""https://wa.me/""&amp;REGEXREPLACE(Q108,""[^0-9]"","""")&amp;
""?text=""&amp;
ENCODEURL(
""Buenas tardes *""&amp;B108&amp;""*.
Te recordamos que tu plan *""""""&amp;E108&amp;""""""* *no incluye* la declaración de renta. Te enviamos varios correos informando sobre este p"&amp;"roceso. Esta semana vencen las primeras declaraciones juradas, lo que generará multas
Valor: *$""&amp;AD108&amp;""* + IVA = *$""&amp;AE108&amp;""*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08" s="26">
        <v>125000</v>
      </c>
      <c r="AE108" s="26">
        <v>148750</v>
      </c>
    </row>
    <row r="109" spans="1:31" ht="13.5">
      <c r="A109" s="24" t="s">
        <v>261</v>
      </c>
      <c r="B109" s="61" t="s">
        <v>278</v>
      </c>
      <c r="C109" s="13" t="s">
        <v>9</v>
      </c>
      <c r="D109" s="13" t="s">
        <v>9</v>
      </c>
      <c r="E109" s="17" t="s">
        <v>8</v>
      </c>
      <c r="F109" s="8"/>
      <c r="G109" s="4"/>
      <c r="H109" s="14">
        <v>30000</v>
      </c>
      <c r="I109" s="14">
        <f>H109*1.19</f>
        <v>35700</v>
      </c>
      <c r="J109" s="13">
        <v>604</v>
      </c>
      <c r="K109" s="6">
        <v>59500</v>
      </c>
      <c r="L109" s="13"/>
      <c r="M109" s="19" t="s">
        <v>277</v>
      </c>
      <c r="N109" s="19" t="s">
        <v>276</v>
      </c>
      <c r="O109" s="13" t="s">
        <v>275</v>
      </c>
      <c r="P109" s="13" t="s">
        <v>274</v>
      </c>
      <c r="Q109" s="55" t="s">
        <v>273</v>
      </c>
      <c r="R109" s="80"/>
      <c r="S109" s="17" t="s">
        <v>2</v>
      </c>
      <c r="T109" s="17" t="s">
        <v>1</v>
      </c>
      <c r="U109" s="79"/>
      <c r="V109" s="17" t="s">
        <v>24</v>
      </c>
      <c r="W109" s="13" t="s">
        <v>272</v>
      </c>
      <c r="X109" s="13" t="s">
        <v>271</v>
      </c>
      <c r="Y109" s="5"/>
      <c r="Z109" s="4"/>
      <c r="AA109" s="4"/>
      <c r="AB109" s="3"/>
      <c r="AC109" s="11" t="str">
        <f ca="1">IFERROR(__xludf.DUMMYFUNCTION("HYPERLINK(
""https://wa.me/""&amp;REGEXREPLACE(Q109,""[^0-9]"","""")&amp;
""?text=""&amp;
ENCODEURL(
""Hola *""&amp;B109&amp;""*.
Te recordamos que la factura Nº *""&amp;J109&amp;""* por el plan """"""&amp;E109&amp;"""""" se encuentra disponible para pago y vence hoy.
Monto: *$""&amp;I109&amp;""*"&amp;"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09" s="3"/>
      <c r="AE109" s="3">
        <f>AD109*1.19</f>
        <v>0</v>
      </c>
    </row>
    <row r="110" spans="1:31" ht="13.5">
      <c r="A110" s="24" t="s">
        <v>261</v>
      </c>
      <c r="B110" s="21" t="s">
        <v>270</v>
      </c>
      <c r="C110" s="13" t="s">
        <v>9</v>
      </c>
      <c r="D110" s="13" t="s">
        <v>9</v>
      </c>
      <c r="E110" s="17" t="s">
        <v>8</v>
      </c>
      <c r="F110" s="8"/>
      <c r="G110" s="4" t="s">
        <v>269</v>
      </c>
      <c r="H110" s="14">
        <v>30000</v>
      </c>
      <c r="I110" s="14">
        <f>H110*1.19</f>
        <v>35700</v>
      </c>
      <c r="J110" s="13">
        <v>605</v>
      </c>
      <c r="K110" s="6"/>
      <c r="L110" s="4"/>
      <c r="M110" s="19" t="s">
        <v>268</v>
      </c>
      <c r="N110" s="19" t="s">
        <v>267</v>
      </c>
      <c r="O110" s="13" t="s">
        <v>266</v>
      </c>
      <c r="P110" s="13" t="s">
        <v>265</v>
      </c>
      <c r="Q110" s="54" t="s">
        <v>264</v>
      </c>
      <c r="R110" s="28"/>
      <c r="S110" s="13" t="s">
        <v>2</v>
      </c>
      <c r="T110" s="17" t="s">
        <v>31</v>
      </c>
      <c r="U110" s="78"/>
      <c r="V110" s="17" t="s">
        <v>24</v>
      </c>
      <c r="W110" s="13" t="s">
        <v>263</v>
      </c>
      <c r="X110" s="13" t="s">
        <v>262</v>
      </c>
      <c r="Y110" s="5"/>
      <c r="Z110" s="4"/>
      <c r="AA110" s="4"/>
      <c r="AB110" s="3"/>
      <c r="AC110" s="11" t="str">
        <f ca="1">IFERROR(__xludf.DUMMYFUNCTION("HYPERLINK(
""https://wa.me/""&amp;REGEXREPLACE(Q110,""[^0-9]"","""")&amp;
""?text=""&amp;
ENCODEURL(
""Buenas tardes *""&amp;B110&amp;""*.
Te recordamos que tu plan """"""&amp;E110&amp;"""""" no incluye la declaración de renta. Te enviamos varios correos informando sobre este proce"&amp;"so. Esta semana vencen las primeras declaraciones juradas, lo que generará multas
Valor: *$""&amp;AD110&amp;""* + IVA = *$""&amp;AE110&amp;""*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10" s="26">
        <v>78125</v>
      </c>
      <c r="AE110" s="26">
        <f>AD110*1.19</f>
        <v>92968.75</v>
      </c>
    </row>
    <row r="111" spans="1:31" ht="13.5">
      <c r="A111" s="24" t="s">
        <v>261</v>
      </c>
      <c r="B111" s="21" t="s">
        <v>260</v>
      </c>
      <c r="C111" s="4"/>
      <c r="D111" s="4"/>
      <c r="E111" s="17" t="s">
        <v>11</v>
      </c>
      <c r="F111" s="8"/>
      <c r="G111" s="4"/>
      <c r="H111" s="14">
        <v>0</v>
      </c>
      <c r="I111" s="14">
        <f>H111*1.19</f>
        <v>0</v>
      </c>
      <c r="J111" s="25" t="s">
        <v>16</v>
      </c>
      <c r="K111" s="6"/>
      <c r="L111" s="4"/>
      <c r="M111" s="19"/>
      <c r="N111" s="19" t="s">
        <v>259</v>
      </c>
      <c r="O111" s="21" t="s">
        <v>258</v>
      </c>
      <c r="P111" s="4"/>
      <c r="Q111" s="51" t="s">
        <v>257</v>
      </c>
      <c r="R111" s="28"/>
      <c r="S111" s="13" t="s">
        <v>2</v>
      </c>
      <c r="T111" s="17" t="s">
        <v>11</v>
      </c>
      <c r="U111" s="4"/>
      <c r="V111" s="17" t="s">
        <v>24</v>
      </c>
      <c r="W111" s="4"/>
      <c r="X111" s="4"/>
      <c r="Y111" s="5"/>
      <c r="Z111" s="4"/>
      <c r="AA111" s="4"/>
      <c r="AB111" s="3"/>
      <c r="AC111" s="11" t="str">
        <f ca="1">IFERROR(__xludf.DUMMYFUNCTION("HYPERLINK(
""https://wa.me/""&amp;REGEXREPLACE(Q111,""[^0-9]"","""")&amp;
""?text=""&amp;
ENCODEURL(
""Hola *""&amp;B111&amp;""*.
Te recordamos que la factura Nº *""&amp;J111&amp;""* por el plan """"""&amp;E111&amp;"""""" se encuentra disponible para pago y vence hoy.
Monto: *$""&amp;I111&amp;""*"&amp;"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*$""&amp;AD111&amp;""*
Valor total febrero (con IVA): *$""&amp;AE111&amp;""*
A partir de mañana el valor"&amp;" aumenta un 25%, correspondiente al valor de diciembre.
Simple Pyme""
),
""Enviar WhatsApp""
)"),"Enviar WhatsApp")</f>
        <v>Enviar WhatsApp</v>
      </c>
      <c r="AD111" s="3"/>
      <c r="AE111" s="3"/>
    </row>
    <row r="112" spans="1:31" ht="13.5">
      <c r="A112" s="61">
        <v>0</v>
      </c>
      <c r="B112" s="21" t="s">
        <v>256</v>
      </c>
      <c r="C112" s="13" t="s">
        <v>9</v>
      </c>
      <c r="D112" s="13" t="s">
        <v>9</v>
      </c>
      <c r="E112" s="17" t="s">
        <v>23</v>
      </c>
      <c r="F112" s="8"/>
      <c r="G112" s="4"/>
      <c r="H112" s="14">
        <v>10000</v>
      </c>
      <c r="I112" s="14">
        <f>H112*1.19</f>
        <v>11900</v>
      </c>
      <c r="J112" s="13" t="s">
        <v>16</v>
      </c>
      <c r="K112" s="6"/>
      <c r="L112" s="4" t="s">
        <v>255</v>
      </c>
      <c r="M112" s="19" t="s">
        <v>254</v>
      </c>
      <c r="N112" s="13" t="s">
        <v>249</v>
      </c>
      <c r="O112" s="3" t="s">
        <v>253</v>
      </c>
      <c r="P112" s="13" t="s">
        <v>252</v>
      </c>
      <c r="Q112" s="13" t="s">
        <v>251</v>
      </c>
      <c r="R112" s="14"/>
      <c r="S112" s="13" t="s">
        <v>2</v>
      </c>
      <c r="T112" s="17" t="s">
        <v>31</v>
      </c>
      <c r="U112" s="22"/>
      <c r="V112" s="17" t="s">
        <v>24</v>
      </c>
      <c r="W112" s="13" t="s">
        <v>250</v>
      </c>
      <c r="X112" s="13" t="s">
        <v>249</v>
      </c>
      <c r="Y112" s="5"/>
      <c r="Z112" s="4"/>
      <c r="AA112" s="4"/>
      <c r="AB112" s="3"/>
      <c r="AC112" s="11" t="str">
        <f ca="1">IFERROR(__xludf.DUMMYFUNCTION("HYPERLINK(
""https://wa.me/""&amp;REGEXREPLACE(Q112,""[^0-9]"","""")&amp;
""?text=""&amp;
ENCODEURL(
""Buenas tardes *""&amp;B112&amp;""*.
Te recordamos que tu plan """"""&amp;E112&amp;"""""" no incluye la declaración de renta. Te enviamos varios correos informando sobre este proce"&amp;"so. Esta semana vencen las primeras declaraciones juradas, lo que generará multas
Valor: *$""&amp;AD112&amp;""* + IVA = *$""&amp;AE112&amp;""*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12" s="26">
        <v>78125</v>
      </c>
      <c r="AE112" s="26">
        <f>AD112*1.19</f>
        <v>92968.75</v>
      </c>
    </row>
    <row r="113" spans="1:31" ht="13.5">
      <c r="A113" s="77" t="s">
        <v>39</v>
      </c>
      <c r="B113" s="76" t="s">
        <v>248</v>
      </c>
      <c r="C113" s="13" t="s">
        <v>9</v>
      </c>
      <c r="D113" s="13" t="s">
        <v>24</v>
      </c>
      <c r="E113" s="65" t="s">
        <v>37</v>
      </c>
      <c r="F113" s="75"/>
      <c r="G113" s="65">
        <v>2</v>
      </c>
      <c r="H113" s="74">
        <v>110000</v>
      </c>
      <c r="I113" s="73">
        <f>H113*1.19</f>
        <v>130900</v>
      </c>
      <c r="J113" s="65" t="s">
        <v>103</v>
      </c>
      <c r="K113" s="72"/>
      <c r="L113" s="64" t="s">
        <v>247</v>
      </c>
      <c r="M113" s="71" t="s">
        <v>246</v>
      </c>
      <c r="N113" s="65" t="s">
        <v>245</v>
      </c>
      <c r="O113" s="65" t="s">
        <v>244</v>
      </c>
      <c r="P113" s="70" t="s">
        <v>243</v>
      </c>
      <c r="Q113" s="69" t="s">
        <v>242</v>
      </c>
      <c r="R113" s="68"/>
      <c r="S113" s="65" t="s">
        <v>37</v>
      </c>
      <c r="T113" s="65" t="s">
        <v>37</v>
      </c>
      <c r="U113" s="67"/>
      <c r="V113" s="65" t="s">
        <v>24</v>
      </c>
      <c r="W113" s="66" t="s">
        <v>241</v>
      </c>
      <c r="X113" s="64"/>
      <c r="Y113" s="65" t="s">
        <v>58</v>
      </c>
      <c r="Z113" s="64"/>
      <c r="AA113" s="64"/>
      <c r="AB113" s="63"/>
      <c r="AC113" s="11" t="str">
        <f ca="1">IFERROR(__xludf.DUMMYFUNCTION("HYPERLINK(
""https://wa.me/""&amp;REGEXREPLACE(Q113,""[^0-9]"","""")&amp;
""?text=""&amp;
ENCODEURL(
""Hola *""&amp;B113&amp;""*.
Te recordamos que la factura Nº *""&amp;J113&amp;""* por el plan """"""&amp;E113&amp;"""""" se encuentra disponible para pago y vence hoy.
Monto: *$""&amp;I113&amp;""*"&amp;"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*$""&amp;AD113&amp;""*
Valor total febrero (con IVA): *$""&amp;AE113&amp;""*
A partir de mañana el valor"&amp;" aumenta un 25%, correspondiente al valor de diciembre.
Simple Pyme""
),
""Enviar WhatsApp""
)"),"Enviar WhatsApp")</f>
        <v>Enviar WhatsApp</v>
      </c>
      <c r="AD113" s="63"/>
      <c r="AE113" s="63"/>
    </row>
    <row r="114" spans="1:31" ht="13.5">
      <c r="A114" s="24" t="s">
        <v>39</v>
      </c>
      <c r="B114" s="21" t="s">
        <v>240</v>
      </c>
      <c r="C114" s="13" t="s">
        <v>9</v>
      </c>
      <c r="D114" s="13" t="s">
        <v>9</v>
      </c>
      <c r="E114" s="17" t="s">
        <v>23</v>
      </c>
      <c r="F114" s="8"/>
      <c r="G114" s="4"/>
      <c r="H114" s="14">
        <v>10000</v>
      </c>
      <c r="I114" s="14">
        <f>H114*1.19</f>
        <v>11900</v>
      </c>
      <c r="J114" s="13">
        <v>606</v>
      </c>
      <c r="K114" s="6"/>
      <c r="L114" s="4"/>
      <c r="M114" s="19" t="s">
        <v>239</v>
      </c>
      <c r="N114" s="13" t="s">
        <v>238</v>
      </c>
      <c r="O114" s="13" t="s">
        <v>237</v>
      </c>
      <c r="P114" s="4"/>
      <c r="Q114" s="51" t="s">
        <v>236</v>
      </c>
      <c r="R114" s="14"/>
      <c r="S114" s="13" t="s">
        <v>2</v>
      </c>
      <c r="T114" s="17" t="s">
        <v>31</v>
      </c>
      <c r="U114" s="18"/>
      <c r="V114" s="17" t="s">
        <v>24</v>
      </c>
      <c r="W114" s="4"/>
      <c r="X114" s="4"/>
      <c r="Y114" s="5"/>
      <c r="Z114" s="4"/>
      <c r="AA114" s="4"/>
      <c r="AB114" s="3"/>
      <c r="AC114" s="11" t="str">
        <f ca="1">IFERROR(__xludf.DUMMYFUNCTION("HYPERLINK(
""https://wa.me/""&amp;REGEXREPLACE(Q114,""[^0-9]"","""")&amp;
""?text=""&amp;
ENCODEURL(
""Buenas tardes *""&amp;B114&amp;""*.
Te recordamos que tu plan """"""&amp;E114&amp;"""""" no incluye la declaración de renta. Te enviamos varios correos informando sobre este proce"&amp;"so. Esta semana vencen las primeras declaraciones juradas, lo que generará multas
Valor: *$""&amp;AD114&amp;""* + IVA = *$""&amp;AE114&amp;""*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D114" s="26">
        <v>125000</v>
      </c>
      <c r="AE114" s="26">
        <f>AD114*1.19</f>
        <v>148750</v>
      </c>
    </row>
    <row r="115" spans="1:31" ht="13.5">
      <c r="A115" s="24" t="s">
        <v>39</v>
      </c>
      <c r="B115" s="21" t="s">
        <v>235</v>
      </c>
      <c r="C115" s="13" t="s">
        <v>9</v>
      </c>
      <c r="D115" s="13" t="s">
        <v>9</v>
      </c>
      <c r="E115" s="17" t="s">
        <v>23</v>
      </c>
      <c r="F115" s="8"/>
      <c r="G115" s="4"/>
      <c r="H115" s="14">
        <v>10000</v>
      </c>
      <c r="I115" s="14">
        <f>H115*1.19</f>
        <v>11900</v>
      </c>
      <c r="J115" s="13">
        <v>607</v>
      </c>
      <c r="K115" s="14">
        <v>119000</v>
      </c>
      <c r="L115" s="4" t="s">
        <v>234</v>
      </c>
      <c r="M115" s="57" t="s">
        <v>233</v>
      </c>
      <c r="N115" s="58" t="s">
        <v>232</v>
      </c>
      <c r="O115" s="57" t="s">
        <v>231</v>
      </c>
      <c r="P115" s="50" t="s">
        <v>230</v>
      </c>
      <c r="Q115" s="54" t="s">
        <v>229</v>
      </c>
      <c r="R115" s="14"/>
      <c r="S115" s="13" t="s">
        <v>2</v>
      </c>
      <c r="T115" s="17" t="s">
        <v>31</v>
      </c>
      <c r="U115" s="62"/>
      <c r="V115" s="17" t="s">
        <v>24</v>
      </c>
      <c r="W115" s="4"/>
      <c r="X115" s="4"/>
      <c r="Y115" s="5"/>
      <c r="Z115" s="4"/>
      <c r="AA115" s="4"/>
      <c r="AB115" s="3"/>
      <c r="AC115" s="11" t="str">
        <f ca="1">IFERROR(__xludf.DUMMYFUNCTION("HYPERLINK(
""https://wa.me/""&amp;REGEXREPLACE(Q115,""[^0-9]"","""")&amp;
""?text=""&amp;
ENCODEURL(
""Hola *""&amp;B115&amp;""*.
Te recordamos que la factura Nº *""&amp;J115&amp;""* por el plan """"""&amp;E115&amp;"""""" se encuentra disponible para pago y vence hoy.
Monto: *$""&amp;I115&amp;""*"&amp;"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*$""&amp;AD115&amp;""*
Valor total febrero (con IVA): *$""&amp;AE115&amp;""*
A partir de mañana el valor"&amp;" aumenta un 25%, correspondiente al valor de diciembre.
Simple Pyme""
),
""Enviar WhatsApp""
)"),"Enviar WhatsApp")</f>
        <v>Enviar WhatsApp</v>
      </c>
      <c r="AD115" s="3"/>
      <c r="AE115" s="3">
        <f>AD115*1.19</f>
        <v>0</v>
      </c>
    </row>
    <row r="116" spans="1:31" ht="13.5">
      <c r="A116" s="61" t="s">
        <v>39</v>
      </c>
      <c r="B116" s="21" t="s">
        <v>228</v>
      </c>
      <c r="C116" s="13" t="s">
        <v>9</v>
      </c>
      <c r="D116" s="13" t="s">
        <v>9</v>
      </c>
      <c r="E116" s="13" t="s">
        <v>93</v>
      </c>
      <c r="F116" s="8"/>
      <c r="G116" s="13">
        <v>0</v>
      </c>
      <c r="H116" s="20">
        <v>50000</v>
      </c>
      <c r="I116" s="14">
        <f>H116*1.19</f>
        <v>59500</v>
      </c>
      <c r="J116" s="13">
        <v>624</v>
      </c>
      <c r="K116" s="6"/>
      <c r="L116" s="13"/>
      <c r="M116" s="19" t="s">
        <v>227</v>
      </c>
      <c r="N116" s="13" t="s">
        <v>226</v>
      </c>
      <c r="O116" s="13" t="s">
        <v>225</v>
      </c>
      <c r="P116" s="50" t="s">
        <v>224</v>
      </c>
      <c r="Q116" s="51" t="s">
        <v>223</v>
      </c>
      <c r="R116" s="14"/>
      <c r="S116" s="13" t="s">
        <v>2</v>
      </c>
      <c r="T116" s="13" t="s">
        <v>1</v>
      </c>
      <c r="U116" s="18"/>
      <c r="V116" s="13" t="s">
        <v>24</v>
      </c>
      <c r="W116" s="4"/>
      <c r="X116" s="4"/>
      <c r="Y116" s="4"/>
      <c r="Z116" s="4"/>
      <c r="AA116" s="4"/>
      <c r="AB116" s="3"/>
      <c r="AC116" s="11" t="str">
        <f ca="1">IFERROR(__xludf.DUMMYFUNCTION("HYPERLINK(
""https://wa.me/""&amp;REGEXREPLACE(Q116,""[^0-9]"","""")&amp;
""?text=""&amp;
ENCODEURL(
""Hola *""&amp;B116&amp;""*.
Te recordamos que la factura Nº *""&amp;J116&amp;""* por el plan """"""&amp;E116&amp;"""""" se encuentra disponible para pago y vence hoy.
Monto: *$""&amp;I116&amp;""*"&amp;"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16" s="3"/>
      <c r="AE116" s="3">
        <f>AD116*1.19</f>
        <v>0</v>
      </c>
    </row>
    <row r="117" spans="1:31" ht="13.5">
      <c r="A117" s="24" t="s">
        <v>39</v>
      </c>
      <c r="B117" s="21" t="s">
        <v>222</v>
      </c>
      <c r="C117" s="13"/>
      <c r="D117" s="4"/>
      <c r="E117" s="17" t="s">
        <v>47</v>
      </c>
      <c r="F117" s="9"/>
      <c r="G117" s="3"/>
      <c r="H117" s="60">
        <v>60500</v>
      </c>
      <c r="I117" s="14">
        <f>H117*1.19</f>
        <v>71995</v>
      </c>
      <c r="J117" s="25" t="s">
        <v>16</v>
      </c>
      <c r="K117" s="10"/>
      <c r="L117" s="4" t="s">
        <v>221</v>
      </c>
      <c r="M117" s="19" t="s">
        <v>220</v>
      </c>
      <c r="N117" s="13" t="s">
        <v>219</v>
      </c>
      <c r="O117" s="13" t="s">
        <v>218</v>
      </c>
      <c r="P117" s="4"/>
      <c r="Q117" s="51" t="s">
        <v>217</v>
      </c>
      <c r="R117" s="14"/>
      <c r="S117" s="17" t="s">
        <v>2</v>
      </c>
      <c r="T117" s="17" t="s">
        <v>40</v>
      </c>
      <c r="U117" s="4"/>
      <c r="V117" s="17" t="s">
        <v>24</v>
      </c>
      <c r="W117" s="4"/>
      <c r="X117" s="4"/>
      <c r="Y117" s="5"/>
      <c r="Z117" s="4"/>
      <c r="AA117" s="4"/>
      <c r="AB117" s="3"/>
      <c r="AC117" s="11" t="str">
        <f ca="1">IFERROR(__xludf.DUMMYFUNCTION("HYPERLINK(
""https://wa.me/""&amp;REGEXREPLACE(Q117,""[^0-9]"","""")&amp;
""?text=""&amp;
ENCODEURL(
""Hola *""&amp;B117&amp;""*.
Te recordamos que la factura Nº *""&amp;J117&amp;""* por el plan """"""&amp;E117&amp;"""""" se encuentra disponible para pago y vence hoy.
Monto: *$""&amp;I117&amp;""*"&amp;"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*$""&amp;AD117&amp;""*
Valor total febrero (con IVA): *$""&amp;AE117&amp;""*
A partir de mañana el valor"&amp;" aumenta un 25%, correspondiente al valor de diciembre.
Simple Pyme""
),
""Enviar WhatsApp""
)"),"Enviar WhatsApp")</f>
        <v>Enviar WhatsApp</v>
      </c>
      <c r="AD117" s="3">
        <v>0</v>
      </c>
      <c r="AE117" s="3">
        <f>AD117*1.19</f>
        <v>0</v>
      </c>
    </row>
    <row r="118" spans="1:31" ht="13.5">
      <c r="A118" s="24" t="s">
        <v>39</v>
      </c>
      <c r="B118" s="21" t="s">
        <v>216</v>
      </c>
      <c r="C118" s="13" t="s">
        <v>9</v>
      </c>
      <c r="D118" s="13" t="s">
        <v>9</v>
      </c>
      <c r="E118" s="17" t="s">
        <v>93</v>
      </c>
      <c r="F118" s="8"/>
      <c r="G118" s="4"/>
      <c r="H118" s="20">
        <v>50000</v>
      </c>
      <c r="I118" s="14">
        <f>H118*1.19</f>
        <v>59500</v>
      </c>
      <c r="J118" s="13">
        <v>608</v>
      </c>
      <c r="K118" s="6"/>
      <c r="L118" s="4"/>
      <c r="M118" s="19" t="s">
        <v>215</v>
      </c>
      <c r="N118" s="13" t="s">
        <v>214</v>
      </c>
      <c r="O118" s="13" t="s">
        <v>213</v>
      </c>
      <c r="P118" s="50" t="s">
        <v>212</v>
      </c>
      <c r="Q118" s="51" t="s">
        <v>211</v>
      </c>
      <c r="R118" s="14"/>
      <c r="S118" s="13" t="s">
        <v>2</v>
      </c>
      <c r="T118" s="17" t="s">
        <v>1</v>
      </c>
      <c r="U118" s="52"/>
      <c r="V118" s="17" t="s">
        <v>24</v>
      </c>
      <c r="W118" s="13" t="s">
        <v>210</v>
      </c>
      <c r="X118" s="4"/>
      <c r="Y118" s="17" t="s">
        <v>58</v>
      </c>
      <c r="Z118" s="4"/>
      <c r="AA118" s="4"/>
      <c r="AB118" s="3"/>
      <c r="AC118" s="11" t="str">
        <f ca="1">IFERROR(__xludf.DUMMYFUNCTION("HYPERLINK(
""https://wa.me/""&amp;REGEXREPLACE(Q118,""[^0-9]"","""")&amp;
""?text=""&amp;
ENCODEURL(
""Hola *""&amp;B118&amp;""*.
Te recordamos que la factura Nº *""&amp;J118&amp;""* por el plan """"""&amp;E118&amp;"""""" se encuentra disponible para pago y vence hoy.
Monto: *$""&amp;I118&amp;""*"&amp;"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*$""&amp;AD118&amp;""*
Valor total febrero (con IVA): *$""&amp;AE118&amp;""*
A partir de mañana el valor"&amp;" aumenta un 25%, correspondiente al valor de diciembre.
Simple Pyme""
),
""Enviar WhatsApp""
)"),"Enviar WhatsApp")</f>
        <v>Enviar WhatsApp</v>
      </c>
      <c r="AD118" s="26">
        <v>125000</v>
      </c>
      <c r="AE118" s="26">
        <f>AD118*1.19</f>
        <v>148750</v>
      </c>
    </row>
    <row r="119" spans="1:31" ht="13.5">
      <c r="A119" s="24" t="s">
        <v>39</v>
      </c>
      <c r="B119" s="3" t="s">
        <v>209</v>
      </c>
      <c r="C119" s="13"/>
      <c r="D119" s="4"/>
      <c r="E119" s="17" t="s">
        <v>47</v>
      </c>
      <c r="F119" s="8"/>
      <c r="G119" s="4"/>
      <c r="H119" s="20">
        <v>60500</v>
      </c>
      <c r="I119" s="14">
        <f>H119*1.19</f>
        <v>71995</v>
      </c>
      <c r="J119" s="25" t="s">
        <v>16</v>
      </c>
      <c r="K119" s="6"/>
      <c r="L119" s="4" t="s">
        <v>46</v>
      </c>
      <c r="M119" s="59" t="s">
        <v>208</v>
      </c>
      <c r="N119" s="58" t="s">
        <v>207</v>
      </c>
      <c r="O119" s="13" t="s">
        <v>206</v>
      </c>
      <c r="P119" s="3"/>
      <c r="Q119" s="7"/>
      <c r="R119" s="14"/>
      <c r="S119" s="17" t="s">
        <v>2</v>
      </c>
      <c r="T119" s="17" t="s">
        <v>40</v>
      </c>
      <c r="U119" s="4"/>
      <c r="V119" s="17" t="s">
        <v>24</v>
      </c>
      <c r="W119" s="4"/>
      <c r="X119" s="4"/>
      <c r="Y119" s="5"/>
      <c r="Z119" s="4"/>
      <c r="AA119" s="4"/>
      <c r="AB119" s="3"/>
      <c r="AC119" s="11" t="str">
        <f ca="1">IFERROR(__xludf.DUMMYFUNCTION("HYPERLINK(
""https://wa.me/""&amp;REGEXREPLACE(Q119,""[^0-9]"","""")&amp;
""?text=""&amp;
ENCODEURL(
""Hola *""&amp;B119&amp;""*.
Te recordamos que la factura Nº *""&amp;J119&amp;""* por el plan """"""&amp;E119&amp;"""""" se encuentra disponible para pago y vence hoy.
Monto: *$""&amp;I119&amp;""*"&amp;"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*$""&amp;AD119&amp;""*
Valor total febrero (con IVA): *$""&amp;AE119&amp;""*
A partir de mañana el valor"&amp;" aumenta un 25%, correspondiente al valor de diciembre.
Simple Pyme""
),
""Enviar WhatsApp""
)"),"Enviar WhatsApp")</f>
        <v>Enviar WhatsApp</v>
      </c>
      <c r="AD119" s="3">
        <v>0</v>
      </c>
      <c r="AE119" s="3">
        <f>AD119*1.19</f>
        <v>0</v>
      </c>
    </row>
    <row r="120" spans="1:31" ht="13.5">
      <c r="A120" s="24" t="s">
        <v>39</v>
      </c>
      <c r="B120" s="3" t="s">
        <v>205</v>
      </c>
      <c r="C120" s="13"/>
      <c r="D120" s="4"/>
      <c r="E120" s="17" t="s">
        <v>23</v>
      </c>
      <c r="F120" s="8"/>
      <c r="G120" s="4"/>
      <c r="H120" s="20">
        <v>30000</v>
      </c>
      <c r="I120" s="14">
        <f>H120*1.19</f>
        <v>35700</v>
      </c>
      <c r="J120" s="25" t="s">
        <v>16</v>
      </c>
      <c r="K120" s="6"/>
      <c r="L120" s="4" t="s">
        <v>46</v>
      </c>
      <c r="M120" s="19" t="s">
        <v>204</v>
      </c>
      <c r="N120" s="13" t="s">
        <v>192</v>
      </c>
      <c r="O120" s="13" t="s">
        <v>203</v>
      </c>
      <c r="P120" s="4"/>
      <c r="Q120" s="7"/>
      <c r="R120" s="14"/>
      <c r="S120" s="17" t="s">
        <v>2</v>
      </c>
      <c r="T120" s="17" t="s">
        <v>40</v>
      </c>
      <c r="U120" s="4"/>
      <c r="V120" s="17" t="s">
        <v>24</v>
      </c>
      <c r="W120" s="4"/>
      <c r="X120" s="4"/>
      <c r="Y120" s="5"/>
      <c r="Z120" s="4"/>
      <c r="AA120" s="4"/>
      <c r="AB120" s="3"/>
      <c r="AC120" s="11" t="str">
        <f ca="1">IFERROR(__xludf.DUMMYFUNCTION("HYPERLINK(
""https://wa.me/""&amp;REGEXREPLACE(Q120,""[^0-9]"","""")&amp;
""?text=""&amp;
ENCODEURL(
""Hola *""&amp;B120&amp;""*.
Te recordamos que la factura Nº *""&amp;J120&amp;""* por el plan """"""&amp;E120&amp;"""""" se encuentra disponible para pago y vence hoy.
Monto: *$""&amp;I120&amp;""*"&amp;"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*$""&amp;AD120&amp;""*
Valor total febrero (con IVA): *$""&amp;AE120&amp;""*
A partir de mañana el valor"&amp;" aumenta un 25%, correspondiente al valor de diciembre.
Simple Pyme""
),
""Enviar WhatsApp""
)"),"Enviar WhatsApp")</f>
        <v>Enviar WhatsApp</v>
      </c>
      <c r="AD120" s="3">
        <v>0</v>
      </c>
      <c r="AE120" s="3">
        <f>AD120*1.19</f>
        <v>0</v>
      </c>
    </row>
    <row r="121" spans="1:31" ht="13.5">
      <c r="A121" s="24" t="s">
        <v>39</v>
      </c>
      <c r="B121" s="21" t="s">
        <v>202</v>
      </c>
      <c r="C121" s="13"/>
      <c r="D121" s="4"/>
      <c r="E121" s="17" t="s">
        <v>8</v>
      </c>
      <c r="F121" s="8"/>
      <c r="G121" s="4"/>
      <c r="H121" s="20">
        <v>30000</v>
      </c>
      <c r="I121" s="14">
        <f>H121*1.19</f>
        <v>35700</v>
      </c>
      <c r="J121" s="25" t="s">
        <v>16</v>
      </c>
      <c r="K121" s="6"/>
      <c r="L121" s="4" t="s">
        <v>70</v>
      </c>
      <c r="M121" s="57" t="s">
        <v>201</v>
      </c>
      <c r="N121" s="13" t="s">
        <v>200</v>
      </c>
      <c r="O121" s="13" t="s">
        <v>199</v>
      </c>
      <c r="P121" s="4"/>
      <c r="Q121" s="7"/>
      <c r="R121" s="14"/>
      <c r="S121" s="17" t="s">
        <v>2</v>
      </c>
      <c r="T121" s="17" t="s">
        <v>40</v>
      </c>
      <c r="U121" s="4"/>
      <c r="V121" s="17" t="s">
        <v>24</v>
      </c>
      <c r="W121" s="4"/>
      <c r="X121" s="4"/>
      <c r="Y121" s="5"/>
      <c r="Z121" s="4"/>
      <c r="AA121" s="4"/>
      <c r="AB121" s="3"/>
      <c r="AC121" s="11" t="str">
        <f ca="1">IFERROR(__xludf.DUMMYFUNCTION("HYPERLINK(
""https://wa.me/""&amp;REGEXREPLACE(Q121,""[^0-9]"","""")&amp;
""?text=""&amp;
ENCODEURL(
""Hola *""&amp;B121&amp;""*.
Te recordamos que la factura Nº *""&amp;J121&amp;""* por el plan """"""&amp;E121&amp;"""""" se encuentra disponible para pago y vence hoy.
Monto: *$""&amp;I121&amp;""*"&amp;"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*$""&amp;AD121&amp;""*
Valor total febrero (con IVA): *$""&amp;AE121&amp;""*
A partir de mañana el valor"&amp;" aumenta un 25%, correspondiente al valor de diciembre.
Simple Pyme""
),
""Enviar WhatsApp""
)"),"Enviar WhatsApp")</f>
        <v>Enviar WhatsApp</v>
      </c>
      <c r="AD121" s="3">
        <v>0</v>
      </c>
      <c r="AE121" s="3">
        <f>AD121*1.19</f>
        <v>0</v>
      </c>
    </row>
    <row r="122" spans="1:31" ht="13.5">
      <c r="A122" s="24" t="s">
        <v>39</v>
      </c>
      <c r="B122" s="21" t="s">
        <v>198</v>
      </c>
      <c r="C122" s="13"/>
      <c r="D122" s="4"/>
      <c r="E122" s="17" t="s">
        <v>47</v>
      </c>
      <c r="F122" s="8"/>
      <c r="G122" s="4"/>
      <c r="H122" s="20">
        <v>60500</v>
      </c>
      <c r="I122" s="14">
        <f>H122*1.19</f>
        <v>71995</v>
      </c>
      <c r="J122" s="25" t="s">
        <v>16</v>
      </c>
      <c r="K122" s="6"/>
      <c r="L122" s="4" t="s">
        <v>197</v>
      </c>
      <c r="M122" s="19">
        <v>782295888</v>
      </c>
      <c r="N122" s="13" t="s">
        <v>196</v>
      </c>
      <c r="O122" s="13" t="s">
        <v>195</v>
      </c>
      <c r="P122" s="4"/>
      <c r="Q122" s="7"/>
      <c r="R122" s="14"/>
      <c r="S122" s="17" t="s">
        <v>2</v>
      </c>
      <c r="T122" s="17" t="s">
        <v>40</v>
      </c>
      <c r="U122" s="4"/>
      <c r="V122" s="17" t="s">
        <v>24</v>
      </c>
      <c r="W122" s="4"/>
      <c r="X122" s="4"/>
      <c r="Y122" s="5"/>
      <c r="Z122" s="4"/>
      <c r="AA122" s="4"/>
      <c r="AB122" s="3"/>
      <c r="AC122" s="11" t="str">
        <f ca="1">IFERROR(__xludf.DUMMYFUNCTION("HYPERLINK(
""https://wa.me/""&amp;REGEXREPLACE(Q122,""[^0-9]"","""")&amp;
""?text=""&amp;
ENCODEURL(
""Hola *""&amp;B122&amp;""*.
Te recordamos que la factura Nº *""&amp;J122&amp;""* por el plan """"""&amp;E122&amp;"""""" se encuentra disponible para pago y vence hoy.
Monto: *$""&amp;I122&amp;""*"&amp;"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*$""&amp;AD122&amp;""*
Valor total febrero (con IVA): *$""&amp;AE122&amp;""*
A partir de mañana el valor"&amp;" aumenta un 25%, correspondiente al valor de diciembre.
Simple Pyme""
),
""Enviar WhatsApp""
)"),"Enviar WhatsApp")</f>
        <v>Enviar WhatsApp</v>
      </c>
      <c r="AD122" s="3">
        <v>0</v>
      </c>
      <c r="AE122" s="3">
        <f>AD122*1.19</f>
        <v>0</v>
      </c>
    </row>
    <row r="123" spans="1:31" ht="13.5">
      <c r="A123" s="24" t="s">
        <v>39</v>
      </c>
      <c r="B123" s="21" t="s">
        <v>194</v>
      </c>
      <c r="C123" s="13"/>
      <c r="D123" s="4"/>
      <c r="E123" s="17" t="s">
        <v>47</v>
      </c>
      <c r="F123" s="8"/>
      <c r="G123" s="4"/>
      <c r="H123" s="20">
        <v>60500</v>
      </c>
      <c r="I123" s="14">
        <f>H123*1.19</f>
        <v>71995</v>
      </c>
      <c r="J123" s="25" t="s">
        <v>16</v>
      </c>
      <c r="K123" s="6"/>
      <c r="L123" s="4" t="s">
        <v>70</v>
      </c>
      <c r="M123" s="19" t="s">
        <v>193</v>
      </c>
      <c r="N123" s="13" t="s">
        <v>192</v>
      </c>
      <c r="O123" s="13" t="s">
        <v>191</v>
      </c>
      <c r="P123" s="4"/>
      <c r="Q123" s="56"/>
      <c r="R123" s="14"/>
      <c r="S123" s="17" t="s">
        <v>2</v>
      </c>
      <c r="T123" s="17" t="s">
        <v>40</v>
      </c>
      <c r="U123" s="55"/>
      <c r="V123" s="17" t="s">
        <v>24</v>
      </c>
      <c r="W123" s="4"/>
      <c r="X123" s="4"/>
      <c r="Y123" s="5"/>
      <c r="Z123" s="4"/>
      <c r="AA123" s="4"/>
      <c r="AB123" s="3"/>
      <c r="AC123" s="11" t="str">
        <f ca="1">IFERROR(__xludf.DUMMYFUNCTION("HYPERLINK(
""https://wa.me/""&amp;REGEXREPLACE(Q123,""[^0-9]"","""")&amp;
""?text=""&amp;
ENCODEURL(
""Hola *""&amp;B123&amp;""*.
Te recordamos que la factura Nº *""&amp;J123&amp;""* por el plan """"""&amp;E123&amp;"""""" se encuentra disponible para pago y vence hoy.
Monto: *$""&amp;I123&amp;""*"&amp;"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*$""&amp;AD123&amp;""*
Valor total febrero (con IVA): *$""&amp;AE123&amp;""*
A partir de mañana el valor"&amp;" aumenta un 25%, correspondiente al valor de diciembre.
Simple Pyme""
),
""Enviar WhatsApp""
)"),"Enviar WhatsApp")</f>
        <v>Enviar WhatsApp</v>
      </c>
      <c r="AD123" s="3">
        <v>0</v>
      </c>
      <c r="AE123" s="3">
        <f>AD123*1.19</f>
        <v>0</v>
      </c>
    </row>
    <row r="124" spans="1:31" ht="13.5">
      <c r="A124" s="24" t="s">
        <v>39</v>
      </c>
      <c r="B124" s="3" t="s">
        <v>190</v>
      </c>
      <c r="C124" s="13" t="s">
        <v>9</v>
      </c>
      <c r="D124" s="13" t="s">
        <v>9</v>
      </c>
      <c r="E124" s="17" t="s">
        <v>93</v>
      </c>
      <c r="F124" s="8"/>
      <c r="G124" s="13">
        <v>1</v>
      </c>
      <c r="H124" s="20">
        <v>60000</v>
      </c>
      <c r="I124" s="14">
        <f>H124*1.19</f>
        <v>71400</v>
      </c>
      <c r="J124" s="13">
        <v>609</v>
      </c>
      <c r="K124" s="6"/>
      <c r="L124" s="4"/>
      <c r="M124" s="19" t="s">
        <v>189</v>
      </c>
      <c r="N124" s="13" t="s">
        <v>188</v>
      </c>
      <c r="O124" s="13" t="s">
        <v>187</v>
      </c>
      <c r="P124" s="13" t="s">
        <v>186</v>
      </c>
      <c r="Q124" s="51" t="s">
        <v>185</v>
      </c>
      <c r="R124" s="14"/>
      <c r="S124" s="17" t="s">
        <v>2</v>
      </c>
      <c r="T124" s="17" t="s">
        <v>1</v>
      </c>
      <c r="U124" s="18"/>
      <c r="V124" s="17" t="s">
        <v>24</v>
      </c>
      <c r="W124" s="13" t="s">
        <v>184</v>
      </c>
      <c r="X124" s="13">
        <v>1421</v>
      </c>
      <c r="Y124" s="17" t="s">
        <v>2</v>
      </c>
      <c r="Z124" s="4"/>
      <c r="AA124" s="4"/>
      <c r="AB124" s="3"/>
      <c r="AC124" s="11" t="str">
        <f ca="1">IFERROR(__xludf.DUMMYFUNCTION("HYPERLINK(
""https://wa.me/""&amp;REGEXREPLACE(Q124,""[^0-9]"","""")&amp;
""?text=""&amp;
ENCODEURL(
""Hola *""&amp;B124&amp;""*.
Te recordamos que la factura Nº *""&amp;J124&amp;""* por el plan """"""&amp;E124&amp;"""""" se encuentra disponible para pago y vence hoy.
Monto: *$""&amp;I124&amp;""*"&amp;"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24" s="3"/>
      <c r="AE124" s="3">
        <f>AD124*1.19</f>
        <v>0</v>
      </c>
    </row>
    <row r="125" spans="1:31" ht="13.5">
      <c r="A125" s="24" t="s">
        <v>39</v>
      </c>
      <c r="B125" s="21" t="s">
        <v>183</v>
      </c>
      <c r="C125" s="13"/>
      <c r="D125" s="4"/>
      <c r="E125" s="17" t="s">
        <v>8</v>
      </c>
      <c r="F125" s="8"/>
      <c r="G125" s="4"/>
      <c r="H125" s="20">
        <v>30000</v>
      </c>
      <c r="I125" s="14">
        <f>H125*1.19</f>
        <v>35700</v>
      </c>
      <c r="J125" s="25" t="s">
        <v>16</v>
      </c>
      <c r="K125" s="6"/>
      <c r="L125" s="4" t="s">
        <v>70</v>
      </c>
      <c r="M125" s="19" t="s">
        <v>182</v>
      </c>
      <c r="N125" s="13" t="s">
        <v>181</v>
      </c>
      <c r="O125" s="13" t="s">
        <v>180</v>
      </c>
      <c r="P125" s="13" t="s">
        <v>179</v>
      </c>
      <c r="Q125" s="51" t="s">
        <v>178</v>
      </c>
      <c r="R125" s="14"/>
      <c r="S125" s="17" t="s">
        <v>2</v>
      </c>
      <c r="T125" s="17" t="s">
        <v>40</v>
      </c>
      <c r="U125" s="4"/>
      <c r="V125" s="17" t="s">
        <v>24</v>
      </c>
      <c r="W125" s="13" t="s">
        <v>177</v>
      </c>
      <c r="X125" s="13" t="s">
        <v>176</v>
      </c>
      <c r="Y125" s="17" t="s">
        <v>2</v>
      </c>
      <c r="Z125" s="4"/>
      <c r="AA125" s="4"/>
      <c r="AB125" s="3"/>
      <c r="AC125" s="11" t="str">
        <f ca="1">IFERROR(__xludf.DUMMYFUNCTION("HYPERLINK(
""https://wa.me/""&amp;REGEXREPLACE(Q125,""[^0-9]"","""")&amp;
""?text=""&amp;
ENCODEURL(
""Hola *""&amp;B125&amp;""*.
Te recordamos que la factura Nº *""&amp;J125&amp;""* por el plan """"""&amp;E125&amp;"""""" se encuentra disponible para pago y vence hoy.
Monto: *$""&amp;I125&amp;""*"&amp;"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*$""&amp;AD125&amp;""*
Valor total febrero (con IVA): *$""&amp;AE125&amp;""*
A partir de mañana el valor"&amp;" aumenta un 25%, correspondiente al valor de diciembre.
Simple Pyme""
),
""Enviar WhatsApp""
)"),"Enviar WhatsApp")</f>
        <v>Enviar WhatsApp</v>
      </c>
      <c r="AD125" s="3">
        <v>0</v>
      </c>
      <c r="AE125" s="3">
        <f>AD125*1.19</f>
        <v>0</v>
      </c>
    </row>
    <row r="126" spans="1:31" ht="13.5">
      <c r="A126" s="24" t="s">
        <v>39</v>
      </c>
      <c r="B126" s="3" t="s">
        <v>175</v>
      </c>
      <c r="C126" s="13"/>
      <c r="D126" s="4"/>
      <c r="E126" s="17" t="s">
        <v>23</v>
      </c>
      <c r="F126" s="8"/>
      <c r="G126" s="4"/>
      <c r="H126" s="20">
        <v>10000</v>
      </c>
      <c r="I126" s="14">
        <f>H126*1.19</f>
        <v>11900</v>
      </c>
      <c r="J126" s="25" t="s">
        <v>16</v>
      </c>
      <c r="K126" s="6"/>
      <c r="L126" s="4" t="s">
        <v>70</v>
      </c>
      <c r="M126" s="19" t="s">
        <v>174</v>
      </c>
      <c r="N126" s="13" t="s">
        <v>173</v>
      </c>
      <c r="O126" s="13" t="s">
        <v>172</v>
      </c>
      <c r="P126" s="13" t="s">
        <v>171</v>
      </c>
      <c r="Q126" s="51" t="s">
        <v>170</v>
      </c>
      <c r="R126" s="14"/>
      <c r="S126" s="17" t="s">
        <v>2</v>
      </c>
      <c r="T126" s="17" t="s">
        <v>40</v>
      </c>
      <c r="U126" s="4"/>
      <c r="V126" s="17" t="s">
        <v>24</v>
      </c>
      <c r="W126" s="13" t="s">
        <v>169</v>
      </c>
      <c r="X126" s="13" t="s">
        <v>168</v>
      </c>
      <c r="Y126" s="17" t="s">
        <v>2</v>
      </c>
      <c r="Z126" s="4"/>
      <c r="AA126" s="4"/>
      <c r="AB126" s="3"/>
      <c r="AC126" s="11" t="str">
        <f ca="1">IFERROR(__xludf.DUMMYFUNCTION("HYPERLINK(
""https://wa.me/""&amp;REGEXREPLACE(Q126,""[^0-9]"","""")&amp;
""?text=""&amp;
ENCODEURL(
""Hola *""&amp;B126&amp;""*.
Te recordamos que la factura Nº *""&amp;J126&amp;""* por el plan """"""&amp;E126&amp;"""""" se encuentra disponible para pago y vence hoy.
Monto: *$""&amp;I126&amp;""*"&amp;"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*$""&amp;AD126&amp;""*
Valor total febrero (con IVA): *$""&amp;AE126&amp;""*
A partir de mañana el valor"&amp;" aumenta un 25%, correspondiente al valor de diciembre.
Simple Pyme""
),
""Enviar WhatsApp""
)"),"Enviar WhatsApp")</f>
        <v>Enviar WhatsApp</v>
      </c>
      <c r="AD126" s="3">
        <v>0</v>
      </c>
      <c r="AE126" s="3">
        <f>AD126*1.19</f>
        <v>0</v>
      </c>
    </row>
    <row r="127" spans="1:31" ht="13.5">
      <c r="A127" s="24" t="s">
        <v>39</v>
      </c>
      <c r="B127" s="21" t="s">
        <v>167</v>
      </c>
      <c r="C127" s="13" t="s">
        <v>24</v>
      </c>
      <c r="D127" s="13"/>
      <c r="E127" s="17" t="s">
        <v>23</v>
      </c>
      <c r="F127" s="8"/>
      <c r="G127" s="4"/>
      <c r="H127" s="14">
        <v>10000</v>
      </c>
      <c r="I127" s="14">
        <f>H127*1.19</f>
        <v>11900</v>
      </c>
      <c r="J127" s="13">
        <v>610</v>
      </c>
      <c r="K127" s="6"/>
      <c r="L127" s="4"/>
      <c r="M127" s="19" t="s">
        <v>166</v>
      </c>
      <c r="N127" s="13" t="s">
        <v>165</v>
      </c>
      <c r="O127" s="21" t="s">
        <v>164</v>
      </c>
      <c r="P127" s="13">
        <v>174830924</v>
      </c>
      <c r="Q127" s="54" t="s">
        <v>163</v>
      </c>
      <c r="R127" s="14"/>
      <c r="S127" s="17" t="s">
        <v>2</v>
      </c>
      <c r="T127" s="17" t="s">
        <v>31</v>
      </c>
      <c r="U127" s="53"/>
      <c r="V127" s="17" t="s">
        <v>24</v>
      </c>
      <c r="W127" s="13" t="s">
        <v>162</v>
      </c>
      <c r="X127" s="13" t="s">
        <v>161</v>
      </c>
      <c r="Y127" s="17" t="s">
        <v>49</v>
      </c>
      <c r="Z127" s="4"/>
      <c r="AA127" s="4"/>
      <c r="AB127" s="3"/>
      <c r="AC127" s="3" t="s">
        <v>160</v>
      </c>
      <c r="AD127" s="26">
        <v>78125</v>
      </c>
      <c r="AE127" s="26">
        <v>92968.75</v>
      </c>
    </row>
    <row r="128" spans="1:31" ht="13.5">
      <c r="A128" s="24" t="s">
        <v>39</v>
      </c>
      <c r="B128" s="21" t="s">
        <v>159</v>
      </c>
      <c r="C128" s="13"/>
      <c r="D128" s="4"/>
      <c r="E128" s="17" t="s">
        <v>93</v>
      </c>
      <c r="F128" s="8"/>
      <c r="G128" s="4"/>
      <c r="H128" s="20">
        <v>50000</v>
      </c>
      <c r="I128" s="14">
        <f>H128*1.19</f>
        <v>59500</v>
      </c>
      <c r="J128" s="25" t="s">
        <v>16</v>
      </c>
      <c r="K128" s="6"/>
      <c r="L128" s="4" t="s">
        <v>70</v>
      </c>
      <c r="M128" s="19" t="s">
        <v>158</v>
      </c>
      <c r="N128" s="13" t="s">
        <v>157</v>
      </c>
      <c r="O128" s="13" t="s">
        <v>156</v>
      </c>
      <c r="P128" s="13" t="s">
        <v>155</v>
      </c>
      <c r="Q128" s="51" t="s">
        <v>154</v>
      </c>
      <c r="R128" s="14"/>
      <c r="S128" s="17" t="s">
        <v>2</v>
      </c>
      <c r="T128" s="17" t="s">
        <v>40</v>
      </c>
      <c r="U128" s="4"/>
      <c r="V128" s="17" t="s">
        <v>24</v>
      </c>
      <c r="W128" s="13" t="s">
        <v>153</v>
      </c>
      <c r="X128" s="13" t="s">
        <v>152</v>
      </c>
      <c r="Y128" s="17" t="s">
        <v>2</v>
      </c>
      <c r="Z128" s="4"/>
      <c r="AA128" s="4"/>
      <c r="AB128" s="3"/>
      <c r="AC128" s="11" t="str">
        <f ca="1">IFERROR(__xludf.DUMMYFUNCTION("HYPERLINK(
""https://wa.me/""&amp;REGEXREPLACE(Q128,""[^0-9]"","""")&amp;
""?text=""&amp;
ENCODEURL(
""Hola *""&amp;B128&amp;""*.
Te recordamos que la factura Nº *""&amp;J128&amp;""* por el plan """"""&amp;E128&amp;"""""" se encuentra disponible para pago y vence hoy.
Monto: *$""&amp;I128&amp;""*"&amp;"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*$""&amp;AD128&amp;""*
Valor total febrero (con IVA): *$""&amp;AE128&amp;""*
A partir de mañana el valor"&amp;" aumenta un 25%, correspondiente al valor de diciembre.
Simple Pyme""
),
""Enviar WhatsApp""
)"),"Enviar WhatsApp")</f>
        <v>Enviar WhatsApp</v>
      </c>
      <c r="AD128" s="3">
        <v>0</v>
      </c>
      <c r="AE128" s="3">
        <f>AD128*1.19</f>
        <v>0</v>
      </c>
    </row>
    <row r="129" spans="1:31" ht="13.5">
      <c r="A129" s="24" t="s">
        <v>39</v>
      </c>
      <c r="B129" s="21" t="s">
        <v>151</v>
      </c>
      <c r="C129" s="13" t="s">
        <v>24</v>
      </c>
      <c r="D129" s="13"/>
      <c r="E129" s="17" t="s">
        <v>23</v>
      </c>
      <c r="F129" s="8"/>
      <c r="G129" s="4"/>
      <c r="H129" s="20">
        <v>10000</v>
      </c>
      <c r="I129" s="14">
        <f>H129*1.19</f>
        <v>11900</v>
      </c>
      <c r="J129" s="13">
        <v>611</v>
      </c>
      <c r="K129" s="6"/>
      <c r="L129" s="3"/>
      <c r="M129" s="19" t="s">
        <v>150</v>
      </c>
      <c r="N129" s="19" t="s">
        <v>149</v>
      </c>
      <c r="O129" s="13" t="s">
        <v>148</v>
      </c>
      <c r="P129" s="13" t="s">
        <v>147</v>
      </c>
      <c r="Q129" s="51" t="s">
        <v>146</v>
      </c>
      <c r="R129" s="14"/>
      <c r="S129" s="17" t="s">
        <v>2</v>
      </c>
      <c r="T129" s="17" t="s">
        <v>31</v>
      </c>
      <c r="U129" s="52"/>
      <c r="V129" s="17" t="s">
        <v>24</v>
      </c>
      <c r="W129" s="13" t="s">
        <v>145</v>
      </c>
      <c r="X129" s="13" t="s">
        <v>144</v>
      </c>
      <c r="Y129" s="17" t="s">
        <v>2</v>
      </c>
      <c r="Z129" s="4"/>
      <c r="AA129" s="4"/>
      <c r="AB129" s="3"/>
      <c r="AC129" s="11" t="str">
        <f ca="1">IFERROR(__xludf.DUMMYFUNCTION("HYPERLINK(
""https://wa.me/""&amp;REGEXREPLACE(Q129,""[^0-9]"","""")&amp;
""?text=""&amp;
ENCODEURL(
""Buenas tardes *""&amp;B129&amp;""*.
Te recordamos que tu plan *""""""&amp;E129&amp;""""""* *no incluye* la declaración de renta. Te enviamos varios correos informando sobre este p"&amp;"roceso. Esta semana vencen las primeras declaraciones juradas, lo que generará multas
Valor: *$""&amp;AD129&amp;""* + IVA = *$""&amp;AE129&amp;""*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29" s="26">
        <v>78125</v>
      </c>
      <c r="AE129" s="26">
        <v>92968.75</v>
      </c>
    </row>
    <row r="130" spans="1:31" ht="13.5">
      <c r="A130" s="24" t="s">
        <v>39</v>
      </c>
      <c r="B130" s="21" t="s">
        <v>143</v>
      </c>
      <c r="C130" s="4"/>
      <c r="D130" s="4"/>
      <c r="E130" s="17" t="s">
        <v>11</v>
      </c>
      <c r="F130" s="8"/>
      <c r="G130" s="4"/>
      <c r="H130" s="20">
        <v>0</v>
      </c>
      <c r="I130" s="14">
        <f>H130*1.19</f>
        <v>0</v>
      </c>
      <c r="J130" s="25" t="s">
        <v>16</v>
      </c>
      <c r="K130" s="6"/>
      <c r="L130" s="4"/>
      <c r="M130" s="19" t="s">
        <v>142</v>
      </c>
      <c r="N130" s="13" t="s">
        <v>141</v>
      </c>
      <c r="O130" s="13" t="s">
        <v>140</v>
      </c>
      <c r="P130" s="4"/>
      <c r="Q130" s="51" t="s">
        <v>139</v>
      </c>
      <c r="R130" s="14"/>
      <c r="S130" s="17" t="s">
        <v>2</v>
      </c>
      <c r="T130" s="17" t="s">
        <v>11</v>
      </c>
      <c r="U130" s="4"/>
      <c r="V130" s="17" t="s">
        <v>24</v>
      </c>
      <c r="W130" s="4"/>
      <c r="X130" s="4"/>
      <c r="Y130" s="17" t="s">
        <v>138</v>
      </c>
      <c r="Z130" s="4"/>
      <c r="AA130" s="4"/>
      <c r="AB130" s="3"/>
      <c r="AC130" s="11" t="str">
        <f ca="1">IFERROR(__xludf.DUMMYFUNCTION("HYPERLINK(
""https://wa.me/""&amp;REGEXREPLACE(Q130,""[^0-9]"","""")&amp;
""?text=""&amp;
ENCODEURL(
""Hola *""&amp;B130&amp;""*.
Te recordamos que la factura Nº *""&amp;J130&amp;""* por el plan """"""&amp;E130&amp;"""""" se encuentra disponible para pago y vence hoy.
Monto: *$""&amp;I130&amp;""*"&amp;"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*$""&amp;AD130&amp;""*
Valor total febrero (con IVA): *$""&amp;AE130&amp;""*
A partir de mañana el valor"&amp;" aumenta un 25%, correspondiente al valor de diciembre.
Simple Pyme""
),
""Enviar WhatsApp""
)"),"Enviar WhatsApp")</f>
        <v>Enviar WhatsApp</v>
      </c>
      <c r="AD130" s="3"/>
      <c r="AE130" s="3"/>
    </row>
    <row r="131" spans="1:31" ht="13.5">
      <c r="A131" s="24" t="s">
        <v>39</v>
      </c>
      <c r="B131" s="21" t="s">
        <v>137</v>
      </c>
      <c r="C131" s="13" t="s">
        <v>9</v>
      </c>
      <c r="D131" s="13" t="s">
        <v>9</v>
      </c>
      <c r="E131" s="17" t="s">
        <v>93</v>
      </c>
      <c r="F131" s="8"/>
      <c r="G131" s="4"/>
      <c r="H131" s="20">
        <v>70000</v>
      </c>
      <c r="I131" s="14">
        <f>H131*1.19</f>
        <v>83300</v>
      </c>
      <c r="J131" s="13">
        <v>612</v>
      </c>
      <c r="K131" s="6">
        <v>119000</v>
      </c>
      <c r="L131" s="4"/>
      <c r="M131" s="19" t="s">
        <v>136</v>
      </c>
      <c r="N131" s="13" t="s">
        <v>135</v>
      </c>
      <c r="O131" s="13" t="s">
        <v>134</v>
      </c>
      <c r="P131" s="50" t="s">
        <v>133</v>
      </c>
      <c r="Q131" s="49">
        <v>954838676</v>
      </c>
      <c r="R131" s="14"/>
      <c r="S131" s="17" t="s">
        <v>2</v>
      </c>
      <c r="T131" s="17" t="s">
        <v>31</v>
      </c>
      <c r="U131" s="48"/>
      <c r="V131" s="17" t="s">
        <v>24</v>
      </c>
      <c r="W131" s="4"/>
      <c r="X131" s="4"/>
      <c r="Y131" s="17" t="s">
        <v>58</v>
      </c>
      <c r="Z131" s="4"/>
      <c r="AA131" s="4"/>
      <c r="AB131" s="3"/>
      <c r="AC131" s="3" t="str">
        <f ca="1">IFERROR(__xludf.DUMMYFUNCTION("HYPERLINK(
""https://wa.me/""&amp;REGEXREPLACE(Q131,""[^0-9]"","""")&amp;
""?text=""&amp;
ENCODEURL(
""Hola *""&amp;B131&amp;""*.
Te recordamos que la factura Nº *""&amp;J131&amp;""* por el plan """"""&amp;E131&amp;"""""" se encuentra disponible para pago y vence hoy.
Monto: *$""&amp;I131&amp;""*"&amp;"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*$""&amp;AD131&amp;""*
Valor total febrero (con IVA): *$""&amp;AE131&amp;""*
A partir de mañana el valor"&amp;" aumenta un 25%, correspondiente al valor de diciembre.
Simple Pyme""
),
""Enviar WhatsApp""
)"),"Enviar WhatsApp")</f>
        <v>Enviar WhatsApp</v>
      </c>
      <c r="AD131" s="3"/>
      <c r="AE131" s="3"/>
    </row>
    <row r="132" spans="1:31" ht="13.5">
      <c r="A132" s="41" t="s">
        <v>39</v>
      </c>
      <c r="B132" s="40" t="s">
        <v>132</v>
      </c>
      <c r="C132" s="13" t="s">
        <v>24</v>
      </c>
      <c r="D132" s="13"/>
      <c r="E132" s="35" t="s">
        <v>8</v>
      </c>
      <c r="F132" s="47"/>
      <c r="G132" s="34"/>
      <c r="H132" s="38">
        <v>30000</v>
      </c>
      <c r="I132" s="27">
        <f>H132*1.19</f>
        <v>35700</v>
      </c>
      <c r="J132" s="35" t="s">
        <v>103</v>
      </c>
      <c r="K132" s="37"/>
      <c r="L132" s="35" t="s">
        <v>131</v>
      </c>
      <c r="M132" s="46" t="s">
        <v>130</v>
      </c>
      <c r="N132" s="35" t="s">
        <v>129</v>
      </c>
      <c r="O132" s="35" t="s">
        <v>128</v>
      </c>
      <c r="P132" s="45" t="s">
        <v>127</v>
      </c>
      <c r="Q132" s="35" t="s">
        <v>126</v>
      </c>
      <c r="R132" s="27"/>
      <c r="S132" s="13" t="s">
        <v>112</v>
      </c>
      <c r="T132" s="35" t="s">
        <v>97</v>
      </c>
      <c r="U132" s="44"/>
      <c r="V132" s="35" t="s">
        <v>24</v>
      </c>
      <c r="W132" s="34"/>
      <c r="X132" s="34"/>
      <c r="Y132" s="35" t="s">
        <v>2</v>
      </c>
      <c r="Z132" s="34"/>
      <c r="AA132" s="34"/>
      <c r="AB132" s="33"/>
      <c r="AC132" s="11" t="str">
        <f ca="1">IFERROR(__xludf.DUMMYFUNCTION("HYPERLINK(
""https://wa.me/""&amp;REGEXREPLACE(Q132,""[^0-9]"","""")&amp;
""?text=""&amp;
ENCODEURL(
""Buenas tardes *""&amp;B132&amp;""*.
Te recordamos que tu plan *""""""&amp;E132&amp;""""""* *no incluye* la declaración de renta. Te enviamos varios correos informando sobre este p"&amp;"roceso. Esta semana vencen las primeras declaraciones juradas, lo que generará multas
Valor: *$""&amp;AD132&amp;""* + IVA = *$""&amp;AE132&amp;""*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32" s="43">
        <v>125000</v>
      </c>
      <c r="AE132" s="26">
        <v>148750</v>
      </c>
    </row>
    <row r="133" spans="1:31" ht="13.5">
      <c r="A133" s="24" t="s">
        <v>39</v>
      </c>
      <c r="B133" s="21" t="s">
        <v>125</v>
      </c>
      <c r="C133" s="13"/>
      <c r="D133" s="4"/>
      <c r="E133" s="17" t="s">
        <v>23</v>
      </c>
      <c r="F133" s="8"/>
      <c r="G133" s="4"/>
      <c r="H133" s="20">
        <v>10000</v>
      </c>
      <c r="I133" s="14">
        <f>H133*1.19</f>
        <v>11900</v>
      </c>
      <c r="J133" s="25" t="s">
        <v>16</v>
      </c>
      <c r="K133" s="6"/>
      <c r="L133" s="4" t="s">
        <v>124</v>
      </c>
      <c r="M133" s="19" t="s">
        <v>123</v>
      </c>
      <c r="N133" s="13" t="s">
        <v>44</v>
      </c>
      <c r="O133" s="31" t="s">
        <v>122</v>
      </c>
      <c r="P133" s="13" t="s">
        <v>121</v>
      </c>
      <c r="Q133" s="7"/>
      <c r="R133" s="14"/>
      <c r="S133" s="17" t="s">
        <v>2</v>
      </c>
      <c r="T133" s="17" t="s">
        <v>40</v>
      </c>
      <c r="U133" s="4"/>
      <c r="V133" s="17" t="s">
        <v>24</v>
      </c>
      <c r="W133" s="4"/>
      <c r="X133" s="4"/>
      <c r="Y133" s="17" t="s">
        <v>2</v>
      </c>
      <c r="Z133" s="4"/>
      <c r="AA133" s="4"/>
      <c r="AB133" s="3"/>
      <c r="AC133" s="11" t="str">
        <f ca="1">IFERROR(__xludf.DUMMYFUNCTION("HYPERLINK(
""https://wa.me/""&amp;REGEXREPLACE(Q133,""[^0-9]"","""")&amp;
""?text=""&amp;
ENCODEURL(
""Hola *""&amp;B133&amp;""*.
Te recordamos que la factura Nº *""&amp;J133&amp;""* por el plan """"""&amp;E133&amp;"""""" se encuentra disponible para pago y vence hoy.
Monto: *$""&amp;I133&amp;""*"&amp;"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*$""&amp;AD133&amp;""*
Valor total febrero (con IVA): *$""&amp;AE133&amp;""*
A partir de mañana el valor"&amp;" aumenta un 25%, correspondiente al valor de diciembre.
Simple Pyme""
),
""Enviar WhatsApp""
)"),"Enviar WhatsApp")</f>
        <v>Enviar WhatsApp</v>
      </c>
      <c r="AD133" s="3">
        <v>0</v>
      </c>
      <c r="AE133" s="3">
        <f>AD133*1.19</f>
        <v>0</v>
      </c>
    </row>
    <row r="134" spans="1:31" ht="13.5">
      <c r="A134" s="24" t="s">
        <v>39</v>
      </c>
      <c r="B134" s="21" t="s">
        <v>120</v>
      </c>
      <c r="C134" s="13" t="s">
        <v>24</v>
      </c>
      <c r="D134" s="13"/>
      <c r="E134" s="17" t="s">
        <v>119</v>
      </c>
      <c r="F134" s="32" t="s">
        <v>118</v>
      </c>
      <c r="G134" s="13" t="s">
        <v>115</v>
      </c>
      <c r="H134" s="20">
        <v>10000</v>
      </c>
      <c r="I134" s="14">
        <f>H134*1.19</f>
        <v>11900</v>
      </c>
      <c r="J134" s="13">
        <v>614</v>
      </c>
      <c r="K134" s="6"/>
      <c r="L134" s="13" t="s">
        <v>117</v>
      </c>
      <c r="M134" s="19" t="s">
        <v>116</v>
      </c>
      <c r="N134" s="13" t="s">
        <v>115</v>
      </c>
      <c r="O134" s="13" t="s">
        <v>114</v>
      </c>
      <c r="P134" s="5"/>
      <c r="Q134" s="13" t="s">
        <v>113</v>
      </c>
      <c r="R134" s="13"/>
      <c r="S134" s="17" t="s">
        <v>112</v>
      </c>
      <c r="T134" s="13" t="s">
        <v>31</v>
      </c>
      <c r="U134" s="22"/>
      <c r="V134" s="17" t="s">
        <v>24</v>
      </c>
      <c r="W134" s="4"/>
      <c r="X134" s="4"/>
      <c r="Y134" s="17" t="s">
        <v>58</v>
      </c>
      <c r="Z134" s="4"/>
      <c r="AA134" s="4"/>
      <c r="AB134" s="3"/>
      <c r="AC134" s="11" t="str">
        <f ca="1">IFERROR(__xludf.DUMMYFUNCTION("HYPERLINK(
""https://wa.me/""&amp;REGEXREPLACE(Q134,""[^0-9]"","""")&amp;
""?text=""&amp;
ENCODEURL(
""Buenas tardes *""&amp;B134&amp;""*.
Te recordamos que tu plan *""""""&amp;E134&amp;""""""* *no incluye* la declaración de renta. Te enviamos varios correos informando sobre este p"&amp;"roceso. Esta semana vencen las primeras declaraciones juradas, lo que generará multas
Valor: *$""&amp;AD134&amp;""* + IVA = *$""&amp;AE134&amp;""*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34" s="26">
        <v>125000</v>
      </c>
      <c r="AE134" s="26">
        <v>148750</v>
      </c>
    </row>
    <row r="135" spans="1:31" ht="13.5">
      <c r="A135" s="24" t="s">
        <v>39</v>
      </c>
      <c r="B135" s="21" t="s">
        <v>111</v>
      </c>
      <c r="C135" s="13" t="s">
        <v>9</v>
      </c>
      <c r="D135" s="13" t="s">
        <v>9</v>
      </c>
      <c r="E135" s="17" t="s">
        <v>8</v>
      </c>
      <c r="F135" s="32">
        <v>2</v>
      </c>
      <c r="G135" s="4"/>
      <c r="H135" s="20">
        <v>40000</v>
      </c>
      <c r="I135" s="14">
        <f>H135*1.19</f>
        <v>47600</v>
      </c>
      <c r="J135" s="13">
        <v>615</v>
      </c>
      <c r="K135" s="6"/>
      <c r="L135" s="2"/>
      <c r="M135" s="19" t="s">
        <v>110</v>
      </c>
      <c r="N135" s="13" t="s">
        <v>109</v>
      </c>
      <c r="O135" s="13" t="s">
        <v>108</v>
      </c>
      <c r="P135" s="13" t="s">
        <v>107</v>
      </c>
      <c r="Q135" s="13" t="s">
        <v>106</v>
      </c>
      <c r="R135" s="14"/>
      <c r="S135" s="17" t="s">
        <v>2</v>
      </c>
      <c r="T135" s="13" t="s">
        <v>31</v>
      </c>
      <c r="U135" s="42"/>
      <c r="V135" s="17" t="s">
        <v>24</v>
      </c>
      <c r="W135" s="13" t="s">
        <v>105</v>
      </c>
      <c r="X135" s="4"/>
      <c r="Y135" s="17" t="s">
        <v>58</v>
      </c>
      <c r="Z135" s="4"/>
      <c r="AA135" s="4"/>
      <c r="AB135" s="3"/>
      <c r="AC135" s="11" t="str">
        <f ca="1">IFERROR(__xludf.DUMMYFUNCTION("HYPERLINK(
""https://wa.me/""&amp;REGEXREPLACE(Q135,""[^0-9]"","""")&amp;
""?text=""&amp;
ENCODEURL(
""Hola *""&amp;B135&amp;""*.
Te recordamos que la factura Nº *""&amp;J135&amp;""* por el plan """"""&amp;E135&amp;"""""" se encuentra disponible para pago y vence hoy.
Monto: *$""&amp;I135&amp;""*"&amp;"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*$""&amp;AD135&amp;""*
Valor total febrero (con IVA): *$""&amp;AE135&amp;""*
A partir de mañana el valor"&amp;" aumenta un 25%, correspondiente al valor de diciembre.
Simple Pyme""
),
""Enviar WhatsApp""
)"),"Enviar WhatsApp")</f>
        <v>Enviar WhatsApp</v>
      </c>
      <c r="AD135" s="3"/>
      <c r="AE135" s="3"/>
    </row>
    <row r="136" spans="1:31" ht="13.5">
      <c r="A136" s="41" t="s">
        <v>39</v>
      </c>
      <c r="B136" s="40" t="s">
        <v>104</v>
      </c>
      <c r="C136" s="34"/>
      <c r="D136" s="34"/>
      <c r="E136" s="35" t="s">
        <v>93</v>
      </c>
      <c r="F136" s="39">
        <v>2</v>
      </c>
      <c r="G136" s="35">
        <v>0</v>
      </c>
      <c r="H136" s="38">
        <v>70000</v>
      </c>
      <c r="I136" s="27">
        <f>H136*1.19</f>
        <v>83300</v>
      </c>
      <c r="J136" s="35" t="s">
        <v>103</v>
      </c>
      <c r="K136" s="37"/>
      <c r="L136" s="35"/>
      <c r="M136" s="35" t="s">
        <v>102</v>
      </c>
      <c r="N136" s="33" t="s">
        <v>101</v>
      </c>
      <c r="O136" s="35" t="s">
        <v>100</v>
      </c>
      <c r="P136" s="35" t="s">
        <v>99</v>
      </c>
      <c r="Q136" s="35" t="s">
        <v>98</v>
      </c>
      <c r="R136" s="27"/>
      <c r="S136" s="13" t="s">
        <v>2</v>
      </c>
      <c r="T136" s="35" t="s">
        <v>97</v>
      </c>
      <c r="U136" s="36"/>
      <c r="V136" s="34"/>
      <c r="W136" s="35" t="s">
        <v>96</v>
      </c>
      <c r="X136" s="35" t="s">
        <v>95</v>
      </c>
      <c r="Y136" s="35" t="s">
        <v>58</v>
      </c>
      <c r="Z136" s="34"/>
      <c r="AA136" s="34"/>
      <c r="AB136" s="33"/>
      <c r="AC136" s="11" t="str">
        <f ca="1">IFERROR(__xludf.DUMMYFUNCTION("HYPERLINK(
""https://wa.me/""&amp;REGEXREPLACE(Q136,""[^0-9]"","""")&amp;
""?text=""&amp;
ENCODEURL(
""Hola *""&amp;B136&amp;""*.
Te recordamos que la factura Nº *""&amp;J136&amp;""* por el plan """"""&amp;E136&amp;"""""" se encuentra disponible para pago y vence hoy.
Monto: *$""&amp;I136&amp;""*"&amp;"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*$""&amp;AD136&amp;""*
Valor total febrero (con IVA): *$""&amp;AE136&amp;""*
A partir de mañana el valor"&amp;" aumenta un 25%, correspondiente al valor de diciembre.
Simple Pyme""
),
""Enviar WhatsApp""
)"),"Enviar WhatsApp")</f>
        <v>Enviar WhatsApp</v>
      </c>
      <c r="AD136" s="33"/>
      <c r="AE136" s="33"/>
    </row>
    <row r="137" spans="1:31" ht="13.5">
      <c r="A137" s="24" t="s">
        <v>39</v>
      </c>
      <c r="B137" s="21" t="s">
        <v>94</v>
      </c>
      <c r="C137" s="13" t="s">
        <v>9</v>
      </c>
      <c r="D137" s="13" t="s">
        <v>9</v>
      </c>
      <c r="E137" s="17" t="s">
        <v>93</v>
      </c>
      <c r="F137" s="32">
        <v>1</v>
      </c>
      <c r="G137" s="13">
        <v>0</v>
      </c>
      <c r="H137" s="20">
        <v>50000</v>
      </c>
      <c r="I137" s="14">
        <f>H137*1.19</f>
        <v>59500</v>
      </c>
      <c r="J137" s="13">
        <v>616</v>
      </c>
      <c r="K137" s="6"/>
      <c r="L137" s="13"/>
      <c r="M137" s="19" t="s">
        <v>92</v>
      </c>
      <c r="N137" s="13" t="s">
        <v>91</v>
      </c>
      <c r="O137" s="13" t="s">
        <v>90</v>
      </c>
      <c r="P137" s="13" t="s">
        <v>89</v>
      </c>
      <c r="Q137" s="13" t="s">
        <v>88</v>
      </c>
      <c r="R137" s="27"/>
      <c r="S137" s="17" t="s">
        <v>2</v>
      </c>
      <c r="T137" s="13" t="s">
        <v>31</v>
      </c>
      <c r="U137" s="22"/>
      <c r="V137" s="17" t="s">
        <v>24</v>
      </c>
      <c r="W137" s="13" t="s">
        <v>87</v>
      </c>
      <c r="X137" s="4"/>
      <c r="Y137" s="17" t="s">
        <v>49</v>
      </c>
      <c r="Z137" s="4"/>
      <c r="AA137" s="4"/>
      <c r="AB137" s="3"/>
      <c r="AC137" s="11" t="str">
        <f ca="1">IFERROR(__xludf.DUMMYFUNCTION("HYPERLINK(
""https://wa.me/""&amp;REGEXREPLACE(Q137,""[^0-9]"","""")&amp;
""?text=""&amp;
ENCODEURL(
""Buenas tardes *""&amp;B137&amp;""*.
Te recordamos que tu plan *""""""&amp;E137&amp;""""""* *no incluye* la declaración de renta. Te enviamos varios correos informando sobre este p"&amp;"roceso. Esta semana vencen las primeras declaraciones juradas, lo que generará multas
Valor: *$""&amp;AD137&amp;""* + IVA = *$""&amp;AE137&amp;""*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37" s="26">
        <v>156250</v>
      </c>
      <c r="AE137" s="26">
        <v>185937.5</v>
      </c>
    </row>
    <row r="138" spans="1:31" ht="13.5">
      <c r="A138" s="24" t="s">
        <v>39</v>
      </c>
      <c r="B138" s="19" t="s">
        <v>86</v>
      </c>
      <c r="C138" s="13"/>
      <c r="D138" s="13"/>
      <c r="E138" s="17" t="s">
        <v>11</v>
      </c>
      <c r="F138" s="8"/>
      <c r="G138" s="4"/>
      <c r="H138" s="20">
        <v>0</v>
      </c>
      <c r="I138" s="14">
        <f>H138*1.19</f>
        <v>0</v>
      </c>
      <c r="J138" s="25" t="s">
        <v>16</v>
      </c>
      <c r="K138" s="6"/>
      <c r="L138" s="13"/>
      <c r="M138" s="13" t="s">
        <v>85</v>
      </c>
      <c r="N138" s="13" t="s">
        <v>84</v>
      </c>
      <c r="O138" s="13" t="s">
        <v>83</v>
      </c>
      <c r="P138" s="4"/>
      <c r="Q138" s="7"/>
      <c r="R138" s="14"/>
      <c r="S138" s="17" t="s">
        <v>2</v>
      </c>
      <c r="T138" s="17" t="s">
        <v>11</v>
      </c>
      <c r="U138" s="4"/>
      <c r="V138" s="5"/>
      <c r="W138" s="4"/>
      <c r="X138" s="4"/>
      <c r="Y138" s="5"/>
      <c r="Z138" s="4"/>
      <c r="AA138" s="4"/>
      <c r="AB138" s="3"/>
      <c r="AC138" s="11" t="str">
        <f ca="1">IFERROR(__xludf.DUMMYFUNCTION("HYPERLINK(
""https://wa.me/""&amp;REGEXREPLACE(Q138,""[^0-9]"","""")&amp;
""?text=""&amp;
ENCODEURL(
""Hola *""&amp;B138&amp;""*.
Te recordamos que la factura Nº *""&amp;J138&amp;""* por el plan """"""&amp;E138&amp;"""""" se encuentra disponible para pago y vence hoy.
Monto: *$""&amp;I138&amp;""*"&amp;"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*$""&amp;AD138&amp;""*
Valor total febrero (con IVA): *$""&amp;AE138&amp;""*
A partir de mañana el valor"&amp;" aumenta un 25%, correspondiente al valor de diciembre.
Simple Pyme""
),
""Enviar WhatsApp""
)"),"Enviar WhatsApp")</f>
        <v>Enviar WhatsApp</v>
      </c>
      <c r="AD138" s="3"/>
      <c r="AE138" s="3"/>
    </row>
    <row r="139" spans="1:31" ht="13.5">
      <c r="A139" s="24" t="s">
        <v>39</v>
      </c>
      <c r="B139" s="21" t="s">
        <v>82</v>
      </c>
      <c r="C139" s="13"/>
      <c r="D139" s="4"/>
      <c r="E139" s="17" t="s">
        <v>47</v>
      </c>
      <c r="F139" s="8"/>
      <c r="G139" s="4"/>
      <c r="H139" s="20">
        <v>60500</v>
      </c>
      <c r="I139" s="14">
        <f>H139*1.19</f>
        <v>71995</v>
      </c>
      <c r="J139" s="25" t="s">
        <v>16</v>
      </c>
      <c r="K139" s="6"/>
      <c r="L139" s="4" t="s">
        <v>46</v>
      </c>
      <c r="M139" s="19" t="s">
        <v>81</v>
      </c>
      <c r="N139" s="13" t="s">
        <v>80</v>
      </c>
      <c r="O139" s="31" t="s">
        <v>79</v>
      </c>
      <c r="P139" s="13" t="s">
        <v>78</v>
      </c>
      <c r="Q139" s="13" t="s">
        <v>77</v>
      </c>
      <c r="R139" s="14"/>
      <c r="S139" s="17" t="s">
        <v>2</v>
      </c>
      <c r="T139" s="17" t="s">
        <v>40</v>
      </c>
      <c r="U139" s="4"/>
      <c r="V139" s="5"/>
      <c r="W139" s="4"/>
      <c r="X139" s="4"/>
      <c r="Y139" s="17" t="s">
        <v>2</v>
      </c>
      <c r="Z139" s="4"/>
      <c r="AA139" s="4"/>
      <c r="AB139" s="3"/>
      <c r="AC139" s="11" t="str">
        <f ca="1">IFERROR(__xludf.DUMMYFUNCTION("HYPERLINK(
""https://wa.me/""&amp;REGEXREPLACE(Q139,""[^0-9]"","""")&amp;
""?text=""&amp;
ENCODEURL(
""Hola *""&amp;B139&amp;""*.
Te recordamos que la factura Nº *""&amp;J139&amp;""* por el plan """"""&amp;E139&amp;"""""" se encuentra disponible para pago y vence hoy.
Monto: *$""&amp;I139&amp;""*"&amp;"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*$""&amp;AD139&amp;""*
Valor total febrero (con IVA): *$""&amp;AE139&amp;""*
A partir de mañana el valor"&amp;" aumenta un 25%, correspondiente al valor de diciembre.
Simple Pyme""
),
""Enviar WhatsApp""
)"),"Enviar WhatsApp")</f>
        <v>Enviar WhatsApp</v>
      </c>
      <c r="AD139" s="3">
        <v>0</v>
      </c>
      <c r="AE139" s="3">
        <f>AD139*1.19</f>
        <v>0</v>
      </c>
    </row>
    <row r="140" spans="1:31" ht="13.5">
      <c r="A140" s="24" t="s">
        <v>39</v>
      </c>
      <c r="B140" s="21" t="s">
        <v>76</v>
      </c>
      <c r="C140" s="13" t="s">
        <v>9</v>
      </c>
      <c r="D140" s="13" t="s">
        <v>9</v>
      </c>
      <c r="E140" s="17" t="s">
        <v>47</v>
      </c>
      <c r="F140" s="8"/>
      <c r="G140" s="4"/>
      <c r="H140" s="20">
        <v>60504</v>
      </c>
      <c r="I140" s="14">
        <f>H140*1.19</f>
        <v>71999.759999999995</v>
      </c>
      <c r="J140" s="13">
        <v>617</v>
      </c>
      <c r="K140" s="6"/>
      <c r="L140" s="4"/>
      <c r="M140" s="19" t="s">
        <v>73</v>
      </c>
      <c r="N140" s="30" t="s">
        <v>75</v>
      </c>
      <c r="O140" s="13" t="s">
        <v>74</v>
      </c>
      <c r="P140" s="13" t="s">
        <v>73</v>
      </c>
      <c r="Q140" s="13" t="s">
        <v>72</v>
      </c>
      <c r="R140" s="14"/>
      <c r="S140" s="13" t="s">
        <v>2</v>
      </c>
      <c r="T140" s="13" t="s">
        <v>31</v>
      </c>
      <c r="U140" s="4"/>
      <c r="V140" s="5"/>
      <c r="W140" s="4"/>
      <c r="X140" s="4"/>
      <c r="Y140" s="5"/>
      <c r="Z140" s="4"/>
      <c r="AA140" s="4"/>
      <c r="AB140" s="3"/>
      <c r="AC140" s="11" t="str">
        <f ca="1">IFERROR(__xludf.DUMMYFUNCTION("HYPERLINK(
""https://wa.me/""&amp;REGEXREPLACE(Q140,""[^0-9]"","""")&amp;
""?text=""&amp;
ENCODEURL(
""Hola *""&amp;B140&amp;""*.
Te recordamos que la factura Nº *""&amp;J140&amp;""* por el plan """"""&amp;E140&amp;"""""" se encuentra disponible para pago y vence hoy.
Monto: *$""&amp;I140&amp;""*"&amp;"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40" s="3"/>
      <c r="AE140" s="3">
        <f>AD140*1.19</f>
        <v>0</v>
      </c>
    </row>
    <row r="141" spans="1:31" ht="13.5">
      <c r="A141" s="24" t="s">
        <v>39</v>
      </c>
      <c r="B141" s="21" t="s">
        <v>71</v>
      </c>
      <c r="C141" s="13"/>
      <c r="D141" s="4"/>
      <c r="E141" s="17" t="s">
        <v>47</v>
      </c>
      <c r="F141" s="8"/>
      <c r="G141" s="4"/>
      <c r="H141" s="20">
        <v>60500</v>
      </c>
      <c r="I141" s="14">
        <f>H141*1.19</f>
        <v>71995</v>
      </c>
      <c r="J141" s="25" t="s">
        <v>16</v>
      </c>
      <c r="K141" s="6"/>
      <c r="L141" s="4" t="s">
        <v>70</v>
      </c>
      <c r="M141" s="19" t="s">
        <v>69</v>
      </c>
      <c r="N141" s="13" t="s">
        <v>68</v>
      </c>
      <c r="O141" s="13" t="s">
        <v>67</v>
      </c>
      <c r="P141" s="13" t="s">
        <v>66</v>
      </c>
      <c r="Q141" s="13" t="s">
        <v>65</v>
      </c>
      <c r="R141" s="14"/>
      <c r="S141" s="17" t="s">
        <v>2</v>
      </c>
      <c r="T141" s="17" t="s">
        <v>40</v>
      </c>
      <c r="U141" s="4"/>
      <c r="V141" s="5"/>
      <c r="W141" s="4"/>
      <c r="X141" s="4"/>
      <c r="Y141" s="5"/>
      <c r="Z141" s="4"/>
      <c r="AA141" s="4"/>
      <c r="AB141" s="3"/>
      <c r="AC141" s="11" t="str">
        <f ca="1">IFERROR(__xludf.DUMMYFUNCTION("HYPERLINK(
""https://wa.me/""&amp;REGEXREPLACE(Q141,""[^0-9]"","""")&amp;
""?text=""&amp;
ENCODEURL(
""Hola *""&amp;B141&amp;""*.
Te recordamos que la factura Nº *""&amp;J141&amp;""* por el plan """"""&amp;E141&amp;"""""" se encuentra disponible para pago y vence hoy.
Monto: *$""&amp;I141&amp;""*"&amp;"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*$""&amp;AD141&amp;""*
Valor total febrero (con IVA): *$""&amp;AE141&amp;""*
A partir de mañana el valor"&amp;" aumenta un 25%, correspondiente al valor de diciembre.
Simple Pyme""
),
""Enviar WhatsApp""
)"),"Enviar WhatsApp")</f>
        <v>Enviar WhatsApp</v>
      </c>
      <c r="AD141" s="3">
        <v>0</v>
      </c>
      <c r="AE141" s="3">
        <f>AD141*1.19</f>
        <v>0</v>
      </c>
    </row>
    <row r="142" spans="1:31" ht="13.5">
      <c r="A142" s="24" t="s">
        <v>39</v>
      </c>
      <c r="B142" s="21" t="s">
        <v>64</v>
      </c>
      <c r="C142" s="13" t="s">
        <v>9</v>
      </c>
      <c r="D142" s="13" t="s">
        <v>9</v>
      </c>
      <c r="E142" s="17" t="s">
        <v>47</v>
      </c>
      <c r="F142" s="8"/>
      <c r="G142" s="4"/>
      <c r="H142" s="20">
        <v>60504</v>
      </c>
      <c r="I142" s="14">
        <f>H142*1.19</f>
        <v>71999.759999999995</v>
      </c>
      <c r="J142" s="13">
        <v>618</v>
      </c>
      <c r="K142" s="6"/>
      <c r="L142" s="4"/>
      <c r="M142" s="2" t="s">
        <v>63</v>
      </c>
      <c r="N142" s="2" t="s">
        <v>62</v>
      </c>
      <c r="O142" s="2" t="s">
        <v>61</v>
      </c>
      <c r="P142" s="13" t="s">
        <v>60</v>
      </c>
      <c r="Q142" s="29" t="s">
        <v>59</v>
      </c>
      <c r="R142" s="14"/>
      <c r="S142" s="13" t="s">
        <v>2</v>
      </c>
      <c r="T142" s="13" t="s">
        <v>31</v>
      </c>
      <c r="U142" s="4"/>
      <c r="V142" s="5"/>
      <c r="W142" s="4"/>
      <c r="X142" s="4"/>
      <c r="Y142" s="5" t="s">
        <v>58</v>
      </c>
      <c r="Z142" s="4"/>
      <c r="AA142" s="4"/>
      <c r="AB142" s="3"/>
      <c r="AC142" s="11" t="str">
        <f ca="1">IFERROR(__xludf.DUMMYFUNCTION("HYPERLINK(
""https://wa.me/""&amp;REGEXREPLACE(Q142,""[^0-9]"","""")&amp;
""?text=""&amp;
ENCODEURL(
""Hola *""&amp;B142&amp;""*.
Te recordamos que la factura Nº *""&amp;J142&amp;""* por el plan """"""&amp;E142&amp;"""""" se encuentra disponible para pago y vence hoy.
Monto: *$""&amp;I142&amp;""*"&amp;"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42" s="3"/>
      <c r="AE142" s="3">
        <f>AD142*1.19</f>
        <v>0</v>
      </c>
    </row>
    <row r="143" spans="1:31" ht="13.5">
      <c r="A143" s="3"/>
      <c r="B143" s="21" t="s">
        <v>57</v>
      </c>
      <c r="C143" s="13" t="s">
        <v>9</v>
      </c>
      <c r="D143" s="13" t="s">
        <v>9</v>
      </c>
      <c r="E143" s="17" t="s">
        <v>8</v>
      </c>
      <c r="F143" s="2"/>
      <c r="G143" s="2"/>
      <c r="H143" s="14">
        <v>30000</v>
      </c>
      <c r="I143" s="14">
        <f>H143*1.19</f>
        <v>35700</v>
      </c>
      <c r="J143" s="13">
        <v>619</v>
      </c>
      <c r="K143" s="8"/>
      <c r="L143" s="28"/>
      <c r="M143" s="19" t="s">
        <v>56</v>
      </c>
      <c r="N143" s="19" t="s">
        <v>55</v>
      </c>
      <c r="O143" s="21" t="s">
        <v>54</v>
      </c>
      <c r="P143" s="13" t="s">
        <v>53</v>
      </c>
      <c r="Q143" s="13" t="s">
        <v>52</v>
      </c>
      <c r="R143" s="27"/>
      <c r="S143" s="13" t="s">
        <v>2</v>
      </c>
      <c r="T143" s="13" t="s">
        <v>31</v>
      </c>
      <c r="U143" s="4"/>
      <c r="V143" s="4"/>
      <c r="W143" s="13" t="s">
        <v>51</v>
      </c>
      <c r="X143" s="13" t="s">
        <v>50</v>
      </c>
      <c r="Y143" s="17" t="s">
        <v>49</v>
      </c>
      <c r="Z143" s="4"/>
      <c r="AA143" s="4"/>
      <c r="AB143" s="2"/>
      <c r="AC143" s="11" t="str">
        <f ca="1">IFERROR(__xludf.DUMMYFUNCTION("HYPERLINK(
""https://wa.me/""&amp;REGEXREPLACE(Q143,""[^0-9]"","""")&amp;
""?text=""&amp;
ENCODEURL(
""Hola *""&amp;B143&amp;""*.
Te recordamos que la factura Nº *""&amp;J143&amp;""* por el plan """"""&amp;E143&amp;"""""" se encuentra disponible para pago y vence hoy.
Monto: *$""&amp;I143&amp;""*"&amp;"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*$""&amp;AD143&amp;""*
Valor total febrero (con IVA): *$""&amp;AE143&amp;""*
A partir de mañana el valor"&amp;" aumenta un 25%, correspondiente al valor de diciembre.
Simple Pyme""
),
""Enviar WhatsApp""
)"),"Enviar WhatsApp")</f>
        <v>Enviar WhatsApp</v>
      </c>
      <c r="AD143" s="26">
        <v>100000</v>
      </c>
      <c r="AE143" s="26">
        <f>AD143*1.19</f>
        <v>119000</v>
      </c>
    </row>
    <row r="144" spans="1:31" ht="13.5">
      <c r="A144" s="24" t="s">
        <v>39</v>
      </c>
      <c r="B144" s="2" t="s">
        <v>48</v>
      </c>
      <c r="C144" s="13"/>
      <c r="D144" s="4"/>
      <c r="E144" s="17" t="s">
        <v>47</v>
      </c>
      <c r="F144" s="8"/>
      <c r="G144" s="4"/>
      <c r="H144" s="20">
        <v>60500</v>
      </c>
      <c r="I144" s="14">
        <f>H144*1.19</f>
        <v>71995</v>
      </c>
      <c r="J144" s="25" t="s">
        <v>16</v>
      </c>
      <c r="K144" s="6"/>
      <c r="L144" s="4" t="s">
        <v>46</v>
      </c>
      <c r="M144" s="19" t="s">
        <v>45</v>
      </c>
      <c r="N144" s="13" t="s">
        <v>44</v>
      </c>
      <c r="O144" s="13" t="s">
        <v>43</v>
      </c>
      <c r="P144" s="13" t="s">
        <v>42</v>
      </c>
      <c r="Q144" s="13" t="s">
        <v>41</v>
      </c>
      <c r="R144" s="14"/>
      <c r="S144" s="17" t="s">
        <v>2</v>
      </c>
      <c r="T144" s="17" t="s">
        <v>40</v>
      </c>
      <c r="U144" s="4"/>
      <c r="V144" s="5"/>
      <c r="W144" s="4"/>
      <c r="X144" s="4"/>
      <c r="Y144" s="5"/>
      <c r="Z144" s="4"/>
      <c r="AA144" s="4"/>
      <c r="AB144" s="3"/>
      <c r="AC144" s="11" t="str">
        <f ca="1">IFERROR(__xludf.DUMMYFUNCTION("HYPERLINK(
""https://wa.me/""&amp;REGEXREPLACE(Q144,""[^0-9]"","""")&amp;
""?text=""&amp;
ENCODEURL(
""Hola *""&amp;B144&amp;""*.
Te recordamos que la factura Nº *""&amp;J144&amp;""* por el plan """"""&amp;E144&amp;"""""" se encuentra disponible para pago y vence hoy.
Monto: *$""&amp;I144&amp;""*"&amp;"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*$""&amp;AD144&amp;""*
Valor total febrero (con IVA): *$""&amp;AE144&amp;""*
A partir de mañana el valor"&amp;" aumenta un 25%, correspondiente al valor de diciembre.
Simple Pyme""
),
""Enviar WhatsApp""
)"),"Enviar WhatsApp")</f>
        <v>Enviar WhatsApp</v>
      </c>
      <c r="AD144" s="3">
        <v>0</v>
      </c>
      <c r="AE144" s="3">
        <f>AD144*1.19</f>
        <v>0</v>
      </c>
    </row>
    <row r="145" spans="1:31" ht="13.5">
      <c r="A145" s="24" t="s">
        <v>39</v>
      </c>
      <c r="B145" s="23" t="s">
        <v>38</v>
      </c>
      <c r="C145" s="13" t="s">
        <v>9</v>
      </c>
      <c r="D145" s="13" t="s">
        <v>9</v>
      </c>
      <c r="E145" s="17" t="s">
        <v>37</v>
      </c>
      <c r="F145" s="8"/>
      <c r="G145" s="4"/>
      <c r="H145" s="20">
        <v>60504</v>
      </c>
      <c r="I145" s="14">
        <f>H145*1.19</f>
        <v>71999.759999999995</v>
      </c>
      <c r="J145" s="13">
        <v>620</v>
      </c>
      <c r="K145" s="6"/>
      <c r="L145" s="4"/>
      <c r="M145" s="19" t="s">
        <v>36</v>
      </c>
      <c r="N145" s="13" t="s">
        <v>35</v>
      </c>
      <c r="O145" s="13" t="s">
        <v>34</v>
      </c>
      <c r="P145" s="13" t="s">
        <v>33</v>
      </c>
      <c r="Q145" s="13" t="s">
        <v>32</v>
      </c>
      <c r="R145" s="14"/>
      <c r="S145" s="13" t="s">
        <v>2</v>
      </c>
      <c r="T145" s="13" t="s">
        <v>31</v>
      </c>
      <c r="U145" s="22"/>
      <c r="V145" s="5"/>
      <c r="W145" s="13" t="s">
        <v>30</v>
      </c>
      <c r="X145" s="13">
        <v>2806</v>
      </c>
      <c r="Y145" s="17" t="s">
        <v>2</v>
      </c>
      <c r="Z145" s="4"/>
      <c r="AA145" s="4"/>
      <c r="AB145" s="3"/>
      <c r="AC145" s="11" t="str">
        <f ca="1">IFERROR(__xludf.DUMMYFUNCTION("HYPERLINK(
""https://wa.me/""&amp;REGEXREPLACE(Q145,""[^0-9]"","""")&amp;
""?text=""&amp;
ENCODEURL(
""Hola *""&amp;B145&amp;""*.
Te recordamos que la factura Nº *""&amp;J145&amp;""* por el plan """"""&amp;E145&amp;"""""" se encuentra disponible para pago y vence hoy.
Monto: *$""&amp;I145&amp;""*"&amp;"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45" s="3"/>
      <c r="AE145" s="3">
        <f>AD145*1.19</f>
        <v>0</v>
      </c>
    </row>
    <row r="146" spans="1:31" ht="13.5">
      <c r="A146" s="3"/>
      <c r="B146" s="21" t="s">
        <v>29</v>
      </c>
      <c r="C146" s="13" t="s">
        <v>24</v>
      </c>
      <c r="D146" s="13"/>
      <c r="E146" s="17" t="s">
        <v>23</v>
      </c>
      <c r="F146" s="8"/>
      <c r="G146" s="4"/>
      <c r="H146" s="20">
        <v>10000</v>
      </c>
      <c r="I146" s="14">
        <f>H146*1.19</f>
        <v>11900</v>
      </c>
      <c r="J146" s="13">
        <v>621</v>
      </c>
      <c r="K146" s="8"/>
      <c r="L146" s="4"/>
      <c r="M146" s="2" t="s">
        <v>28</v>
      </c>
      <c r="N146" s="13" t="s">
        <v>27</v>
      </c>
      <c r="O146" s="13" t="s">
        <v>26</v>
      </c>
      <c r="P146" s="4"/>
      <c r="Q146" s="13" t="s">
        <v>19</v>
      </c>
      <c r="R146" s="14"/>
      <c r="S146" s="13" t="s">
        <v>2</v>
      </c>
      <c r="T146" s="13" t="s">
        <v>1</v>
      </c>
      <c r="U146" s="4"/>
      <c r="V146" s="5"/>
      <c r="W146" s="13" t="s">
        <v>25</v>
      </c>
      <c r="X146" s="4"/>
      <c r="Y146" s="17" t="s">
        <v>2</v>
      </c>
      <c r="Z146" s="4"/>
      <c r="AA146" s="4"/>
      <c r="AB146" s="3"/>
      <c r="AC146" s="11" t="str">
        <f ca="1">IFERROR(__xludf.DUMMYFUNCTION("HYPERLINK(
""https://wa.me/""&amp;REGEXREPLACE(Q146,""[^0-9]"","""")&amp;
""?text=""&amp;
ENCODEURL(
""Buenas tardes *""&amp;B146&amp;""*.
Te recordamos que tu plan *""""""&amp;E146&amp;""""""* *no incluye* la declaración de renta. Te enviamos varios correos informando sobre este p"&amp;"roceso. Esta semana vencen las primeras declaraciones juradas, lo que generará multas
Valor: *$""&amp;AD146&amp;""* + IVA = *$""&amp;AE146&amp;""*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46" s="3">
        <v>100000</v>
      </c>
      <c r="AE146" s="3">
        <v>119000</v>
      </c>
    </row>
    <row r="147" spans="1:31" ht="13.5">
      <c r="A147" s="3"/>
      <c r="B147" s="21" t="s">
        <v>18</v>
      </c>
      <c r="C147" s="13" t="s">
        <v>24</v>
      </c>
      <c r="D147" s="13"/>
      <c r="E147" s="17" t="s">
        <v>23</v>
      </c>
      <c r="F147" s="8"/>
      <c r="G147" s="4"/>
      <c r="H147" s="20">
        <v>10000</v>
      </c>
      <c r="I147" s="14">
        <f>H147*1.19</f>
        <v>11900</v>
      </c>
      <c r="J147" s="13">
        <v>622</v>
      </c>
      <c r="K147" s="8"/>
      <c r="L147" s="4"/>
      <c r="M147" s="19" t="s">
        <v>22</v>
      </c>
      <c r="N147" s="13" t="s">
        <v>21</v>
      </c>
      <c r="O147" s="13" t="s">
        <v>20</v>
      </c>
      <c r="P147" s="4"/>
      <c r="Q147" s="13" t="s">
        <v>19</v>
      </c>
      <c r="R147" s="14"/>
      <c r="S147" s="13" t="s">
        <v>2</v>
      </c>
      <c r="T147" s="13" t="s">
        <v>1</v>
      </c>
      <c r="U147" s="18"/>
      <c r="V147" s="5"/>
      <c r="W147" s="13" t="s">
        <v>18</v>
      </c>
      <c r="X147" s="4"/>
      <c r="Y147" s="17" t="s">
        <v>2</v>
      </c>
      <c r="Z147" s="4"/>
      <c r="AA147" s="4"/>
      <c r="AB147" s="3"/>
      <c r="AC147" s="11" t="str">
        <f ca="1">IFERROR(__xludf.DUMMYFUNCTION("HYPERLINK(
""https://wa.me/""&amp;REGEXREPLACE(Q147,""[^0-9]"","""")&amp;
""?text=""&amp;
ENCODEURL(
""Buenas tardes *""&amp;B147&amp;""*.
Te recordamos que tu plan *""""""&amp;E147&amp;""""""* *no incluye* la declaración de renta. Te enviamos varios correos informando sobre este p"&amp;"roceso. Esta semana vencen las primeras declaraciones juradas, lo que generará multas
Valor: *$""&amp;AD147&amp;""* + IVA = *$""&amp;AE147&amp;""*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D147" s="3">
        <v>100000</v>
      </c>
      <c r="AE147" s="3">
        <v>119000</v>
      </c>
    </row>
    <row r="148" spans="1:31" ht="13.5">
      <c r="A148" s="3"/>
      <c r="B148" s="6" t="s">
        <v>17</v>
      </c>
      <c r="C148" s="4"/>
      <c r="D148" s="4"/>
      <c r="E148" s="5" t="s">
        <v>11</v>
      </c>
      <c r="F148" s="8"/>
      <c r="G148" s="4"/>
      <c r="H148" s="6">
        <v>0</v>
      </c>
      <c r="I148" s="16">
        <v>0</v>
      </c>
      <c r="J148" s="16" t="s">
        <v>16</v>
      </c>
      <c r="K148" s="8"/>
      <c r="L148" s="4"/>
      <c r="M148" s="8" t="s">
        <v>15</v>
      </c>
      <c r="N148" s="8" t="s">
        <v>14</v>
      </c>
      <c r="O148" s="15" t="s">
        <v>13</v>
      </c>
      <c r="P148" s="4"/>
      <c r="Q148" s="4" t="s">
        <v>12</v>
      </c>
      <c r="R148" s="6"/>
      <c r="S148" s="13" t="s">
        <v>2</v>
      </c>
      <c r="T148" s="5" t="s">
        <v>11</v>
      </c>
      <c r="U148" s="4"/>
      <c r="V148" s="5"/>
      <c r="W148" s="4"/>
      <c r="X148" s="4"/>
      <c r="Y148" s="5"/>
      <c r="Z148" s="4"/>
      <c r="AA148" s="4"/>
      <c r="AB148" s="3"/>
      <c r="AC148" s="11" t="str">
        <f ca="1">IFERROR(__xludf.DUMMYFUNCTION("HYPERLINK(
""https://wa.me/""&amp;REGEXREPLACE(Q148,""[^0-9]"","""")&amp;
""?text=""&amp;
ENCODEURL(
""Hola *""&amp;B148&amp;""*.
Te recordamos que la factura Nº *""&amp;J148&amp;""* por el plan """"""&amp;E148&amp;"""""" se encuentra disponible para pago y vence hoy.
Monto: *$""&amp;I148&amp;""*"&amp;"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*$""&amp;AD148&amp;""*
Valor total febrero (con IVA): *$""&amp;AE148&amp;""*
A partir de mañana el valor"&amp;" aumenta un 25%, correspondiente al valor de diciembre.
Simple Pyme""
),
""Enviar WhatsApp""
)"),"Enviar WhatsApp")</f>
        <v>Enviar WhatsApp</v>
      </c>
      <c r="AD148" s="3"/>
      <c r="AE148" s="3"/>
    </row>
    <row r="149" spans="1:31" ht="13.5">
      <c r="A149" s="3"/>
      <c r="B149" s="4" t="s">
        <v>10</v>
      </c>
      <c r="C149" s="13" t="s">
        <v>9</v>
      </c>
      <c r="D149" s="13" t="s">
        <v>9</v>
      </c>
      <c r="E149" s="5" t="s">
        <v>8</v>
      </c>
      <c r="H149" s="8">
        <v>30000</v>
      </c>
      <c r="I149" s="6">
        <v>35700</v>
      </c>
      <c r="J149" s="13">
        <v>623</v>
      </c>
      <c r="K149" s="8"/>
      <c r="L149" s="4"/>
      <c r="M149" s="4" t="s">
        <v>7</v>
      </c>
      <c r="N149" s="4" t="s">
        <v>6</v>
      </c>
      <c r="O149" s="4" t="s">
        <v>5</v>
      </c>
      <c r="P149" s="4" t="s">
        <v>4</v>
      </c>
      <c r="Q149" s="6" t="s">
        <v>3</v>
      </c>
      <c r="R149" s="14"/>
      <c r="S149" s="13" t="s">
        <v>2</v>
      </c>
      <c r="T149" s="13" t="s">
        <v>1</v>
      </c>
      <c r="U149" s="12"/>
      <c r="V149" s="5"/>
      <c r="W149" s="4" t="s">
        <v>0</v>
      </c>
      <c r="Y149" s="5"/>
      <c r="Z149" s="4"/>
      <c r="AA149" s="4"/>
      <c r="AB149" s="3"/>
      <c r="AC149" s="11" t="str">
        <f ca="1">IFERROR(__xludf.DUMMYFUNCTION("HYPERLINK(
""https://wa.me/""&amp;REGEXREPLACE(Q149,""[^0-9]"","""")&amp;
""?text=""&amp;
ENCODEURL(
""Hola *""&amp;B149&amp;""*.
Te recordamos que la factura Nº *""&amp;J149&amp;""* por el plan """"""&amp;E149&amp;"""""" se encuentra disponible para pago y vence hoy.
Monto: *$""&amp;I149&amp;""*"&amp;"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D149" s="3"/>
      <c r="AE149" s="3">
        <f>AD149*1.19</f>
        <v>0</v>
      </c>
    </row>
    <row r="150" spans="1:31" ht="13.5">
      <c r="A150" s="3"/>
      <c r="B150" s="4"/>
      <c r="C150" s="4"/>
      <c r="D150" s="4"/>
      <c r="E150" s="5"/>
      <c r="F150" s="8"/>
      <c r="G150" s="4"/>
      <c r="H150" s="6"/>
      <c r="I150" s="8"/>
      <c r="J150" s="8"/>
      <c r="K150" s="8"/>
      <c r="L150" s="4"/>
      <c r="M150" s="4"/>
      <c r="N150" s="4"/>
      <c r="O150" s="4"/>
      <c r="P150" s="4"/>
      <c r="Q150" s="7"/>
      <c r="R150" s="6"/>
      <c r="S150" s="5"/>
      <c r="T150" s="5"/>
      <c r="U150" s="4"/>
      <c r="V150" s="5"/>
      <c r="W150" s="4"/>
      <c r="X150" s="4"/>
      <c r="Y150" s="5"/>
      <c r="Z150" s="4"/>
      <c r="AA150" s="4"/>
      <c r="AB150" s="3"/>
      <c r="AC150" s="3"/>
      <c r="AD150" s="3"/>
      <c r="AE150" s="3"/>
    </row>
    <row r="151" spans="1:31" ht="13.5">
      <c r="A151" s="3"/>
      <c r="B151" s="4"/>
      <c r="C151" s="4"/>
      <c r="D151" s="4"/>
      <c r="E151" s="5"/>
      <c r="F151" s="8"/>
      <c r="G151" s="4"/>
      <c r="H151" s="6"/>
      <c r="I151" s="8"/>
      <c r="J151" s="8"/>
      <c r="K151" s="8"/>
      <c r="L151" s="4"/>
      <c r="M151" s="4"/>
      <c r="N151" s="4"/>
      <c r="O151" s="4"/>
      <c r="P151" s="4"/>
      <c r="Q151" s="7"/>
      <c r="R151" s="6"/>
      <c r="S151" s="5"/>
      <c r="T151" s="5"/>
      <c r="U151" s="4"/>
      <c r="V151" s="5"/>
      <c r="W151" s="4"/>
      <c r="X151" s="4"/>
      <c r="Y151" s="5"/>
      <c r="Z151" s="4"/>
      <c r="AA151" s="4"/>
      <c r="AB151" s="3"/>
      <c r="AC151" s="3"/>
      <c r="AD151" s="3"/>
      <c r="AE151" s="3"/>
    </row>
    <row r="152" spans="1:31" ht="13.5">
      <c r="A152" s="3"/>
      <c r="B152" s="4"/>
      <c r="C152" s="4"/>
      <c r="D152" s="4"/>
      <c r="E152" s="5"/>
      <c r="F152" s="8"/>
      <c r="G152" s="4"/>
      <c r="H152" s="6"/>
      <c r="I152" s="8"/>
      <c r="J152" s="8"/>
      <c r="K152" s="8"/>
      <c r="L152" s="4"/>
      <c r="M152" s="4"/>
      <c r="N152" s="4"/>
      <c r="O152" s="4"/>
      <c r="P152" s="4"/>
      <c r="Q152" s="7"/>
      <c r="R152" s="6"/>
      <c r="S152" s="5"/>
      <c r="T152" s="5"/>
      <c r="U152" s="4"/>
      <c r="V152" s="5"/>
      <c r="W152" s="4"/>
      <c r="X152" s="4"/>
      <c r="Y152" s="5"/>
      <c r="Z152" s="4"/>
      <c r="AA152" s="4"/>
      <c r="AB152" s="3"/>
      <c r="AC152" s="3"/>
      <c r="AD152" s="3"/>
      <c r="AE152" s="3"/>
    </row>
    <row r="153" spans="1:31" ht="13.5">
      <c r="A153" s="3"/>
      <c r="B153" s="4"/>
      <c r="C153" s="4"/>
      <c r="D153" s="4"/>
      <c r="E153" s="5"/>
      <c r="F153" s="8"/>
      <c r="G153" s="4"/>
      <c r="H153" s="6"/>
      <c r="I153" s="8"/>
      <c r="J153" s="8"/>
      <c r="K153" s="8"/>
      <c r="L153" s="4"/>
      <c r="M153" s="4"/>
      <c r="N153" s="4"/>
      <c r="O153" s="4"/>
      <c r="P153" s="4"/>
      <c r="Q153" s="7"/>
      <c r="R153" s="6"/>
      <c r="S153" s="5"/>
      <c r="T153" s="5"/>
      <c r="U153" s="4"/>
      <c r="V153" s="5"/>
      <c r="W153" s="4"/>
      <c r="X153" s="4"/>
      <c r="Y153" s="5"/>
      <c r="Z153" s="4"/>
      <c r="AA153" s="4"/>
      <c r="AB153" s="3"/>
      <c r="AC153" s="3"/>
      <c r="AD153" s="3"/>
      <c r="AE153" s="3"/>
    </row>
    <row r="154" spans="1:31" ht="13.5">
      <c r="A154" s="3"/>
      <c r="B154" s="4"/>
      <c r="C154" s="4"/>
      <c r="D154" s="4"/>
      <c r="E154" s="5"/>
      <c r="F154" s="8"/>
      <c r="G154" s="4"/>
      <c r="H154" s="6"/>
      <c r="I154" s="8"/>
      <c r="J154" s="8"/>
      <c r="K154" s="8"/>
      <c r="L154" s="4"/>
      <c r="M154" s="4"/>
      <c r="N154" s="4"/>
      <c r="O154" s="4"/>
      <c r="P154" s="4"/>
      <c r="Q154" s="7"/>
      <c r="R154" s="6"/>
      <c r="S154" s="5"/>
      <c r="T154" s="5"/>
      <c r="U154" s="4"/>
      <c r="V154" s="5"/>
      <c r="W154" s="4"/>
      <c r="X154" s="4"/>
      <c r="Y154" s="5"/>
      <c r="Z154" s="4"/>
      <c r="AA154" s="4"/>
      <c r="AB154" s="3"/>
      <c r="AC154" s="3"/>
      <c r="AD154" s="3"/>
      <c r="AE154" s="3"/>
    </row>
    <row r="155" spans="1:31" ht="13.5">
      <c r="A155" s="3"/>
      <c r="B155" s="4"/>
      <c r="C155" s="4"/>
      <c r="D155" s="4"/>
      <c r="E155" s="5"/>
      <c r="F155" s="8"/>
      <c r="G155" s="4"/>
      <c r="H155" s="6"/>
      <c r="I155" s="8"/>
      <c r="J155" s="8"/>
      <c r="K155" s="8"/>
      <c r="L155" s="4">
        <f>80000*1.19-80000</f>
        <v>15200</v>
      </c>
      <c r="M155" s="4"/>
      <c r="N155" s="4"/>
      <c r="O155" s="4"/>
      <c r="P155" s="4"/>
      <c r="Q155" s="7"/>
      <c r="R155" s="6"/>
      <c r="S155" s="5"/>
      <c r="T155" s="5"/>
      <c r="U155" s="4"/>
      <c r="V155" s="5"/>
      <c r="W155" s="4"/>
      <c r="X155" s="4"/>
      <c r="Y155" s="5"/>
      <c r="Z155" s="4"/>
      <c r="AA155" s="4"/>
      <c r="AB155" s="3"/>
      <c r="AC155" s="3"/>
      <c r="AD155" s="3"/>
      <c r="AE155" s="3"/>
    </row>
    <row r="156" spans="1:31" ht="13.5">
      <c r="A156" s="3"/>
      <c r="B156" s="4"/>
      <c r="C156" s="4"/>
      <c r="D156" s="4"/>
      <c r="E156" s="5"/>
      <c r="F156" s="8"/>
      <c r="G156" s="4"/>
      <c r="H156" s="6"/>
      <c r="I156" s="8"/>
      <c r="J156" s="8"/>
      <c r="K156" s="8"/>
      <c r="L156" s="4"/>
      <c r="M156" s="4"/>
      <c r="N156" s="4"/>
      <c r="O156" s="4"/>
      <c r="P156" s="4"/>
      <c r="Q156" s="7"/>
      <c r="R156" s="6"/>
      <c r="S156" s="5"/>
      <c r="T156" s="5"/>
      <c r="U156" s="4"/>
      <c r="V156" s="5"/>
      <c r="W156" s="4"/>
      <c r="X156" s="4"/>
      <c r="Y156" s="5"/>
      <c r="Z156" s="4"/>
      <c r="AA156" s="4"/>
      <c r="AB156" s="3"/>
      <c r="AC156" s="3"/>
      <c r="AD156" s="3"/>
      <c r="AE156" s="3"/>
    </row>
    <row r="157" spans="1:31" ht="13.5">
      <c r="A157" s="3"/>
      <c r="B157" s="4"/>
      <c r="C157" s="4"/>
      <c r="D157" s="4"/>
      <c r="E157" s="5"/>
      <c r="F157" s="8"/>
      <c r="G157" s="4"/>
      <c r="H157" s="6"/>
      <c r="I157" s="8"/>
      <c r="J157" s="8"/>
      <c r="K157" s="8"/>
      <c r="L157" s="4"/>
      <c r="M157" s="4"/>
      <c r="N157" s="4"/>
      <c r="O157" s="4"/>
      <c r="P157" s="4"/>
      <c r="Q157" s="7"/>
      <c r="R157" s="6"/>
      <c r="S157" s="5"/>
      <c r="T157" s="5"/>
      <c r="U157" s="4"/>
      <c r="V157" s="5"/>
      <c r="W157" s="4"/>
      <c r="X157" s="4"/>
      <c r="Y157" s="5"/>
      <c r="Z157" s="4"/>
      <c r="AA157" s="4"/>
      <c r="AB157" s="3"/>
      <c r="AC157" s="3"/>
      <c r="AD157" s="3"/>
      <c r="AE157" s="3"/>
    </row>
    <row r="158" spans="1:31" ht="13.5">
      <c r="A158" s="3"/>
      <c r="B158" s="4"/>
      <c r="C158" s="4"/>
      <c r="D158" s="4"/>
      <c r="E158" s="5"/>
      <c r="F158" s="8"/>
      <c r="G158" s="4"/>
      <c r="H158" s="6"/>
      <c r="I158" s="8"/>
      <c r="J158" s="8"/>
      <c r="K158" s="8"/>
      <c r="L158" s="4"/>
      <c r="M158" s="4"/>
      <c r="N158" s="4"/>
      <c r="O158" s="4"/>
      <c r="P158" s="4"/>
      <c r="Q158" s="7"/>
      <c r="R158" s="6"/>
      <c r="S158" s="5"/>
      <c r="T158" s="5"/>
      <c r="U158" s="4"/>
      <c r="V158" s="5"/>
      <c r="W158" s="4"/>
      <c r="X158" s="4"/>
      <c r="Y158" s="5"/>
      <c r="Z158" s="4"/>
      <c r="AA158" s="4"/>
      <c r="AB158" s="3"/>
      <c r="AC158" s="3"/>
      <c r="AD158" s="3"/>
      <c r="AE158" s="3"/>
    </row>
    <row r="159" spans="1:31" ht="13.5">
      <c r="A159" s="3"/>
      <c r="B159" s="4"/>
      <c r="C159" s="4"/>
      <c r="D159" s="4"/>
      <c r="E159" s="5"/>
      <c r="F159" s="8"/>
      <c r="G159" s="4"/>
      <c r="H159" s="6"/>
      <c r="I159" s="8"/>
      <c r="J159" s="8"/>
      <c r="K159" s="8"/>
      <c r="L159" s="4"/>
      <c r="M159" s="4"/>
      <c r="N159" s="4"/>
      <c r="O159" s="4"/>
      <c r="P159" s="4"/>
      <c r="Q159" s="7"/>
      <c r="R159" s="6"/>
      <c r="S159" s="5"/>
      <c r="T159" s="5"/>
      <c r="U159" s="4"/>
      <c r="V159" s="5"/>
      <c r="W159" s="4"/>
      <c r="X159" s="4"/>
      <c r="Y159" s="5"/>
      <c r="Z159" s="4"/>
      <c r="AA159" s="4"/>
      <c r="AB159" s="3"/>
      <c r="AC159" s="3"/>
      <c r="AD159" s="3"/>
      <c r="AE159" s="3"/>
    </row>
    <row r="160" spans="1:31" ht="13.5">
      <c r="A160" s="3"/>
      <c r="B160" s="4"/>
      <c r="C160" s="4"/>
      <c r="D160" s="4"/>
      <c r="E160" s="5"/>
      <c r="F160" s="8"/>
      <c r="G160" s="4"/>
      <c r="H160" s="6"/>
      <c r="I160" s="8"/>
      <c r="J160" s="8"/>
      <c r="K160" s="8"/>
      <c r="L160" s="4"/>
      <c r="M160" s="4"/>
      <c r="N160" s="4"/>
      <c r="O160" s="4"/>
      <c r="P160" s="4"/>
      <c r="Q160" s="7"/>
      <c r="R160" s="6"/>
      <c r="S160" s="5"/>
      <c r="T160" s="5"/>
      <c r="U160" s="4"/>
      <c r="V160" s="5"/>
      <c r="W160" s="4"/>
      <c r="X160" s="4"/>
      <c r="Y160" s="5"/>
      <c r="Z160" s="4"/>
      <c r="AA160" s="4"/>
      <c r="AB160" s="3"/>
      <c r="AC160" s="3"/>
      <c r="AD160" s="3"/>
      <c r="AE160" s="3"/>
    </row>
    <row r="161" spans="1:31" ht="13.5">
      <c r="A161" s="3"/>
      <c r="B161" s="4"/>
      <c r="C161" s="4"/>
      <c r="D161" s="4"/>
      <c r="E161" s="5"/>
      <c r="F161" s="8"/>
      <c r="G161" s="4"/>
      <c r="H161" s="6"/>
      <c r="I161" s="8"/>
      <c r="J161" s="8"/>
      <c r="K161" s="8"/>
      <c r="L161" s="4"/>
      <c r="M161" s="4"/>
      <c r="N161" s="4"/>
      <c r="O161" s="4"/>
      <c r="P161" s="4"/>
      <c r="Q161" s="7"/>
      <c r="R161" s="6"/>
      <c r="S161" s="5"/>
      <c r="T161" s="5"/>
      <c r="U161" s="4"/>
      <c r="V161" s="5"/>
      <c r="W161" s="4"/>
      <c r="X161" s="4"/>
      <c r="Y161" s="5"/>
      <c r="Z161" s="4"/>
      <c r="AA161" s="4"/>
      <c r="AB161" s="3"/>
      <c r="AC161" s="3"/>
      <c r="AD161" s="3"/>
      <c r="AE161" s="3"/>
    </row>
    <row r="162" spans="1:31" ht="13.5">
      <c r="A162" s="3"/>
      <c r="B162" s="4"/>
      <c r="C162" s="4"/>
      <c r="D162" s="4"/>
      <c r="E162" s="5"/>
      <c r="F162" s="8"/>
      <c r="G162" s="4"/>
      <c r="H162" s="6"/>
      <c r="I162" s="8"/>
      <c r="J162" s="8"/>
      <c r="K162" s="8"/>
      <c r="L162" s="4"/>
      <c r="M162" s="4"/>
      <c r="N162" s="4"/>
      <c r="O162" s="4"/>
      <c r="P162" s="4"/>
      <c r="Q162" s="7"/>
      <c r="R162" s="6"/>
      <c r="S162" s="5"/>
      <c r="T162" s="5"/>
      <c r="U162" s="4"/>
      <c r="V162" s="5"/>
      <c r="W162" s="4"/>
      <c r="X162" s="4"/>
      <c r="Y162" s="5"/>
      <c r="Z162" s="4"/>
      <c r="AA162" s="4"/>
      <c r="AB162" s="3"/>
      <c r="AC162" s="3"/>
      <c r="AD162" s="3"/>
      <c r="AE162" s="3"/>
    </row>
    <row r="163" spans="1:31" ht="13.5">
      <c r="A163" s="3"/>
      <c r="B163" s="4"/>
      <c r="C163" s="4"/>
      <c r="D163" s="4"/>
      <c r="E163" s="5"/>
      <c r="F163" s="8"/>
      <c r="G163" s="4"/>
      <c r="H163" s="6"/>
      <c r="I163" s="8"/>
      <c r="J163" s="8"/>
      <c r="K163" s="8"/>
      <c r="L163" s="4"/>
      <c r="M163" s="4"/>
      <c r="N163" s="4"/>
      <c r="O163" s="4"/>
      <c r="P163" s="4"/>
      <c r="Q163" s="7"/>
      <c r="R163" s="6"/>
      <c r="S163" s="5"/>
      <c r="T163" s="5"/>
      <c r="U163" s="4"/>
      <c r="V163" s="5"/>
      <c r="W163" s="4"/>
      <c r="X163" s="4"/>
      <c r="Y163" s="5"/>
      <c r="Z163" s="4"/>
      <c r="AA163" s="4"/>
      <c r="AB163" s="3"/>
      <c r="AC163" s="3"/>
      <c r="AD163" s="3"/>
      <c r="AE163" s="3"/>
    </row>
    <row r="164" spans="1:31" ht="13.5">
      <c r="A164" s="3"/>
      <c r="B164" s="4"/>
      <c r="C164" s="4"/>
      <c r="D164" s="4"/>
      <c r="E164" s="5"/>
      <c r="F164" s="8"/>
      <c r="G164" s="4"/>
      <c r="H164" s="6"/>
      <c r="I164" s="8"/>
      <c r="J164" s="8"/>
      <c r="K164" s="8"/>
      <c r="L164" s="4"/>
      <c r="M164" s="4"/>
      <c r="N164" s="4"/>
      <c r="O164" s="4"/>
      <c r="P164" s="4"/>
      <c r="Q164" s="7"/>
      <c r="R164" s="6"/>
      <c r="S164" s="5"/>
      <c r="T164" s="5"/>
      <c r="U164" s="4"/>
      <c r="V164" s="5"/>
      <c r="W164" s="4"/>
      <c r="X164" s="4"/>
      <c r="Y164" s="5"/>
      <c r="Z164" s="4"/>
      <c r="AA164" s="4"/>
      <c r="AB164" s="3"/>
      <c r="AC164" s="3"/>
      <c r="AD164" s="3"/>
      <c r="AE164" s="3"/>
    </row>
    <row r="165" spans="1:31" ht="13.5">
      <c r="A165" s="3"/>
      <c r="B165" s="4"/>
      <c r="C165" s="4"/>
      <c r="D165" s="4"/>
      <c r="E165" s="5"/>
      <c r="F165" s="8"/>
      <c r="G165" s="4"/>
      <c r="H165" s="6"/>
      <c r="I165" s="8"/>
      <c r="J165" s="8"/>
      <c r="K165" s="8"/>
      <c r="L165" s="4"/>
      <c r="M165" s="4"/>
      <c r="N165" s="4"/>
      <c r="O165" s="4"/>
      <c r="P165" s="4"/>
      <c r="Q165" s="7"/>
      <c r="R165" s="6"/>
      <c r="S165" s="5"/>
      <c r="T165" s="5"/>
      <c r="U165" s="4"/>
      <c r="V165" s="5"/>
      <c r="W165" s="4"/>
      <c r="X165" s="4"/>
      <c r="Y165" s="5"/>
      <c r="Z165" s="4"/>
      <c r="AA165" s="4"/>
      <c r="AB165" s="3"/>
      <c r="AC165" s="3"/>
      <c r="AD165" s="3"/>
      <c r="AE165" s="3"/>
    </row>
    <row r="166" spans="1:31" ht="13.5">
      <c r="A166" s="3"/>
      <c r="B166" s="4"/>
      <c r="C166" s="4"/>
      <c r="D166" s="4"/>
      <c r="E166" s="5"/>
      <c r="F166" s="8"/>
      <c r="G166" s="4"/>
      <c r="H166" s="6"/>
      <c r="I166" s="8"/>
      <c r="J166" s="8"/>
      <c r="K166" s="8"/>
      <c r="L166" s="4"/>
      <c r="M166" s="4"/>
      <c r="N166" s="4"/>
      <c r="O166" s="4"/>
      <c r="P166" s="4"/>
      <c r="Q166" s="7"/>
      <c r="R166" s="6"/>
      <c r="S166" s="5"/>
      <c r="T166" s="5"/>
      <c r="U166" s="4"/>
      <c r="V166" s="5"/>
      <c r="W166" s="4"/>
      <c r="X166" s="4"/>
      <c r="Y166" s="5"/>
      <c r="Z166" s="4"/>
      <c r="AA166" s="4"/>
      <c r="AB166" s="3"/>
      <c r="AC166" s="3"/>
      <c r="AD166" s="3"/>
      <c r="AE166" s="3"/>
    </row>
    <row r="167" spans="1:31" ht="13.5">
      <c r="A167" s="3"/>
      <c r="B167" s="4"/>
      <c r="C167" s="4"/>
      <c r="D167" s="4"/>
      <c r="E167" s="5"/>
      <c r="F167" s="8"/>
      <c r="G167" s="4"/>
      <c r="H167" s="6"/>
      <c r="I167" s="8"/>
      <c r="J167" s="8"/>
      <c r="K167" s="8"/>
      <c r="L167" s="4"/>
      <c r="M167" s="4"/>
      <c r="N167" s="4"/>
      <c r="O167" s="4"/>
      <c r="P167" s="4"/>
      <c r="Q167" s="7"/>
      <c r="R167" s="6"/>
      <c r="S167" s="5"/>
      <c r="T167" s="5"/>
      <c r="U167" s="4"/>
      <c r="V167" s="5"/>
      <c r="W167" s="4"/>
      <c r="X167" s="4"/>
      <c r="Y167" s="5"/>
      <c r="Z167" s="4"/>
      <c r="AA167" s="4"/>
      <c r="AB167" s="3"/>
      <c r="AC167" s="3"/>
      <c r="AD167" s="3"/>
      <c r="AE167" s="3"/>
    </row>
    <row r="168" spans="1:31" ht="13.5">
      <c r="A168" s="3"/>
      <c r="B168" s="4"/>
      <c r="C168" s="4"/>
      <c r="D168" s="4"/>
      <c r="E168" s="5"/>
      <c r="F168" s="8"/>
      <c r="G168" s="4"/>
      <c r="H168" s="6"/>
      <c r="I168" s="8"/>
      <c r="J168" s="8"/>
      <c r="K168" s="8"/>
      <c r="L168" s="4"/>
      <c r="M168" s="4"/>
      <c r="N168" s="4"/>
      <c r="O168" s="4"/>
      <c r="P168" s="4"/>
      <c r="Q168" s="7"/>
      <c r="R168" s="6"/>
      <c r="S168" s="5"/>
      <c r="T168" s="5"/>
      <c r="U168" s="4"/>
      <c r="V168" s="5"/>
      <c r="W168" s="4"/>
      <c r="X168" s="4"/>
      <c r="Y168" s="5"/>
      <c r="Z168" s="4"/>
      <c r="AA168" s="4"/>
      <c r="AB168" s="3"/>
      <c r="AC168" s="3"/>
      <c r="AD168" s="3"/>
      <c r="AE168" s="3"/>
    </row>
    <row r="169" spans="1:31" ht="13.5">
      <c r="A169" s="3"/>
      <c r="B169" s="4"/>
      <c r="C169" s="4"/>
      <c r="D169" s="4"/>
      <c r="E169" s="5"/>
      <c r="F169" s="8"/>
      <c r="G169" s="4"/>
      <c r="H169" s="6"/>
      <c r="I169" s="8"/>
      <c r="J169" s="8"/>
      <c r="K169" s="8"/>
      <c r="L169" s="4"/>
      <c r="M169" s="4"/>
      <c r="N169" s="4"/>
      <c r="O169" s="4"/>
      <c r="P169" s="4"/>
      <c r="Q169" s="7"/>
      <c r="R169" s="6"/>
      <c r="S169" s="5"/>
      <c r="T169" s="5"/>
      <c r="U169" s="4"/>
      <c r="V169" s="5"/>
      <c r="W169" s="4"/>
      <c r="X169" s="4"/>
      <c r="Y169" s="5"/>
      <c r="Z169" s="4"/>
      <c r="AA169" s="4"/>
      <c r="AB169" s="3"/>
      <c r="AC169" s="3"/>
      <c r="AD169" s="3"/>
      <c r="AE169" s="3"/>
    </row>
    <row r="170" spans="1:31" ht="13.5">
      <c r="A170" s="3"/>
      <c r="B170" s="4"/>
      <c r="C170" s="4"/>
      <c r="D170" s="4"/>
      <c r="E170" s="5"/>
      <c r="F170" s="8"/>
      <c r="G170" s="4"/>
      <c r="H170" s="6"/>
      <c r="I170" s="8"/>
      <c r="J170" s="8"/>
      <c r="K170" s="8"/>
      <c r="L170" s="4"/>
      <c r="M170" s="4"/>
      <c r="N170" s="4"/>
      <c r="O170" s="4"/>
      <c r="P170" s="4"/>
      <c r="Q170" s="7"/>
      <c r="R170" s="6"/>
      <c r="S170" s="5"/>
      <c r="T170" s="5"/>
      <c r="U170" s="4"/>
      <c r="V170" s="5"/>
      <c r="W170" s="4"/>
      <c r="X170" s="4"/>
      <c r="Y170" s="5"/>
      <c r="Z170" s="4"/>
      <c r="AA170" s="4"/>
      <c r="AB170" s="3"/>
      <c r="AC170" s="3"/>
      <c r="AD170" s="3"/>
      <c r="AE170" s="3"/>
    </row>
    <row r="171" spans="1:31" ht="13.5">
      <c r="A171" s="3"/>
      <c r="B171" s="4"/>
      <c r="C171" s="4"/>
      <c r="D171" s="4"/>
      <c r="E171" s="5"/>
      <c r="F171" s="8"/>
      <c r="G171" s="4"/>
      <c r="H171" s="6"/>
      <c r="I171" s="8"/>
      <c r="J171" s="8"/>
      <c r="K171" s="8"/>
      <c r="L171" s="4"/>
      <c r="M171" s="4"/>
      <c r="N171" s="4"/>
      <c r="O171" s="4"/>
      <c r="P171" s="4"/>
      <c r="Q171" s="7"/>
      <c r="R171" s="6"/>
      <c r="S171" s="5"/>
      <c r="T171" s="5"/>
      <c r="U171" s="4"/>
      <c r="V171" s="5"/>
      <c r="W171" s="4"/>
      <c r="X171" s="4"/>
      <c r="Y171" s="5"/>
      <c r="Z171" s="4"/>
      <c r="AA171" s="4"/>
      <c r="AB171" s="3"/>
      <c r="AC171" s="3"/>
      <c r="AD171" s="3"/>
      <c r="AE171" s="3"/>
    </row>
    <row r="172" spans="1:31" ht="13.5">
      <c r="A172" s="3"/>
      <c r="B172" s="4"/>
      <c r="C172" s="4"/>
      <c r="D172" s="4"/>
      <c r="E172" s="5"/>
      <c r="F172" s="8"/>
      <c r="G172" s="4"/>
      <c r="H172" s="6"/>
      <c r="I172" s="8"/>
      <c r="J172" s="8"/>
      <c r="K172" s="8"/>
      <c r="L172" s="4"/>
      <c r="M172" s="4"/>
      <c r="N172" s="4"/>
      <c r="O172" s="4"/>
      <c r="P172" s="4"/>
      <c r="Q172" s="7"/>
      <c r="R172" s="6"/>
      <c r="S172" s="5"/>
      <c r="T172" s="5"/>
      <c r="U172" s="4"/>
      <c r="V172" s="5"/>
      <c r="W172" s="4"/>
      <c r="X172" s="4"/>
      <c r="Y172" s="5"/>
      <c r="Z172" s="4"/>
      <c r="AA172" s="4"/>
      <c r="AB172" s="3"/>
      <c r="AC172" s="3"/>
      <c r="AD172" s="3"/>
      <c r="AE172" s="3"/>
    </row>
    <row r="173" spans="1:31" ht="13.5">
      <c r="A173" s="3"/>
      <c r="B173" s="4"/>
      <c r="C173" s="4"/>
      <c r="D173" s="4"/>
      <c r="E173" s="5"/>
      <c r="F173" s="8"/>
      <c r="G173" s="4"/>
      <c r="H173" s="6"/>
      <c r="I173" s="8"/>
      <c r="J173" s="8"/>
      <c r="K173" s="8"/>
      <c r="L173" s="4"/>
      <c r="M173" s="4"/>
      <c r="N173" s="4"/>
      <c r="O173" s="4"/>
      <c r="P173" s="4"/>
      <c r="Q173" s="7"/>
      <c r="R173" s="6"/>
      <c r="S173" s="5"/>
      <c r="T173" s="5"/>
      <c r="U173" s="4"/>
      <c r="V173" s="5"/>
      <c r="W173" s="4"/>
      <c r="X173" s="4"/>
      <c r="Y173" s="5"/>
      <c r="Z173" s="4"/>
      <c r="AA173" s="4"/>
      <c r="AB173" s="3"/>
      <c r="AC173" s="3"/>
      <c r="AD173" s="3"/>
      <c r="AE173" s="3"/>
    </row>
    <row r="174" spans="1:31" ht="13.5">
      <c r="A174" s="3"/>
      <c r="B174" s="4"/>
      <c r="C174" s="4"/>
      <c r="D174" s="4"/>
      <c r="E174" s="5"/>
      <c r="F174" s="8"/>
      <c r="G174" s="4"/>
      <c r="H174" s="6"/>
      <c r="I174" s="8"/>
      <c r="J174" s="8"/>
      <c r="K174" s="8"/>
      <c r="L174" s="4"/>
      <c r="M174" s="4"/>
      <c r="N174" s="4"/>
      <c r="O174" s="4"/>
      <c r="P174" s="4"/>
      <c r="Q174" s="7"/>
      <c r="R174" s="6"/>
      <c r="S174" s="5"/>
      <c r="T174" s="5"/>
      <c r="U174" s="4"/>
      <c r="V174" s="5"/>
      <c r="W174" s="4"/>
      <c r="X174" s="4"/>
      <c r="Y174" s="5"/>
      <c r="Z174" s="4"/>
      <c r="AA174" s="4"/>
      <c r="AB174" s="3"/>
      <c r="AC174" s="3"/>
      <c r="AD174" s="3"/>
      <c r="AE174" s="3"/>
    </row>
    <row r="175" spans="1:31" ht="13.5">
      <c r="A175" s="3"/>
      <c r="B175" s="4"/>
      <c r="C175" s="4"/>
      <c r="D175" s="4"/>
      <c r="E175" s="5"/>
      <c r="F175" s="8"/>
      <c r="G175" s="4"/>
      <c r="H175" s="6"/>
      <c r="I175" s="8"/>
      <c r="J175" s="8"/>
      <c r="K175" s="8"/>
      <c r="L175" s="4"/>
      <c r="M175" s="4"/>
      <c r="N175" s="4"/>
      <c r="O175" s="4"/>
      <c r="P175" s="4"/>
      <c r="Q175" s="7"/>
      <c r="R175" s="6"/>
      <c r="S175" s="5"/>
      <c r="T175" s="5"/>
      <c r="U175" s="4"/>
      <c r="V175" s="5"/>
      <c r="W175" s="4"/>
      <c r="X175" s="4"/>
      <c r="Y175" s="5"/>
      <c r="Z175" s="4"/>
      <c r="AA175" s="4"/>
      <c r="AB175" s="3"/>
      <c r="AC175" s="3"/>
      <c r="AD175" s="3"/>
      <c r="AE175" s="3"/>
    </row>
    <row r="176" spans="1:31" ht="13.5">
      <c r="A176" s="3"/>
      <c r="B176" s="4"/>
      <c r="C176" s="4"/>
      <c r="D176" s="4"/>
      <c r="E176" s="5"/>
      <c r="F176" s="8"/>
      <c r="G176" s="4"/>
      <c r="H176" s="6"/>
      <c r="I176" s="8"/>
      <c r="J176" s="8"/>
      <c r="K176" s="8"/>
      <c r="L176" s="4"/>
      <c r="M176" s="4"/>
      <c r="N176" s="4"/>
      <c r="O176" s="4"/>
      <c r="P176" s="4"/>
      <c r="Q176" s="7"/>
      <c r="R176" s="6"/>
      <c r="S176" s="5"/>
      <c r="T176" s="5"/>
      <c r="U176" s="4"/>
      <c r="V176" s="5"/>
      <c r="W176" s="4"/>
      <c r="X176" s="4"/>
      <c r="Y176" s="5"/>
      <c r="Z176" s="4"/>
      <c r="AA176" s="4"/>
      <c r="AB176" s="3"/>
      <c r="AC176" s="3"/>
      <c r="AD176" s="3"/>
      <c r="AE176" s="3"/>
    </row>
    <row r="177" spans="1:31" ht="13.5">
      <c r="A177" s="3"/>
      <c r="B177" s="4"/>
      <c r="C177" s="4"/>
      <c r="D177" s="4"/>
      <c r="E177" s="5"/>
      <c r="F177" s="8"/>
      <c r="G177" s="4"/>
      <c r="H177" s="6"/>
      <c r="I177" s="8"/>
      <c r="J177" s="8"/>
      <c r="K177" s="8"/>
      <c r="L177" s="4"/>
      <c r="M177" s="4"/>
      <c r="N177" s="4"/>
      <c r="O177" s="4"/>
      <c r="P177" s="4"/>
      <c r="Q177" s="7"/>
      <c r="R177" s="6"/>
      <c r="S177" s="5"/>
      <c r="T177" s="5"/>
      <c r="U177" s="4"/>
      <c r="V177" s="5"/>
      <c r="W177" s="4"/>
      <c r="X177" s="4"/>
      <c r="Y177" s="5"/>
      <c r="Z177" s="4"/>
      <c r="AA177" s="4"/>
      <c r="AB177" s="3"/>
      <c r="AC177" s="3"/>
      <c r="AD177" s="3"/>
      <c r="AE177" s="3"/>
    </row>
    <row r="178" spans="1:31" ht="13.5">
      <c r="A178" s="3"/>
      <c r="B178" s="4"/>
      <c r="C178" s="4"/>
      <c r="D178" s="4"/>
      <c r="E178" s="5"/>
      <c r="F178" s="8"/>
      <c r="G178" s="4"/>
      <c r="H178" s="6"/>
      <c r="I178" s="8"/>
      <c r="J178" s="8"/>
      <c r="K178" s="8"/>
      <c r="L178" s="4"/>
      <c r="M178" s="4"/>
      <c r="N178" s="4"/>
      <c r="O178" s="4"/>
      <c r="P178" s="4"/>
      <c r="Q178" s="7"/>
      <c r="R178" s="6"/>
      <c r="S178" s="5"/>
      <c r="T178" s="5"/>
      <c r="U178" s="4"/>
      <c r="V178" s="5"/>
      <c r="W178" s="4"/>
      <c r="X178" s="4"/>
      <c r="Y178" s="5"/>
      <c r="Z178" s="4"/>
      <c r="AA178" s="4"/>
      <c r="AB178" s="3"/>
      <c r="AC178" s="3"/>
      <c r="AD178" s="3"/>
      <c r="AE178" s="3"/>
    </row>
    <row r="179" spans="1:31" ht="13.5">
      <c r="A179" s="3"/>
      <c r="B179" s="4"/>
      <c r="C179" s="4"/>
      <c r="D179" s="4"/>
      <c r="E179" s="5"/>
      <c r="F179" s="8"/>
      <c r="G179" s="4"/>
      <c r="H179" s="6"/>
      <c r="I179" s="8"/>
      <c r="J179" s="8"/>
      <c r="K179" s="8"/>
      <c r="L179" s="4"/>
      <c r="M179" s="4"/>
      <c r="N179" s="4"/>
      <c r="O179" s="4"/>
      <c r="P179" s="4"/>
      <c r="Q179" s="7"/>
      <c r="R179" s="6"/>
      <c r="S179" s="5"/>
      <c r="T179" s="5"/>
      <c r="U179" s="4"/>
      <c r="V179" s="5"/>
      <c r="W179" s="4"/>
      <c r="X179" s="4"/>
      <c r="Y179" s="5"/>
      <c r="Z179" s="4"/>
      <c r="AA179" s="4"/>
      <c r="AB179" s="3"/>
      <c r="AC179" s="3"/>
      <c r="AD179" s="3"/>
      <c r="AE179" s="3"/>
    </row>
    <row r="180" spans="1:31" ht="13.5">
      <c r="A180" s="3"/>
      <c r="B180" s="4"/>
      <c r="C180" s="4"/>
      <c r="D180" s="4"/>
      <c r="E180" s="5"/>
      <c r="F180" s="8"/>
      <c r="G180" s="4"/>
      <c r="H180" s="6"/>
      <c r="I180" s="8"/>
      <c r="J180" s="8"/>
      <c r="K180" s="8"/>
      <c r="L180" s="4"/>
      <c r="M180" s="4"/>
      <c r="N180" s="4"/>
      <c r="O180" s="4"/>
      <c r="P180" s="4"/>
      <c r="Q180" s="7"/>
      <c r="R180" s="6"/>
      <c r="S180" s="5"/>
      <c r="T180" s="5"/>
      <c r="U180" s="4"/>
      <c r="V180" s="5"/>
      <c r="W180" s="4"/>
      <c r="X180" s="4"/>
      <c r="Y180" s="5"/>
      <c r="Z180" s="4"/>
      <c r="AA180" s="4"/>
      <c r="AB180" s="3"/>
      <c r="AC180" s="3"/>
      <c r="AD180" s="3"/>
      <c r="AE180" s="3"/>
    </row>
    <row r="181" spans="1:31" ht="13.5">
      <c r="A181" s="3"/>
      <c r="B181" s="4"/>
      <c r="C181" s="4"/>
      <c r="D181" s="4"/>
      <c r="E181" s="5"/>
      <c r="F181" s="8"/>
      <c r="G181" s="4"/>
      <c r="H181" s="6"/>
      <c r="I181" s="8"/>
      <c r="J181" s="8"/>
      <c r="K181" s="8"/>
      <c r="L181" s="4"/>
      <c r="M181" s="4"/>
      <c r="N181" s="4"/>
      <c r="O181" s="4"/>
      <c r="P181" s="4"/>
      <c r="Q181" s="7"/>
      <c r="R181" s="6"/>
      <c r="S181" s="5"/>
      <c r="T181" s="5"/>
      <c r="U181" s="4"/>
      <c r="V181" s="5"/>
      <c r="W181" s="4"/>
      <c r="X181" s="4"/>
      <c r="Y181" s="5"/>
      <c r="Z181" s="4"/>
      <c r="AA181" s="4"/>
      <c r="AB181" s="3"/>
      <c r="AC181" s="3"/>
      <c r="AD181" s="3"/>
      <c r="AE181" s="3"/>
    </row>
    <row r="182" spans="1:31" ht="13.5">
      <c r="A182" s="3"/>
      <c r="B182" s="4"/>
      <c r="C182" s="4"/>
      <c r="D182" s="4"/>
      <c r="E182" s="5"/>
      <c r="F182" s="8"/>
      <c r="G182" s="4"/>
      <c r="H182" s="6"/>
      <c r="I182" s="8"/>
      <c r="J182" s="8"/>
      <c r="K182" s="8"/>
      <c r="L182" s="4"/>
      <c r="M182" s="4"/>
      <c r="N182" s="4"/>
      <c r="O182" s="4"/>
      <c r="P182" s="4"/>
      <c r="Q182" s="7"/>
      <c r="R182" s="6"/>
      <c r="S182" s="5"/>
      <c r="T182" s="5"/>
      <c r="U182" s="4"/>
      <c r="V182" s="5"/>
      <c r="W182" s="4"/>
      <c r="X182" s="4"/>
      <c r="Y182" s="5"/>
      <c r="Z182" s="4"/>
      <c r="AA182" s="4"/>
      <c r="AB182" s="3"/>
      <c r="AC182" s="3"/>
      <c r="AD182" s="3"/>
      <c r="AE182" s="3"/>
    </row>
    <row r="183" spans="1:31" ht="13.5">
      <c r="A183" s="3"/>
      <c r="B183" s="4"/>
      <c r="C183" s="4"/>
      <c r="D183" s="4"/>
      <c r="E183" s="5"/>
      <c r="F183" s="8"/>
      <c r="G183" s="4"/>
      <c r="H183" s="6"/>
      <c r="I183" s="8"/>
      <c r="J183" s="8"/>
      <c r="K183" s="8"/>
      <c r="L183" s="4"/>
      <c r="M183" s="4"/>
      <c r="N183" s="4"/>
      <c r="O183" s="4"/>
      <c r="P183" s="4"/>
      <c r="Q183" s="7"/>
      <c r="R183" s="6"/>
      <c r="S183" s="5"/>
      <c r="T183" s="5"/>
      <c r="U183" s="4"/>
      <c r="V183" s="5"/>
      <c r="W183" s="4"/>
      <c r="X183" s="4"/>
      <c r="Y183" s="5"/>
      <c r="Z183" s="4"/>
      <c r="AA183" s="4"/>
      <c r="AB183" s="3"/>
      <c r="AC183" s="3"/>
      <c r="AD183" s="3"/>
      <c r="AE183" s="3"/>
    </row>
    <row r="184" spans="1:31" ht="13.5">
      <c r="A184" s="3"/>
      <c r="B184" s="4"/>
      <c r="C184" s="4"/>
      <c r="D184" s="4"/>
      <c r="E184" s="5"/>
      <c r="F184" s="8"/>
      <c r="G184" s="4"/>
      <c r="H184" s="6"/>
      <c r="I184" s="8"/>
      <c r="J184" s="8"/>
      <c r="K184" s="8"/>
      <c r="L184" s="4"/>
      <c r="M184" s="4"/>
      <c r="N184" s="4"/>
      <c r="O184" s="4"/>
      <c r="P184" s="4"/>
      <c r="Q184" s="7"/>
      <c r="R184" s="6"/>
      <c r="S184" s="5"/>
      <c r="T184" s="5"/>
      <c r="U184" s="4"/>
      <c r="V184" s="5"/>
      <c r="W184" s="4"/>
      <c r="X184" s="4"/>
      <c r="Y184" s="5"/>
      <c r="Z184" s="4"/>
      <c r="AA184" s="4"/>
      <c r="AB184" s="3"/>
      <c r="AC184" s="3"/>
      <c r="AD184" s="3"/>
      <c r="AE184" s="3"/>
    </row>
    <row r="185" spans="1:31" ht="13.5">
      <c r="A185" s="3"/>
      <c r="B185" s="4"/>
      <c r="C185" s="4"/>
      <c r="D185" s="4"/>
      <c r="E185" s="5"/>
      <c r="F185" s="8"/>
      <c r="G185" s="4"/>
      <c r="H185" s="6"/>
      <c r="I185" s="8"/>
      <c r="J185" s="8"/>
      <c r="K185" s="8"/>
      <c r="L185" s="4"/>
      <c r="M185" s="4"/>
      <c r="N185" s="4"/>
      <c r="O185" s="4"/>
      <c r="P185" s="4"/>
      <c r="Q185" s="7"/>
      <c r="R185" s="6"/>
      <c r="S185" s="5"/>
      <c r="T185" s="5"/>
      <c r="U185" s="4"/>
      <c r="V185" s="5"/>
      <c r="W185" s="4"/>
      <c r="X185" s="4"/>
      <c r="Y185" s="5"/>
      <c r="Z185" s="4"/>
      <c r="AA185" s="4"/>
      <c r="AB185" s="3"/>
      <c r="AC185" s="3"/>
      <c r="AD185" s="3"/>
      <c r="AE185" s="3"/>
    </row>
    <row r="186" spans="1:31" ht="13.5">
      <c r="A186" s="3"/>
      <c r="B186" s="4"/>
      <c r="C186" s="4"/>
      <c r="D186" s="4"/>
      <c r="E186" s="5"/>
      <c r="F186" s="8"/>
      <c r="G186" s="4"/>
      <c r="H186" s="6"/>
      <c r="I186" s="8"/>
      <c r="J186" s="8"/>
      <c r="K186" s="8"/>
      <c r="L186" s="4"/>
      <c r="M186" s="4"/>
      <c r="N186" s="4"/>
      <c r="O186" s="4"/>
      <c r="P186" s="4"/>
      <c r="Q186" s="7"/>
      <c r="R186" s="6"/>
      <c r="S186" s="5"/>
      <c r="T186" s="5"/>
      <c r="U186" s="4"/>
      <c r="V186" s="5"/>
      <c r="W186" s="4"/>
      <c r="X186" s="4"/>
      <c r="Y186" s="5"/>
      <c r="Z186" s="4"/>
      <c r="AA186" s="4"/>
      <c r="AB186" s="3"/>
      <c r="AC186" s="3"/>
      <c r="AD186" s="3"/>
      <c r="AE186" s="3"/>
    </row>
    <row r="187" spans="1:31" ht="13.5">
      <c r="A187" s="3"/>
      <c r="B187" s="4"/>
      <c r="C187" s="4"/>
      <c r="D187" s="4"/>
      <c r="E187" s="5"/>
      <c r="F187" s="8"/>
      <c r="G187" s="4"/>
      <c r="H187" s="6"/>
      <c r="I187" s="8"/>
      <c r="J187" s="8"/>
      <c r="K187" s="8"/>
      <c r="L187" s="4"/>
      <c r="M187" s="4"/>
      <c r="N187" s="4"/>
      <c r="O187" s="4"/>
      <c r="P187" s="4"/>
      <c r="Q187" s="7"/>
      <c r="R187" s="6"/>
      <c r="S187" s="5"/>
      <c r="T187" s="5"/>
      <c r="U187" s="4"/>
      <c r="V187" s="5"/>
      <c r="W187" s="4"/>
      <c r="X187" s="4"/>
      <c r="Y187" s="5"/>
      <c r="Z187" s="4"/>
      <c r="AA187" s="4"/>
      <c r="AB187" s="3"/>
      <c r="AC187" s="3"/>
      <c r="AD187" s="3"/>
      <c r="AE187" s="3"/>
    </row>
    <row r="188" spans="1:31" ht="13.5">
      <c r="A188" s="3"/>
      <c r="B188" s="4"/>
      <c r="C188" s="4"/>
      <c r="D188" s="4"/>
      <c r="E188" s="5"/>
      <c r="F188" s="8"/>
      <c r="G188" s="4"/>
      <c r="H188" s="6"/>
      <c r="I188" s="8"/>
      <c r="J188" s="8"/>
      <c r="K188" s="8"/>
      <c r="L188" s="4"/>
      <c r="M188" s="4"/>
      <c r="N188" s="4"/>
      <c r="O188" s="4"/>
      <c r="P188" s="4"/>
      <c r="Q188" s="7"/>
      <c r="R188" s="6"/>
      <c r="S188" s="5"/>
      <c r="T188" s="5"/>
      <c r="U188" s="4"/>
      <c r="V188" s="5"/>
      <c r="W188" s="4"/>
      <c r="X188" s="4"/>
      <c r="Y188" s="5"/>
      <c r="Z188" s="4"/>
      <c r="AA188" s="4"/>
      <c r="AB188" s="3"/>
      <c r="AC188" s="3"/>
      <c r="AD188" s="3"/>
      <c r="AE188" s="3"/>
    </row>
    <row r="189" spans="1:31" ht="13.5">
      <c r="A189" s="3"/>
      <c r="B189" s="4"/>
      <c r="C189" s="4"/>
      <c r="D189" s="4"/>
      <c r="E189" s="5"/>
      <c r="F189" s="8"/>
      <c r="G189" s="4"/>
      <c r="H189" s="6"/>
      <c r="I189" s="8"/>
      <c r="J189" s="8"/>
      <c r="K189" s="8"/>
      <c r="L189" s="4"/>
      <c r="M189" s="4"/>
      <c r="N189" s="4"/>
      <c r="O189" s="4"/>
      <c r="P189" s="4"/>
      <c r="Q189" s="7"/>
      <c r="R189" s="6"/>
      <c r="S189" s="5"/>
      <c r="T189" s="5"/>
      <c r="U189" s="4"/>
      <c r="V189" s="5"/>
      <c r="W189" s="4"/>
      <c r="X189" s="4"/>
      <c r="Y189" s="5"/>
      <c r="Z189" s="4"/>
      <c r="AA189" s="4"/>
      <c r="AB189" s="3"/>
      <c r="AC189" s="3"/>
      <c r="AD189" s="3"/>
      <c r="AE189" s="3"/>
    </row>
    <row r="190" spans="1:31" ht="13.5">
      <c r="A190" s="3"/>
      <c r="B190" s="4"/>
      <c r="C190" s="4"/>
      <c r="D190" s="4"/>
      <c r="E190" s="5"/>
      <c r="F190" s="8"/>
      <c r="G190" s="4"/>
      <c r="H190" s="6"/>
      <c r="I190" s="8"/>
      <c r="J190" s="8"/>
      <c r="K190" s="8"/>
      <c r="L190" s="4"/>
      <c r="M190" s="4"/>
      <c r="N190" s="4"/>
      <c r="O190" s="4"/>
      <c r="P190" s="4"/>
      <c r="Q190" s="7"/>
      <c r="R190" s="6"/>
      <c r="S190" s="5"/>
      <c r="T190" s="5"/>
      <c r="U190" s="4"/>
      <c r="V190" s="5"/>
      <c r="W190" s="4"/>
      <c r="X190" s="4"/>
      <c r="Y190" s="5"/>
      <c r="Z190" s="4"/>
      <c r="AA190" s="4"/>
      <c r="AB190" s="3"/>
      <c r="AC190" s="3"/>
      <c r="AD190" s="3"/>
      <c r="AE190" s="3"/>
    </row>
    <row r="191" spans="1:31" ht="13.5">
      <c r="A191" s="3"/>
      <c r="B191" s="4"/>
      <c r="C191" s="4"/>
      <c r="D191" s="4"/>
      <c r="E191" s="5"/>
      <c r="F191" s="8"/>
      <c r="G191" s="4"/>
      <c r="H191" s="6"/>
      <c r="I191" s="8"/>
      <c r="J191" s="8"/>
      <c r="K191" s="8"/>
      <c r="L191" s="4"/>
      <c r="M191" s="4"/>
      <c r="N191" s="4"/>
      <c r="O191" s="4"/>
      <c r="P191" s="4"/>
      <c r="Q191" s="7"/>
      <c r="R191" s="6"/>
      <c r="S191" s="5"/>
      <c r="T191" s="5"/>
      <c r="U191" s="4"/>
      <c r="V191" s="5"/>
      <c r="W191" s="4"/>
      <c r="X191" s="4"/>
      <c r="Y191" s="5"/>
      <c r="Z191" s="4"/>
      <c r="AA191" s="4"/>
      <c r="AB191" s="3"/>
      <c r="AC191" s="3"/>
      <c r="AD191" s="3"/>
      <c r="AE191" s="3"/>
    </row>
    <row r="192" spans="1:31" ht="13.5">
      <c r="A192" s="3"/>
      <c r="B192" s="4"/>
      <c r="C192" s="4"/>
      <c r="D192" s="4"/>
      <c r="E192" s="5"/>
      <c r="F192" s="8"/>
      <c r="G192" s="4"/>
      <c r="H192" s="6"/>
      <c r="I192" s="8"/>
      <c r="J192" s="8"/>
      <c r="K192" s="8"/>
      <c r="L192" s="4"/>
      <c r="M192" s="4"/>
      <c r="N192" s="4"/>
      <c r="O192" s="4"/>
      <c r="P192" s="4"/>
      <c r="Q192" s="7"/>
      <c r="R192" s="6"/>
      <c r="S192" s="5"/>
      <c r="T192" s="5"/>
      <c r="U192" s="4"/>
      <c r="V192" s="5"/>
      <c r="W192" s="4"/>
      <c r="X192" s="4"/>
      <c r="Y192" s="5"/>
      <c r="Z192" s="4"/>
      <c r="AA192" s="4"/>
      <c r="AB192" s="3"/>
      <c r="AC192" s="3"/>
      <c r="AD192" s="3"/>
      <c r="AE192" s="3"/>
    </row>
    <row r="193" spans="1:31" ht="13.5">
      <c r="A193" s="3"/>
      <c r="B193" s="4"/>
      <c r="C193" s="4"/>
      <c r="D193" s="4"/>
      <c r="E193" s="5"/>
      <c r="F193" s="8"/>
      <c r="G193" s="4"/>
      <c r="H193" s="6"/>
      <c r="I193" s="8"/>
      <c r="J193" s="8"/>
      <c r="K193" s="8"/>
      <c r="L193" s="4"/>
      <c r="M193" s="4"/>
      <c r="N193" s="4"/>
      <c r="O193" s="4"/>
      <c r="P193" s="4"/>
      <c r="Q193" s="7"/>
      <c r="R193" s="6"/>
      <c r="S193" s="5"/>
      <c r="T193" s="5"/>
      <c r="U193" s="4"/>
      <c r="V193" s="5"/>
      <c r="W193" s="4"/>
      <c r="X193" s="4"/>
      <c r="Y193" s="5"/>
      <c r="Z193" s="4"/>
      <c r="AA193" s="4"/>
      <c r="AB193" s="3"/>
      <c r="AC193" s="3"/>
      <c r="AD193" s="3"/>
      <c r="AE193" s="3"/>
    </row>
    <row r="194" spans="1:31" ht="13.5">
      <c r="A194" s="3"/>
      <c r="B194" s="4"/>
      <c r="C194" s="4"/>
      <c r="D194" s="4"/>
      <c r="E194" s="5"/>
      <c r="F194" s="8"/>
      <c r="G194" s="4"/>
      <c r="H194" s="6"/>
      <c r="I194" s="8"/>
      <c r="J194" s="8"/>
      <c r="K194" s="8"/>
      <c r="L194" s="4"/>
      <c r="M194" s="4"/>
      <c r="N194" s="4"/>
      <c r="O194" s="4"/>
      <c r="P194" s="4"/>
      <c r="Q194" s="7"/>
      <c r="R194" s="6"/>
      <c r="S194" s="5"/>
      <c r="T194" s="5"/>
      <c r="U194" s="4"/>
      <c r="V194" s="5"/>
      <c r="W194" s="4"/>
      <c r="X194" s="4"/>
      <c r="Y194" s="5"/>
      <c r="Z194" s="4"/>
      <c r="AA194" s="4"/>
      <c r="AB194" s="3"/>
      <c r="AC194" s="3"/>
      <c r="AD194" s="3"/>
      <c r="AE194" s="3"/>
    </row>
    <row r="195" spans="1:31" ht="13.5">
      <c r="A195" s="3"/>
      <c r="B195" s="4"/>
      <c r="C195" s="4"/>
      <c r="D195" s="4"/>
      <c r="E195" s="5"/>
      <c r="F195" s="8"/>
      <c r="G195" s="4"/>
      <c r="H195" s="6"/>
      <c r="I195" s="8"/>
      <c r="J195" s="8"/>
      <c r="K195" s="8"/>
      <c r="L195" s="4"/>
      <c r="M195" s="4"/>
      <c r="N195" s="4"/>
      <c r="O195" s="4"/>
      <c r="P195" s="4"/>
      <c r="Q195" s="7"/>
      <c r="R195" s="6"/>
      <c r="S195" s="5"/>
      <c r="T195" s="5"/>
      <c r="U195" s="4"/>
      <c r="V195" s="5"/>
      <c r="W195" s="4"/>
      <c r="X195" s="4"/>
      <c r="Y195" s="5"/>
      <c r="Z195" s="4"/>
      <c r="AA195" s="4"/>
      <c r="AB195" s="3"/>
      <c r="AC195" s="3"/>
      <c r="AD195" s="3"/>
      <c r="AE195" s="3"/>
    </row>
    <row r="196" spans="1:31" ht="13.5">
      <c r="A196" s="3"/>
      <c r="B196" s="4"/>
      <c r="C196" s="4"/>
      <c r="D196" s="4"/>
      <c r="E196" s="5"/>
      <c r="F196" s="8"/>
      <c r="G196" s="4"/>
      <c r="H196" s="6"/>
      <c r="I196" s="8"/>
      <c r="J196" s="8"/>
      <c r="K196" s="8"/>
      <c r="L196" s="4"/>
      <c r="M196" s="4"/>
      <c r="N196" s="4"/>
      <c r="O196" s="4"/>
      <c r="P196" s="4"/>
      <c r="Q196" s="7"/>
      <c r="R196" s="6"/>
      <c r="S196" s="5"/>
      <c r="T196" s="5"/>
      <c r="U196" s="4"/>
      <c r="V196" s="5"/>
      <c r="W196" s="4"/>
      <c r="X196" s="4"/>
      <c r="Y196" s="5"/>
      <c r="Z196" s="4"/>
      <c r="AA196" s="4"/>
      <c r="AB196" s="3"/>
      <c r="AC196" s="3"/>
      <c r="AD196" s="3"/>
      <c r="AE196" s="3"/>
    </row>
    <row r="197" spans="1:31" ht="13.5">
      <c r="A197" s="3"/>
      <c r="B197" s="4"/>
      <c r="C197" s="4"/>
      <c r="D197" s="4"/>
      <c r="E197" s="5"/>
      <c r="F197" s="8"/>
      <c r="G197" s="4"/>
      <c r="H197" s="6"/>
      <c r="I197" s="8"/>
      <c r="J197" s="8"/>
      <c r="K197" s="8"/>
      <c r="L197" s="4"/>
      <c r="M197" s="4"/>
      <c r="N197" s="4"/>
      <c r="O197" s="4"/>
      <c r="P197" s="4"/>
      <c r="Q197" s="7"/>
      <c r="R197" s="6"/>
      <c r="S197" s="5"/>
      <c r="T197" s="5"/>
      <c r="U197" s="4"/>
      <c r="V197" s="5"/>
      <c r="W197" s="4"/>
      <c r="X197" s="4"/>
      <c r="Y197" s="5"/>
      <c r="Z197" s="4"/>
      <c r="AA197" s="4"/>
      <c r="AB197" s="3"/>
      <c r="AC197" s="3"/>
      <c r="AD197" s="3"/>
      <c r="AE197" s="3"/>
    </row>
    <row r="198" spans="1:31" ht="13.5">
      <c r="A198" s="3"/>
      <c r="B198" s="4"/>
      <c r="C198" s="4"/>
      <c r="D198" s="4"/>
      <c r="E198" s="5"/>
      <c r="F198" s="8"/>
      <c r="G198" s="4"/>
      <c r="H198" s="6"/>
      <c r="I198" s="8"/>
      <c r="J198" s="8"/>
      <c r="K198" s="8"/>
      <c r="L198" s="4"/>
      <c r="M198" s="4"/>
      <c r="N198" s="4"/>
      <c r="O198" s="4"/>
      <c r="P198" s="4"/>
      <c r="Q198" s="7"/>
      <c r="R198" s="6"/>
      <c r="S198" s="5"/>
      <c r="T198" s="5"/>
      <c r="U198" s="4"/>
      <c r="V198" s="5"/>
      <c r="W198" s="4"/>
      <c r="X198" s="4"/>
      <c r="Y198" s="5"/>
      <c r="Z198" s="4"/>
      <c r="AA198" s="4"/>
      <c r="AB198" s="3"/>
      <c r="AC198" s="3"/>
      <c r="AD198" s="3"/>
      <c r="AE198" s="3"/>
    </row>
    <row r="199" spans="1:31" ht="13.5">
      <c r="A199" s="3"/>
      <c r="B199" s="4"/>
      <c r="C199" s="4"/>
      <c r="D199" s="4"/>
      <c r="E199" s="5"/>
      <c r="F199" s="9"/>
      <c r="G199" s="3"/>
      <c r="H199" s="10"/>
      <c r="I199" s="9"/>
      <c r="J199" s="9"/>
      <c r="K199" s="9"/>
      <c r="L199" s="4"/>
      <c r="M199" s="4"/>
      <c r="N199" s="4"/>
      <c r="O199" s="4"/>
      <c r="P199" s="4"/>
      <c r="Q199" s="7"/>
      <c r="R199" s="6"/>
      <c r="S199" s="5"/>
      <c r="T199" s="5"/>
      <c r="U199" s="4"/>
      <c r="V199" s="5"/>
      <c r="W199" s="4"/>
      <c r="X199" s="4"/>
      <c r="Y199" s="5"/>
      <c r="Z199" s="4"/>
      <c r="AA199" s="4"/>
      <c r="AB199" s="3"/>
      <c r="AC199" s="3"/>
      <c r="AD199" s="3"/>
      <c r="AE199" s="3"/>
    </row>
    <row r="200" spans="1:31" ht="13.5">
      <c r="A200" s="3"/>
      <c r="B200" s="4"/>
      <c r="C200" s="4"/>
      <c r="D200" s="4"/>
      <c r="E200" s="5"/>
      <c r="F200" s="8"/>
      <c r="G200" s="4"/>
      <c r="H200" s="6"/>
      <c r="I200" s="8"/>
      <c r="J200" s="8"/>
      <c r="K200" s="8"/>
      <c r="L200" s="4"/>
      <c r="M200" s="4"/>
      <c r="N200" s="4"/>
      <c r="O200" s="4"/>
      <c r="P200" s="4"/>
      <c r="Q200" s="7"/>
      <c r="R200" s="6"/>
      <c r="S200" s="5"/>
      <c r="T200" s="5"/>
      <c r="U200" s="4"/>
      <c r="V200" s="5"/>
      <c r="W200" s="4"/>
      <c r="X200" s="4"/>
      <c r="Y200" s="5"/>
      <c r="Z200" s="4"/>
      <c r="AA200" s="4"/>
      <c r="AB200" s="3"/>
      <c r="AC200" s="3"/>
      <c r="AD200" s="3"/>
      <c r="AE200" s="3"/>
    </row>
    <row r="201" spans="1:31" ht="13.5">
      <c r="A201" s="3"/>
      <c r="B201" s="4"/>
      <c r="C201" s="4"/>
      <c r="D201" s="4"/>
      <c r="E201" s="5"/>
      <c r="F201" s="8"/>
      <c r="G201" s="4"/>
      <c r="H201" s="6"/>
      <c r="I201" s="8"/>
      <c r="J201" s="8"/>
      <c r="K201" s="8"/>
      <c r="L201" s="4"/>
      <c r="M201" s="4"/>
      <c r="N201" s="4"/>
      <c r="O201" s="4"/>
      <c r="P201" s="4"/>
      <c r="Q201" s="7"/>
      <c r="R201" s="6"/>
      <c r="S201" s="5"/>
      <c r="T201" s="5"/>
      <c r="U201" s="4"/>
      <c r="V201" s="5"/>
      <c r="W201" s="4"/>
      <c r="X201" s="4"/>
      <c r="Y201" s="5"/>
      <c r="Z201" s="4"/>
      <c r="AA201" s="4"/>
      <c r="AB201" s="3"/>
      <c r="AC201" s="3"/>
      <c r="AD201" s="3"/>
      <c r="AE201" s="3"/>
    </row>
    <row r="202" spans="1:31" ht="13.5">
      <c r="A202" s="3"/>
      <c r="B202" s="4"/>
      <c r="C202" s="4"/>
      <c r="D202" s="4"/>
      <c r="E202" s="5"/>
      <c r="F202" s="8"/>
      <c r="G202" s="4"/>
      <c r="H202" s="6"/>
      <c r="I202" s="8"/>
      <c r="J202" s="8"/>
      <c r="K202" s="8"/>
      <c r="L202" s="4"/>
      <c r="M202" s="4"/>
      <c r="N202" s="4"/>
      <c r="O202" s="4"/>
      <c r="P202" s="4"/>
      <c r="Q202" s="7"/>
      <c r="R202" s="6"/>
      <c r="S202" s="5"/>
      <c r="T202" s="5"/>
      <c r="U202" s="4"/>
      <c r="V202" s="5"/>
      <c r="W202" s="4"/>
      <c r="X202" s="4"/>
      <c r="Y202" s="5"/>
      <c r="Z202" s="4"/>
      <c r="AA202" s="4"/>
      <c r="AB202" s="3"/>
      <c r="AC202" s="3"/>
      <c r="AD202" s="3"/>
      <c r="AE202" s="3"/>
    </row>
    <row r="203" spans="1:31" ht="13.5">
      <c r="A203" s="3"/>
      <c r="B203" s="4"/>
      <c r="C203" s="4"/>
      <c r="D203" s="4"/>
      <c r="E203" s="5"/>
      <c r="F203" s="8"/>
      <c r="G203" s="4"/>
      <c r="H203" s="6"/>
      <c r="I203" s="8"/>
      <c r="J203" s="8"/>
      <c r="K203" s="8"/>
      <c r="L203" s="4"/>
      <c r="M203" s="4"/>
      <c r="N203" s="4"/>
      <c r="O203" s="4"/>
      <c r="P203" s="4"/>
      <c r="Q203" s="7"/>
      <c r="R203" s="6"/>
      <c r="S203" s="5"/>
      <c r="T203" s="5"/>
      <c r="U203" s="4"/>
      <c r="V203" s="5"/>
      <c r="W203" s="4"/>
      <c r="X203" s="4"/>
      <c r="Y203" s="5"/>
      <c r="Z203" s="4"/>
      <c r="AA203" s="4"/>
      <c r="AB203" s="3"/>
      <c r="AC203" s="3"/>
      <c r="AD203" s="3"/>
      <c r="AE203" s="3"/>
    </row>
    <row r="204" spans="1:31" ht="13.5">
      <c r="A204" s="3"/>
      <c r="B204" s="4"/>
      <c r="C204" s="4"/>
      <c r="D204" s="4"/>
      <c r="E204" s="5"/>
      <c r="F204" s="8"/>
      <c r="G204" s="4"/>
      <c r="H204" s="6"/>
      <c r="I204" s="8"/>
      <c r="J204" s="8"/>
      <c r="K204" s="8"/>
      <c r="L204" s="4"/>
      <c r="M204" s="4"/>
      <c r="N204" s="4"/>
      <c r="O204" s="4"/>
      <c r="P204" s="4"/>
      <c r="Q204" s="7"/>
      <c r="R204" s="6"/>
      <c r="S204" s="5"/>
      <c r="T204" s="5"/>
      <c r="U204" s="4"/>
      <c r="V204" s="5"/>
      <c r="W204" s="4"/>
      <c r="X204" s="4"/>
      <c r="Y204" s="5"/>
      <c r="Z204" s="4"/>
      <c r="AA204" s="4"/>
      <c r="AB204" s="3"/>
      <c r="AC204" s="3"/>
      <c r="AD204" s="3"/>
      <c r="AE204" s="3"/>
    </row>
    <row r="205" spans="1:31" ht="13.5">
      <c r="A205" s="3"/>
      <c r="B205" s="4"/>
      <c r="C205" s="4"/>
      <c r="D205" s="4"/>
      <c r="E205" s="5"/>
      <c r="F205" s="8"/>
      <c r="G205" s="4"/>
      <c r="H205" s="6"/>
      <c r="I205" s="8"/>
      <c r="J205" s="8"/>
      <c r="K205" s="8"/>
      <c r="L205" s="4"/>
      <c r="M205" s="4"/>
      <c r="N205" s="4"/>
      <c r="O205" s="4"/>
      <c r="P205" s="4"/>
      <c r="Q205" s="7"/>
      <c r="R205" s="6"/>
      <c r="S205" s="5"/>
      <c r="T205" s="5"/>
      <c r="U205" s="4"/>
      <c r="V205" s="5"/>
      <c r="W205" s="4"/>
      <c r="X205" s="4"/>
      <c r="Y205" s="5"/>
      <c r="Z205" s="4"/>
      <c r="AA205" s="4"/>
      <c r="AB205" s="3"/>
      <c r="AC205" s="3"/>
      <c r="AD205" s="3"/>
      <c r="AE205" s="3"/>
    </row>
    <row r="206" spans="1:31" ht="13.5">
      <c r="A206" s="3"/>
      <c r="B206" s="4"/>
      <c r="C206" s="4"/>
      <c r="D206" s="4"/>
      <c r="E206" s="5"/>
      <c r="F206" s="8"/>
      <c r="G206" s="4"/>
      <c r="H206" s="6"/>
      <c r="I206" s="8"/>
      <c r="J206" s="8"/>
      <c r="K206" s="8"/>
      <c r="L206" s="4"/>
      <c r="M206" s="4"/>
      <c r="N206" s="4"/>
      <c r="O206" s="4"/>
      <c r="P206" s="4"/>
      <c r="Q206" s="7"/>
      <c r="R206" s="6"/>
      <c r="S206" s="5"/>
      <c r="T206" s="5"/>
      <c r="U206" s="4"/>
      <c r="V206" s="5"/>
      <c r="W206" s="4"/>
      <c r="X206" s="4"/>
      <c r="Y206" s="5"/>
      <c r="Z206" s="4"/>
      <c r="AA206" s="4"/>
      <c r="AB206" s="3"/>
      <c r="AC206" s="3"/>
      <c r="AD206" s="3"/>
      <c r="AE206" s="3"/>
    </row>
    <row r="207" spans="1:31" ht="13.5">
      <c r="A207" s="3"/>
      <c r="B207" s="4"/>
      <c r="C207" s="4"/>
      <c r="D207" s="4"/>
      <c r="E207" s="5"/>
      <c r="F207" s="8"/>
      <c r="G207" s="4"/>
      <c r="H207" s="6"/>
      <c r="I207" s="8"/>
      <c r="J207" s="8"/>
      <c r="K207" s="8"/>
      <c r="L207" s="4"/>
      <c r="M207" s="4"/>
      <c r="N207" s="4"/>
      <c r="O207" s="4"/>
      <c r="P207" s="4"/>
      <c r="Q207" s="7"/>
      <c r="R207" s="6"/>
      <c r="S207" s="5"/>
      <c r="T207" s="5"/>
      <c r="U207" s="4"/>
      <c r="V207" s="5"/>
      <c r="W207" s="4"/>
      <c r="X207" s="4"/>
      <c r="Y207" s="5"/>
      <c r="Z207" s="4"/>
      <c r="AA207" s="4"/>
      <c r="AB207" s="3"/>
      <c r="AC207" s="3"/>
      <c r="AD207" s="3"/>
      <c r="AE207" s="3"/>
    </row>
    <row r="208" spans="1:31" ht="13.5">
      <c r="A208" s="3"/>
      <c r="B208" s="4"/>
      <c r="C208" s="4"/>
      <c r="D208" s="4"/>
      <c r="E208" s="5"/>
      <c r="F208" s="8"/>
      <c r="G208" s="4"/>
      <c r="H208" s="6"/>
      <c r="I208" s="8"/>
      <c r="J208" s="8"/>
      <c r="K208" s="8"/>
      <c r="L208" s="4"/>
      <c r="M208" s="4"/>
      <c r="N208" s="4"/>
      <c r="O208" s="4"/>
      <c r="P208" s="4"/>
      <c r="Q208" s="7"/>
      <c r="R208" s="6"/>
      <c r="S208" s="5"/>
      <c r="T208" s="5"/>
      <c r="U208" s="4"/>
      <c r="V208" s="5"/>
      <c r="W208" s="4"/>
      <c r="X208" s="4"/>
      <c r="Y208" s="5"/>
      <c r="Z208" s="4"/>
      <c r="AA208" s="4"/>
      <c r="AB208" s="3"/>
      <c r="AC208" s="3"/>
      <c r="AD208" s="3"/>
      <c r="AE208" s="3"/>
    </row>
    <row r="209" spans="1:31" ht="13.5">
      <c r="A209" s="3"/>
      <c r="B209" s="4"/>
      <c r="C209" s="4"/>
      <c r="D209" s="4"/>
      <c r="E209" s="5"/>
      <c r="F209" s="8"/>
      <c r="G209" s="4"/>
      <c r="H209" s="6"/>
      <c r="I209" s="8"/>
      <c r="J209" s="8"/>
      <c r="K209" s="8"/>
      <c r="L209" s="4"/>
      <c r="M209" s="4"/>
      <c r="N209" s="4"/>
      <c r="O209" s="4"/>
      <c r="P209" s="4"/>
      <c r="Q209" s="7"/>
      <c r="R209" s="6"/>
      <c r="S209" s="5"/>
      <c r="T209" s="5"/>
      <c r="U209" s="4"/>
      <c r="V209" s="5"/>
      <c r="W209" s="4"/>
      <c r="X209" s="4"/>
      <c r="Y209" s="5"/>
      <c r="Z209" s="4"/>
      <c r="AA209" s="4"/>
      <c r="AB209" s="3"/>
      <c r="AC209" s="3"/>
      <c r="AD209" s="3"/>
      <c r="AE209" s="3"/>
    </row>
    <row r="210" spans="1:31" ht="13.5">
      <c r="A210" s="3"/>
      <c r="B210" s="4"/>
      <c r="C210" s="4"/>
      <c r="D210" s="4"/>
      <c r="E210" s="5"/>
      <c r="F210" s="8"/>
      <c r="G210" s="4"/>
      <c r="H210" s="6"/>
      <c r="I210" s="8"/>
      <c r="J210" s="8"/>
      <c r="K210" s="8"/>
      <c r="L210" s="4"/>
      <c r="M210" s="4"/>
      <c r="N210" s="4"/>
      <c r="O210" s="4"/>
      <c r="P210" s="4"/>
      <c r="Q210" s="7"/>
      <c r="R210" s="6"/>
      <c r="S210" s="5"/>
      <c r="T210" s="5"/>
      <c r="U210" s="4"/>
      <c r="V210" s="5"/>
      <c r="W210" s="4"/>
      <c r="X210" s="4"/>
      <c r="Y210" s="5"/>
      <c r="Z210" s="4"/>
      <c r="AA210" s="4"/>
      <c r="AB210" s="3"/>
      <c r="AC210" s="3"/>
      <c r="AD210" s="3"/>
      <c r="AE210" s="3"/>
    </row>
    <row r="211" spans="1:31" ht="13.5">
      <c r="A211" s="3"/>
      <c r="B211" s="4"/>
      <c r="C211" s="4"/>
      <c r="D211" s="4"/>
      <c r="E211" s="5"/>
      <c r="F211" s="8"/>
      <c r="G211" s="4"/>
      <c r="H211" s="6"/>
      <c r="I211" s="8"/>
      <c r="J211" s="8"/>
      <c r="K211" s="8"/>
      <c r="L211" s="4"/>
      <c r="M211" s="4"/>
      <c r="N211" s="4"/>
      <c r="O211" s="4"/>
      <c r="P211" s="4"/>
      <c r="Q211" s="7"/>
      <c r="R211" s="6"/>
      <c r="S211" s="5"/>
      <c r="T211" s="5"/>
      <c r="U211" s="4"/>
      <c r="V211" s="5"/>
      <c r="W211" s="4"/>
      <c r="X211" s="4"/>
      <c r="Y211" s="5"/>
      <c r="Z211" s="4"/>
      <c r="AA211" s="4"/>
      <c r="AB211" s="3"/>
      <c r="AC211" s="3"/>
      <c r="AD211" s="3"/>
      <c r="AE211" s="3"/>
    </row>
    <row r="212" spans="1:31" ht="13.5">
      <c r="A212" s="3"/>
      <c r="B212" s="4"/>
      <c r="C212" s="4"/>
      <c r="D212" s="4"/>
      <c r="E212" s="5"/>
      <c r="F212" s="8"/>
      <c r="G212" s="4"/>
      <c r="H212" s="6"/>
      <c r="I212" s="8"/>
      <c r="J212" s="8"/>
      <c r="K212" s="8"/>
      <c r="L212" s="4"/>
      <c r="M212" s="4"/>
      <c r="N212" s="4"/>
      <c r="O212" s="4"/>
      <c r="P212" s="4"/>
      <c r="Q212" s="7"/>
      <c r="R212" s="6"/>
      <c r="S212" s="5"/>
      <c r="T212" s="5"/>
      <c r="U212" s="4"/>
      <c r="V212" s="5"/>
      <c r="W212" s="4"/>
      <c r="X212" s="4"/>
      <c r="Y212" s="5"/>
      <c r="Z212" s="4"/>
      <c r="AA212" s="4"/>
      <c r="AB212" s="3"/>
      <c r="AC212" s="3"/>
      <c r="AD212" s="3"/>
      <c r="AE212" s="3"/>
    </row>
    <row r="213" spans="1:31" ht="13.5">
      <c r="A213" s="3"/>
      <c r="B213" s="4"/>
      <c r="C213" s="4"/>
      <c r="D213" s="4"/>
      <c r="E213" s="5"/>
      <c r="F213" s="8"/>
      <c r="G213" s="4"/>
      <c r="H213" s="6"/>
      <c r="I213" s="8"/>
      <c r="J213" s="8"/>
      <c r="K213" s="8"/>
      <c r="L213" s="4"/>
      <c r="M213" s="4"/>
      <c r="N213" s="4"/>
      <c r="O213" s="4"/>
      <c r="P213" s="4"/>
      <c r="Q213" s="7"/>
      <c r="R213" s="6"/>
      <c r="S213" s="5"/>
      <c r="T213" s="5"/>
      <c r="U213" s="4"/>
      <c r="V213" s="5"/>
      <c r="W213" s="4"/>
      <c r="X213" s="4"/>
      <c r="Y213" s="5"/>
      <c r="Z213" s="4"/>
      <c r="AA213" s="4"/>
      <c r="AB213" s="3"/>
      <c r="AC213" s="3"/>
      <c r="AD213" s="3"/>
      <c r="AE213" s="3"/>
    </row>
    <row r="214" spans="1:31" ht="13.5">
      <c r="A214" s="3"/>
      <c r="B214" s="4"/>
      <c r="C214" s="4"/>
      <c r="D214" s="4"/>
      <c r="E214" s="5"/>
      <c r="F214" s="8"/>
      <c r="G214" s="4"/>
      <c r="H214" s="6"/>
      <c r="I214" s="8"/>
      <c r="J214" s="8"/>
      <c r="K214" s="8"/>
      <c r="L214" s="4"/>
      <c r="M214" s="4"/>
      <c r="N214" s="4"/>
      <c r="O214" s="4"/>
      <c r="P214" s="4"/>
      <c r="Q214" s="7"/>
      <c r="R214" s="6"/>
      <c r="S214" s="5"/>
      <c r="T214" s="5"/>
      <c r="U214" s="4"/>
      <c r="V214" s="5"/>
      <c r="W214" s="4"/>
      <c r="X214" s="4"/>
      <c r="Y214" s="5"/>
      <c r="Z214" s="4"/>
      <c r="AA214" s="4"/>
      <c r="AB214" s="3"/>
      <c r="AC214" s="3"/>
      <c r="AD214" s="3"/>
      <c r="AE214" s="3"/>
    </row>
    <row r="215" spans="1:31" ht="13.5">
      <c r="A215" s="3"/>
      <c r="B215" s="4"/>
      <c r="C215" s="4"/>
      <c r="D215" s="4"/>
      <c r="E215" s="5"/>
      <c r="F215" s="8"/>
      <c r="G215" s="4"/>
      <c r="H215" s="6"/>
      <c r="I215" s="8"/>
      <c r="J215" s="8"/>
      <c r="K215" s="8"/>
      <c r="L215" s="4"/>
      <c r="M215" s="4"/>
      <c r="N215" s="4"/>
      <c r="O215" s="4"/>
      <c r="P215" s="4"/>
      <c r="Q215" s="7"/>
      <c r="R215" s="6"/>
      <c r="S215" s="5"/>
      <c r="T215" s="5"/>
      <c r="U215" s="4"/>
      <c r="V215" s="5"/>
      <c r="W215" s="4"/>
      <c r="X215" s="4"/>
      <c r="Y215" s="5"/>
      <c r="Z215" s="4"/>
      <c r="AA215" s="4"/>
      <c r="AB215" s="3"/>
      <c r="AC215" s="3"/>
      <c r="AD215" s="3"/>
      <c r="AE215" s="3"/>
    </row>
    <row r="216" spans="1:31" ht="13.5">
      <c r="A216" s="3"/>
      <c r="B216" s="4"/>
      <c r="C216" s="4"/>
      <c r="D216" s="4"/>
      <c r="E216" s="5"/>
      <c r="F216" s="8"/>
      <c r="G216" s="4"/>
      <c r="H216" s="6"/>
      <c r="I216" s="8"/>
      <c r="J216" s="8"/>
      <c r="K216" s="8"/>
      <c r="L216" s="4"/>
      <c r="M216" s="4"/>
      <c r="N216" s="4"/>
      <c r="O216" s="4"/>
      <c r="P216" s="4"/>
      <c r="Q216" s="7"/>
      <c r="R216" s="6"/>
      <c r="S216" s="5"/>
      <c r="T216" s="5"/>
      <c r="U216" s="4"/>
      <c r="V216" s="5"/>
      <c r="W216" s="4"/>
      <c r="X216" s="4"/>
      <c r="Y216" s="5"/>
      <c r="Z216" s="4"/>
      <c r="AA216" s="4"/>
      <c r="AB216" s="3"/>
      <c r="AC216" s="3"/>
      <c r="AD216" s="3"/>
      <c r="AE216" s="3"/>
    </row>
    <row r="217" spans="1:31" ht="13.5">
      <c r="A217" s="3"/>
      <c r="B217" s="4"/>
      <c r="C217" s="4"/>
      <c r="D217" s="4"/>
      <c r="E217" s="5"/>
      <c r="F217" s="8"/>
      <c r="G217" s="4"/>
      <c r="H217" s="6"/>
      <c r="I217" s="8"/>
      <c r="J217" s="8"/>
      <c r="K217" s="8"/>
      <c r="L217" s="4"/>
      <c r="M217" s="4"/>
      <c r="N217" s="4"/>
      <c r="O217" s="4"/>
      <c r="P217" s="4"/>
      <c r="Q217" s="7"/>
      <c r="R217" s="6"/>
      <c r="S217" s="5"/>
      <c r="T217" s="5"/>
      <c r="U217" s="4"/>
      <c r="V217" s="5"/>
      <c r="W217" s="4"/>
      <c r="X217" s="4"/>
      <c r="Y217" s="5"/>
      <c r="Z217" s="4"/>
      <c r="AA217" s="4"/>
      <c r="AB217" s="3"/>
      <c r="AC217" s="3"/>
      <c r="AD217" s="3"/>
      <c r="AE217" s="3"/>
    </row>
    <row r="218" spans="1:31" ht="13.5">
      <c r="A218" s="3"/>
      <c r="B218" s="4"/>
      <c r="C218" s="4"/>
      <c r="D218" s="4"/>
      <c r="E218" s="5"/>
      <c r="F218" s="8"/>
      <c r="G218" s="4"/>
      <c r="H218" s="6"/>
      <c r="I218" s="8"/>
      <c r="J218" s="8"/>
      <c r="K218" s="8"/>
      <c r="L218" s="4"/>
      <c r="M218" s="4"/>
      <c r="N218" s="4"/>
      <c r="O218" s="4"/>
      <c r="P218" s="4"/>
      <c r="Q218" s="7"/>
      <c r="R218" s="6"/>
      <c r="S218" s="5"/>
      <c r="T218" s="5"/>
      <c r="U218" s="4"/>
      <c r="V218" s="5"/>
      <c r="W218" s="4"/>
      <c r="X218" s="4"/>
      <c r="Y218" s="5"/>
      <c r="Z218" s="4"/>
      <c r="AA218" s="4"/>
      <c r="AB218" s="3"/>
      <c r="AC218" s="3"/>
      <c r="AD218" s="3"/>
      <c r="AE218" s="3"/>
    </row>
    <row r="219" spans="1:31" ht="13.5">
      <c r="A219" s="3"/>
      <c r="B219" s="4"/>
      <c r="C219" s="4"/>
      <c r="D219" s="4"/>
      <c r="E219" s="5"/>
      <c r="F219" s="8"/>
      <c r="G219" s="4"/>
      <c r="H219" s="6"/>
      <c r="I219" s="8"/>
      <c r="J219" s="8"/>
      <c r="K219" s="8"/>
      <c r="L219" s="4"/>
      <c r="M219" s="4"/>
      <c r="N219" s="4"/>
      <c r="O219" s="4"/>
      <c r="P219" s="4"/>
      <c r="Q219" s="7"/>
      <c r="R219" s="6"/>
      <c r="S219" s="5"/>
      <c r="T219" s="5"/>
      <c r="U219" s="4"/>
      <c r="V219" s="5"/>
      <c r="W219" s="4"/>
      <c r="X219" s="4"/>
      <c r="Y219" s="5"/>
      <c r="Z219" s="4"/>
      <c r="AA219" s="4"/>
      <c r="AB219" s="3"/>
      <c r="AC219" s="3"/>
      <c r="AD219" s="3"/>
      <c r="AE219" s="3"/>
    </row>
    <row r="220" spans="1:31" ht="13.5">
      <c r="A220" s="3"/>
      <c r="B220" s="4"/>
      <c r="C220" s="4"/>
      <c r="D220" s="4"/>
      <c r="E220" s="5"/>
      <c r="F220" s="8"/>
      <c r="G220" s="4"/>
      <c r="H220" s="6"/>
      <c r="I220" s="8"/>
      <c r="J220" s="8"/>
      <c r="K220" s="8"/>
      <c r="L220" s="4"/>
      <c r="M220" s="4"/>
      <c r="N220" s="4"/>
      <c r="O220" s="4"/>
      <c r="P220" s="4"/>
      <c r="Q220" s="7"/>
      <c r="R220" s="6"/>
      <c r="S220" s="5"/>
      <c r="T220" s="5"/>
      <c r="U220" s="4"/>
      <c r="V220" s="5"/>
      <c r="W220" s="4"/>
      <c r="X220" s="4"/>
      <c r="Y220" s="5"/>
      <c r="Z220" s="4"/>
      <c r="AA220" s="4"/>
      <c r="AB220" s="3"/>
      <c r="AC220" s="3"/>
      <c r="AD220" s="3"/>
      <c r="AE220" s="3"/>
    </row>
    <row r="221" spans="1:31" ht="13.5">
      <c r="A221" s="3"/>
      <c r="B221" s="4"/>
      <c r="C221" s="4"/>
      <c r="D221" s="4"/>
      <c r="E221" s="5"/>
      <c r="F221" s="8"/>
      <c r="G221" s="4"/>
      <c r="H221" s="6"/>
      <c r="I221" s="8"/>
      <c r="J221" s="8"/>
      <c r="K221" s="8"/>
      <c r="L221" s="4"/>
      <c r="M221" s="4"/>
      <c r="N221" s="4"/>
      <c r="O221" s="4"/>
      <c r="P221" s="4"/>
      <c r="Q221" s="7"/>
      <c r="R221" s="6"/>
      <c r="S221" s="5"/>
      <c r="T221" s="5"/>
      <c r="U221" s="4"/>
      <c r="V221" s="5"/>
      <c r="W221" s="4"/>
      <c r="X221" s="4"/>
      <c r="Y221" s="5"/>
      <c r="Z221" s="4"/>
      <c r="AA221" s="4"/>
      <c r="AB221" s="3"/>
      <c r="AC221" s="3"/>
      <c r="AD221" s="3"/>
      <c r="AE221" s="3"/>
    </row>
    <row r="222" spans="1:31" ht="13.5">
      <c r="A222" s="3"/>
      <c r="B222" s="4"/>
      <c r="C222" s="4"/>
      <c r="D222" s="4"/>
      <c r="E222" s="5"/>
      <c r="F222" s="8"/>
      <c r="G222" s="4"/>
      <c r="H222" s="6"/>
      <c r="I222" s="8"/>
      <c r="J222" s="8"/>
      <c r="K222" s="8"/>
      <c r="L222" s="4"/>
      <c r="M222" s="4"/>
      <c r="N222" s="4"/>
      <c r="O222" s="4"/>
      <c r="P222" s="4"/>
      <c r="Q222" s="7"/>
      <c r="R222" s="6"/>
      <c r="S222" s="5"/>
      <c r="T222" s="5"/>
      <c r="U222" s="4"/>
      <c r="V222" s="5"/>
      <c r="W222" s="4"/>
      <c r="X222" s="4"/>
      <c r="Y222" s="5"/>
      <c r="Z222" s="4"/>
      <c r="AA222" s="4"/>
      <c r="AB222" s="3"/>
      <c r="AC222" s="3"/>
      <c r="AD222" s="3"/>
      <c r="AE222" s="3"/>
    </row>
    <row r="223" spans="1:31" ht="13.5">
      <c r="A223" s="3"/>
      <c r="B223" s="4"/>
      <c r="C223" s="4"/>
      <c r="D223" s="4"/>
      <c r="E223" s="5"/>
      <c r="F223" s="8"/>
      <c r="G223" s="4"/>
      <c r="H223" s="6"/>
      <c r="I223" s="8"/>
      <c r="J223" s="8"/>
      <c r="K223" s="8"/>
      <c r="L223" s="4"/>
      <c r="M223" s="4"/>
      <c r="N223" s="4"/>
      <c r="O223" s="4"/>
      <c r="P223" s="4"/>
      <c r="Q223" s="7"/>
      <c r="R223" s="6"/>
      <c r="S223" s="5"/>
      <c r="T223" s="5"/>
      <c r="U223" s="4"/>
      <c r="V223" s="5"/>
      <c r="W223" s="4"/>
      <c r="X223" s="4"/>
      <c r="Y223" s="5"/>
      <c r="Z223" s="4"/>
      <c r="AA223" s="4"/>
      <c r="AB223" s="3"/>
      <c r="AC223" s="3"/>
      <c r="AD223" s="3"/>
      <c r="AE223" s="3"/>
    </row>
    <row r="224" spans="1:31" ht="13.5">
      <c r="A224" s="3"/>
      <c r="B224" s="4"/>
      <c r="C224" s="4"/>
      <c r="D224" s="4"/>
      <c r="E224" s="5"/>
      <c r="F224" s="8"/>
      <c r="G224" s="4"/>
      <c r="H224" s="6"/>
      <c r="I224" s="8"/>
      <c r="J224" s="8"/>
      <c r="K224" s="8"/>
      <c r="L224" s="4"/>
      <c r="M224" s="4"/>
      <c r="N224" s="4"/>
      <c r="O224" s="4"/>
      <c r="P224" s="4"/>
      <c r="Q224" s="7"/>
      <c r="R224" s="6"/>
      <c r="S224" s="5"/>
      <c r="T224" s="5"/>
      <c r="U224" s="4"/>
      <c r="V224" s="5"/>
      <c r="W224" s="4"/>
      <c r="X224" s="4"/>
      <c r="Y224" s="5"/>
      <c r="Z224" s="4"/>
      <c r="AA224" s="4"/>
      <c r="AB224" s="3"/>
      <c r="AC224" s="3"/>
      <c r="AD224" s="3"/>
      <c r="AE224" s="3"/>
    </row>
    <row r="225" spans="1:31" ht="13.5">
      <c r="A225" s="3"/>
      <c r="B225" s="4"/>
      <c r="C225" s="4"/>
      <c r="D225" s="4"/>
      <c r="E225" s="5"/>
      <c r="F225" s="8"/>
      <c r="G225" s="4"/>
      <c r="H225" s="6"/>
      <c r="I225" s="8"/>
      <c r="J225" s="8"/>
      <c r="K225" s="8"/>
      <c r="L225" s="4"/>
      <c r="M225" s="4"/>
      <c r="N225" s="4"/>
      <c r="O225" s="4"/>
      <c r="P225" s="4"/>
      <c r="Q225" s="7"/>
      <c r="R225" s="6"/>
      <c r="S225" s="5"/>
      <c r="T225" s="5"/>
      <c r="U225" s="4"/>
      <c r="V225" s="5"/>
      <c r="W225" s="4"/>
      <c r="X225" s="4"/>
      <c r="Y225" s="5"/>
      <c r="Z225" s="4"/>
      <c r="AA225" s="4"/>
      <c r="AB225" s="3"/>
      <c r="AC225" s="3"/>
      <c r="AD225" s="3"/>
      <c r="AE225" s="3"/>
    </row>
    <row r="226" spans="1:31" ht="13.5">
      <c r="A226" s="3"/>
      <c r="B226" s="4"/>
      <c r="C226" s="4"/>
      <c r="D226" s="4"/>
      <c r="E226" s="5"/>
      <c r="F226" s="8"/>
      <c r="G226" s="4"/>
      <c r="H226" s="6"/>
      <c r="I226" s="8"/>
      <c r="J226" s="8"/>
      <c r="K226" s="8"/>
      <c r="L226" s="4"/>
      <c r="M226" s="4"/>
      <c r="N226" s="4"/>
      <c r="O226" s="4"/>
      <c r="P226" s="4"/>
      <c r="Q226" s="7"/>
      <c r="R226" s="6"/>
      <c r="S226" s="5"/>
      <c r="T226" s="5"/>
      <c r="U226" s="4"/>
      <c r="V226" s="5"/>
      <c r="W226" s="4"/>
      <c r="X226" s="4"/>
      <c r="Y226" s="5"/>
      <c r="Z226" s="4"/>
      <c r="AA226" s="4"/>
      <c r="AB226" s="3"/>
      <c r="AC226" s="3"/>
      <c r="AD226" s="3"/>
      <c r="AE226" s="3"/>
    </row>
    <row r="227" spans="1:31" ht="13.5">
      <c r="A227" s="3"/>
      <c r="B227" s="4"/>
      <c r="C227" s="4"/>
      <c r="D227" s="4"/>
      <c r="E227" s="5"/>
      <c r="F227" s="8"/>
      <c r="G227" s="4"/>
      <c r="H227" s="6"/>
      <c r="I227" s="8"/>
      <c r="J227" s="8"/>
      <c r="K227" s="8"/>
      <c r="L227" s="4"/>
      <c r="M227" s="4"/>
      <c r="N227" s="4"/>
      <c r="O227" s="4"/>
      <c r="P227" s="4"/>
      <c r="Q227" s="7"/>
      <c r="R227" s="6"/>
      <c r="S227" s="5"/>
      <c r="T227" s="5"/>
      <c r="U227" s="4"/>
      <c r="V227" s="5"/>
      <c r="W227" s="4"/>
      <c r="X227" s="4"/>
      <c r="Y227" s="5"/>
      <c r="Z227" s="4"/>
      <c r="AA227" s="4"/>
      <c r="AB227" s="3"/>
      <c r="AC227" s="3"/>
      <c r="AD227" s="3"/>
      <c r="AE227" s="3"/>
    </row>
    <row r="228" spans="1:31" ht="13.5">
      <c r="A228" s="3"/>
      <c r="B228" s="4"/>
      <c r="C228" s="4"/>
      <c r="D228" s="4"/>
      <c r="E228" s="5"/>
      <c r="F228" s="8"/>
      <c r="G228" s="4"/>
      <c r="H228" s="6"/>
      <c r="I228" s="8"/>
      <c r="J228" s="8"/>
      <c r="K228" s="8"/>
      <c r="L228" s="4"/>
      <c r="M228" s="4"/>
      <c r="N228" s="4"/>
      <c r="O228" s="4"/>
      <c r="P228" s="4"/>
      <c r="Q228" s="7"/>
      <c r="R228" s="6"/>
      <c r="S228" s="5"/>
      <c r="T228" s="5"/>
      <c r="U228" s="4"/>
      <c r="V228" s="5"/>
      <c r="W228" s="4"/>
      <c r="X228" s="4"/>
      <c r="Y228" s="5"/>
      <c r="Z228" s="4"/>
      <c r="AA228" s="4"/>
      <c r="AB228" s="3"/>
      <c r="AC228" s="3"/>
      <c r="AD228" s="3"/>
      <c r="AE228" s="3"/>
    </row>
    <row r="229" spans="1:31" ht="13.5">
      <c r="A229" s="3"/>
      <c r="B229" s="4"/>
      <c r="C229" s="4"/>
      <c r="D229" s="4"/>
      <c r="E229" s="5"/>
      <c r="F229" s="8"/>
      <c r="G229" s="4"/>
      <c r="H229" s="6"/>
      <c r="I229" s="8"/>
      <c r="J229" s="8"/>
      <c r="K229" s="8"/>
      <c r="L229" s="4"/>
      <c r="M229" s="4"/>
      <c r="N229" s="4"/>
      <c r="O229" s="4"/>
      <c r="P229" s="4"/>
      <c r="Q229" s="7"/>
      <c r="R229" s="6"/>
      <c r="S229" s="5"/>
      <c r="T229" s="5"/>
      <c r="U229" s="4"/>
      <c r="V229" s="5"/>
      <c r="W229" s="4"/>
      <c r="X229" s="4"/>
      <c r="Y229" s="5"/>
      <c r="Z229" s="4"/>
      <c r="AA229" s="4"/>
      <c r="AB229" s="3"/>
      <c r="AC229" s="3"/>
      <c r="AD229" s="3"/>
      <c r="AE229" s="3"/>
    </row>
    <row r="230" spans="1:31" ht="13.5">
      <c r="A230" s="3"/>
      <c r="B230" s="4"/>
      <c r="C230" s="4"/>
      <c r="D230" s="4"/>
      <c r="E230" s="5"/>
      <c r="F230" s="8"/>
      <c r="G230" s="4"/>
      <c r="H230" s="6"/>
      <c r="I230" s="8"/>
      <c r="J230" s="8"/>
      <c r="K230" s="8"/>
      <c r="L230" s="4"/>
      <c r="M230" s="4"/>
      <c r="N230" s="4"/>
      <c r="O230" s="4"/>
      <c r="P230" s="4"/>
      <c r="Q230" s="7"/>
      <c r="R230" s="6"/>
      <c r="S230" s="5"/>
      <c r="T230" s="5"/>
      <c r="U230" s="4"/>
      <c r="V230" s="5"/>
      <c r="W230" s="4"/>
      <c r="X230" s="4"/>
      <c r="Y230" s="5"/>
      <c r="Z230" s="4"/>
      <c r="AA230" s="4"/>
      <c r="AB230" s="3"/>
      <c r="AC230" s="3"/>
      <c r="AD230" s="3"/>
      <c r="AE230" s="3"/>
    </row>
    <row r="231" spans="1:31" ht="13.5">
      <c r="A231" s="3"/>
      <c r="B231" s="4"/>
      <c r="C231" s="4"/>
      <c r="D231" s="4"/>
      <c r="E231" s="5"/>
      <c r="F231" s="8"/>
      <c r="G231" s="4"/>
      <c r="H231" s="6"/>
      <c r="I231" s="8"/>
      <c r="J231" s="8"/>
      <c r="K231" s="8"/>
      <c r="L231" s="4"/>
      <c r="M231" s="4"/>
      <c r="N231" s="4"/>
      <c r="O231" s="4"/>
      <c r="P231" s="4"/>
      <c r="Q231" s="7"/>
      <c r="R231" s="6"/>
      <c r="S231" s="5"/>
      <c r="T231" s="5"/>
      <c r="U231" s="4"/>
      <c r="V231" s="5"/>
      <c r="W231" s="4"/>
      <c r="X231" s="4"/>
      <c r="Y231" s="5"/>
      <c r="Z231" s="4"/>
      <c r="AA231" s="4"/>
      <c r="AB231" s="3"/>
      <c r="AC231" s="3"/>
      <c r="AD231" s="3"/>
      <c r="AE231" s="3"/>
    </row>
    <row r="232" spans="1:31" ht="13.5">
      <c r="A232" s="3"/>
      <c r="B232" s="4"/>
      <c r="C232" s="4"/>
      <c r="D232" s="4"/>
      <c r="E232" s="5"/>
      <c r="F232" s="8"/>
      <c r="G232" s="4"/>
      <c r="H232" s="6"/>
      <c r="I232" s="8"/>
      <c r="J232" s="8"/>
      <c r="K232" s="8"/>
      <c r="L232" s="4"/>
      <c r="M232" s="4"/>
      <c r="N232" s="4"/>
      <c r="O232" s="4"/>
      <c r="P232" s="4"/>
      <c r="Q232" s="7"/>
      <c r="R232" s="6"/>
      <c r="S232" s="5"/>
      <c r="T232" s="5"/>
      <c r="U232" s="4"/>
      <c r="V232" s="5"/>
      <c r="W232" s="4"/>
      <c r="X232" s="4"/>
      <c r="Y232" s="5"/>
      <c r="Z232" s="4"/>
      <c r="AA232" s="4"/>
      <c r="AB232" s="3"/>
      <c r="AC232" s="3"/>
      <c r="AD232" s="3"/>
      <c r="AE232" s="3"/>
    </row>
    <row r="233" spans="1:31" ht="13.5">
      <c r="A233" s="3"/>
      <c r="B233" s="4"/>
      <c r="C233" s="4"/>
      <c r="D233" s="4"/>
      <c r="E233" s="5"/>
      <c r="F233" s="8"/>
      <c r="G233" s="4"/>
      <c r="H233" s="6"/>
      <c r="I233" s="8"/>
      <c r="J233" s="8"/>
      <c r="K233" s="8"/>
      <c r="L233" s="4"/>
      <c r="M233" s="4"/>
      <c r="N233" s="4"/>
      <c r="O233" s="4"/>
      <c r="P233" s="4"/>
      <c r="Q233" s="7"/>
      <c r="R233" s="6"/>
      <c r="S233" s="5"/>
      <c r="T233" s="5"/>
      <c r="U233" s="4"/>
      <c r="V233" s="5"/>
      <c r="W233" s="4"/>
      <c r="X233" s="4"/>
      <c r="Y233" s="5"/>
      <c r="Z233" s="4"/>
      <c r="AA233" s="4"/>
      <c r="AB233" s="3"/>
      <c r="AC233" s="3"/>
      <c r="AD233" s="3"/>
      <c r="AE233" s="3"/>
    </row>
    <row r="234" spans="1:31" ht="13.5">
      <c r="A234" s="3"/>
      <c r="B234" s="4"/>
      <c r="C234" s="4"/>
      <c r="D234" s="4"/>
      <c r="E234" s="5"/>
      <c r="F234" s="8"/>
      <c r="G234" s="4"/>
      <c r="H234" s="6"/>
      <c r="I234" s="8"/>
      <c r="J234" s="8"/>
      <c r="K234" s="8"/>
      <c r="L234" s="4"/>
      <c r="M234" s="4"/>
      <c r="N234" s="4"/>
      <c r="O234" s="4"/>
      <c r="P234" s="4"/>
      <c r="Q234" s="7"/>
      <c r="R234" s="6"/>
      <c r="S234" s="5"/>
      <c r="T234" s="5"/>
      <c r="U234" s="4"/>
      <c r="V234" s="5"/>
      <c r="W234" s="4"/>
      <c r="X234" s="4"/>
      <c r="Y234" s="5"/>
      <c r="Z234" s="4"/>
      <c r="AA234" s="4"/>
      <c r="AB234" s="3"/>
      <c r="AC234" s="3"/>
      <c r="AD234" s="3"/>
      <c r="AE234" s="3"/>
    </row>
    <row r="235" spans="1:31" ht="13.5">
      <c r="A235" s="3"/>
      <c r="B235" s="4"/>
      <c r="C235" s="4"/>
      <c r="D235" s="4"/>
      <c r="E235" s="5"/>
      <c r="F235" s="8"/>
      <c r="G235" s="4"/>
      <c r="H235" s="6"/>
      <c r="I235" s="8"/>
      <c r="J235" s="8"/>
      <c r="K235" s="8"/>
      <c r="L235" s="4"/>
      <c r="M235" s="4"/>
      <c r="N235" s="4"/>
      <c r="O235" s="4"/>
      <c r="P235" s="4"/>
      <c r="Q235" s="7"/>
      <c r="R235" s="6"/>
      <c r="S235" s="5"/>
      <c r="T235" s="5"/>
      <c r="U235" s="4"/>
      <c r="V235" s="5"/>
      <c r="W235" s="4"/>
      <c r="X235" s="4"/>
      <c r="Y235" s="5"/>
      <c r="Z235" s="4"/>
      <c r="AA235" s="4"/>
      <c r="AB235" s="3"/>
      <c r="AC235" s="3"/>
      <c r="AD235" s="3"/>
      <c r="AE235" s="3"/>
    </row>
    <row r="236" spans="1:31" ht="13.5">
      <c r="A236" s="3"/>
      <c r="B236" s="4"/>
      <c r="C236" s="4"/>
      <c r="D236" s="4"/>
      <c r="E236" s="5"/>
      <c r="F236" s="8"/>
      <c r="G236" s="4"/>
      <c r="H236" s="6"/>
      <c r="I236" s="8"/>
      <c r="J236" s="8"/>
      <c r="K236" s="8"/>
      <c r="L236" s="4"/>
      <c r="M236" s="4"/>
      <c r="N236" s="4"/>
      <c r="O236" s="4"/>
      <c r="P236" s="4"/>
      <c r="Q236" s="7"/>
      <c r="R236" s="6"/>
      <c r="S236" s="5"/>
      <c r="T236" s="5"/>
      <c r="U236" s="4"/>
      <c r="V236" s="5"/>
      <c r="W236" s="4"/>
      <c r="X236" s="4"/>
      <c r="Y236" s="5"/>
      <c r="Z236" s="4"/>
      <c r="AA236" s="4"/>
      <c r="AB236" s="3"/>
      <c r="AC236" s="3"/>
      <c r="AD236" s="3"/>
      <c r="AE236" s="3"/>
    </row>
    <row r="237" spans="1:31" ht="13.5">
      <c r="A237" s="3"/>
      <c r="B237" s="4"/>
      <c r="C237" s="4"/>
      <c r="D237" s="4"/>
      <c r="E237" s="5"/>
      <c r="F237" s="8"/>
      <c r="G237" s="4"/>
      <c r="H237" s="6"/>
      <c r="I237" s="8"/>
      <c r="J237" s="8"/>
      <c r="K237" s="8"/>
      <c r="L237" s="4"/>
      <c r="M237" s="4"/>
      <c r="N237" s="4"/>
      <c r="O237" s="4"/>
      <c r="P237" s="4"/>
      <c r="Q237" s="7"/>
      <c r="R237" s="6"/>
      <c r="S237" s="5"/>
      <c r="T237" s="5"/>
      <c r="U237" s="4"/>
      <c r="V237" s="5"/>
      <c r="W237" s="4"/>
      <c r="X237" s="4"/>
      <c r="Y237" s="5"/>
      <c r="Z237" s="4"/>
      <c r="AA237" s="4"/>
      <c r="AB237" s="3"/>
      <c r="AC237" s="3"/>
      <c r="AD237" s="3"/>
      <c r="AE237" s="3"/>
    </row>
    <row r="238" spans="1:31" ht="13.5">
      <c r="A238" s="3"/>
      <c r="B238" s="4"/>
      <c r="C238" s="4"/>
      <c r="D238" s="4"/>
      <c r="E238" s="5"/>
      <c r="F238" s="8"/>
      <c r="G238" s="4"/>
      <c r="H238" s="6"/>
      <c r="I238" s="8"/>
      <c r="J238" s="8"/>
      <c r="K238" s="8"/>
      <c r="L238" s="4"/>
      <c r="M238" s="4"/>
      <c r="N238" s="4"/>
      <c r="O238" s="4"/>
      <c r="P238" s="4"/>
      <c r="Q238" s="7"/>
      <c r="R238" s="6"/>
      <c r="S238" s="5"/>
      <c r="T238" s="5"/>
      <c r="U238" s="4"/>
      <c r="V238" s="5"/>
      <c r="W238" s="4"/>
      <c r="X238" s="4"/>
      <c r="Y238" s="5"/>
      <c r="Z238" s="4"/>
      <c r="AA238" s="4"/>
      <c r="AB238" s="3"/>
      <c r="AC238" s="3"/>
      <c r="AD238" s="3"/>
      <c r="AE238" s="3"/>
    </row>
    <row r="239" spans="1:31" ht="13.5">
      <c r="A239" s="3"/>
      <c r="B239" s="4"/>
      <c r="C239" s="4"/>
      <c r="D239" s="4"/>
      <c r="E239" s="5"/>
      <c r="F239" s="8"/>
      <c r="G239" s="4"/>
      <c r="H239" s="6"/>
      <c r="I239" s="8"/>
      <c r="J239" s="8"/>
      <c r="K239" s="8"/>
      <c r="L239" s="4"/>
      <c r="M239" s="4"/>
      <c r="N239" s="4"/>
      <c r="O239" s="4"/>
      <c r="P239" s="4"/>
      <c r="Q239" s="7"/>
      <c r="R239" s="6"/>
      <c r="S239" s="5"/>
      <c r="T239" s="5"/>
      <c r="U239" s="4"/>
      <c r="V239" s="5"/>
      <c r="W239" s="4"/>
      <c r="X239" s="4"/>
      <c r="Y239" s="5"/>
      <c r="Z239" s="4"/>
      <c r="AA239" s="4"/>
      <c r="AB239" s="3"/>
      <c r="AC239" s="3"/>
      <c r="AD239" s="3"/>
      <c r="AE239" s="3"/>
    </row>
    <row r="240" spans="1:31" ht="13.5">
      <c r="A240" s="3"/>
      <c r="B240" s="4"/>
      <c r="C240" s="4"/>
      <c r="D240" s="4"/>
      <c r="E240" s="5"/>
      <c r="F240" s="8"/>
      <c r="G240" s="4"/>
      <c r="H240" s="6"/>
      <c r="I240" s="8"/>
      <c r="J240" s="8"/>
      <c r="K240" s="8"/>
      <c r="L240" s="4"/>
      <c r="M240" s="4"/>
      <c r="N240" s="4"/>
      <c r="O240" s="4"/>
      <c r="P240" s="4"/>
      <c r="Q240" s="7"/>
      <c r="R240" s="6"/>
      <c r="S240" s="5"/>
      <c r="T240" s="5"/>
      <c r="U240" s="4"/>
      <c r="V240" s="5"/>
      <c r="W240" s="4"/>
      <c r="X240" s="4"/>
      <c r="Y240" s="5"/>
      <c r="Z240" s="4"/>
      <c r="AA240" s="4"/>
      <c r="AB240" s="3"/>
      <c r="AC240" s="3"/>
      <c r="AD240" s="3"/>
      <c r="AE240" s="3"/>
    </row>
    <row r="241" spans="1:31" ht="13.5">
      <c r="A241" s="3"/>
      <c r="B241" s="4"/>
      <c r="C241" s="4"/>
      <c r="D241" s="4"/>
      <c r="E241" s="5"/>
      <c r="F241" s="8"/>
      <c r="G241" s="4"/>
      <c r="H241" s="6"/>
      <c r="I241" s="8"/>
      <c r="J241" s="8"/>
      <c r="K241" s="8"/>
      <c r="L241" s="4"/>
      <c r="M241" s="4"/>
      <c r="N241" s="4"/>
      <c r="O241" s="4"/>
      <c r="P241" s="4"/>
      <c r="Q241" s="7"/>
      <c r="R241" s="6"/>
      <c r="S241" s="5"/>
      <c r="T241" s="5"/>
      <c r="U241" s="4"/>
      <c r="V241" s="5"/>
      <c r="W241" s="4"/>
      <c r="X241" s="4"/>
      <c r="Y241" s="5"/>
      <c r="Z241" s="4"/>
      <c r="AA241" s="4"/>
      <c r="AB241" s="3"/>
      <c r="AC241" s="3"/>
      <c r="AD241" s="3"/>
      <c r="AE241" s="3"/>
    </row>
    <row r="242" spans="1:31" ht="13.5">
      <c r="A242" s="3"/>
      <c r="B242" s="4"/>
      <c r="C242" s="4"/>
      <c r="D242" s="4"/>
      <c r="E242" s="5"/>
      <c r="F242" s="8"/>
      <c r="G242" s="4"/>
      <c r="H242" s="6"/>
      <c r="I242" s="8"/>
      <c r="J242" s="8"/>
      <c r="K242" s="8"/>
      <c r="L242" s="4"/>
      <c r="M242" s="4"/>
      <c r="N242" s="4"/>
      <c r="O242" s="4"/>
      <c r="P242" s="4"/>
      <c r="Q242" s="7"/>
      <c r="R242" s="6"/>
      <c r="S242" s="5"/>
      <c r="T242" s="5"/>
      <c r="U242" s="4"/>
      <c r="V242" s="5"/>
      <c r="W242" s="4"/>
      <c r="X242" s="4"/>
      <c r="Y242" s="5"/>
      <c r="Z242" s="4"/>
      <c r="AA242" s="4"/>
      <c r="AB242" s="3"/>
      <c r="AC242" s="3"/>
      <c r="AD242" s="3"/>
      <c r="AE242" s="3"/>
    </row>
    <row r="243" spans="1:31" ht="13.5">
      <c r="A243" s="3"/>
      <c r="B243" s="4"/>
      <c r="C243" s="4"/>
      <c r="D243" s="4"/>
      <c r="E243" s="5"/>
      <c r="F243" s="8"/>
      <c r="G243" s="4"/>
      <c r="H243" s="6"/>
      <c r="I243" s="8"/>
      <c r="J243" s="8"/>
      <c r="K243" s="8"/>
      <c r="L243" s="4"/>
      <c r="M243" s="4"/>
      <c r="N243" s="4"/>
      <c r="O243" s="4"/>
      <c r="P243" s="4"/>
      <c r="Q243" s="7"/>
      <c r="R243" s="6"/>
      <c r="S243" s="5"/>
      <c r="T243" s="5"/>
      <c r="U243" s="4"/>
      <c r="V243" s="5"/>
      <c r="W243" s="4"/>
      <c r="X243" s="4"/>
      <c r="Y243" s="5"/>
      <c r="Z243" s="4"/>
      <c r="AA243" s="4"/>
      <c r="AB243" s="3"/>
      <c r="AC243" s="3"/>
      <c r="AD243" s="3"/>
      <c r="AE243" s="3"/>
    </row>
    <row r="244" spans="1:31" ht="13.5">
      <c r="A244" s="3"/>
      <c r="B244" s="4"/>
      <c r="C244" s="4"/>
      <c r="D244" s="4"/>
      <c r="E244" s="5"/>
      <c r="F244" s="8"/>
      <c r="G244" s="4"/>
      <c r="H244" s="6"/>
      <c r="I244" s="8"/>
      <c r="J244" s="8"/>
      <c r="K244" s="8"/>
      <c r="L244" s="4"/>
      <c r="M244" s="4"/>
      <c r="N244" s="4"/>
      <c r="O244" s="4"/>
      <c r="P244" s="4"/>
      <c r="Q244" s="7"/>
      <c r="R244" s="6"/>
      <c r="S244" s="5"/>
      <c r="T244" s="5"/>
      <c r="U244" s="4"/>
      <c r="V244" s="5"/>
      <c r="W244" s="4"/>
      <c r="X244" s="4"/>
      <c r="Y244" s="5"/>
      <c r="Z244" s="4"/>
      <c r="AA244" s="4"/>
      <c r="AB244" s="3"/>
      <c r="AC244" s="3"/>
      <c r="AD244" s="3"/>
      <c r="AE244" s="3"/>
    </row>
    <row r="245" spans="1:31" ht="13.5">
      <c r="A245" s="3"/>
      <c r="B245" s="4"/>
      <c r="C245" s="4"/>
      <c r="D245" s="4"/>
      <c r="E245" s="5"/>
      <c r="F245" s="8"/>
      <c r="G245" s="4"/>
      <c r="H245" s="6"/>
      <c r="I245" s="8"/>
      <c r="J245" s="8"/>
      <c r="K245" s="8"/>
      <c r="L245" s="4"/>
      <c r="M245" s="4"/>
      <c r="N245" s="4"/>
      <c r="O245" s="4"/>
      <c r="P245" s="4"/>
      <c r="Q245" s="7"/>
      <c r="R245" s="6"/>
      <c r="S245" s="5"/>
      <c r="T245" s="5"/>
      <c r="U245" s="4"/>
      <c r="V245" s="5"/>
      <c r="W245" s="4"/>
      <c r="X245" s="4"/>
      <c r="Y245" s="5"/>
      <c r="Z245" s="4"/>
      <c r="AA245" s="4"/>
      <c r="AB245" s="3"/>
      <c r="AC245" s="3"/>
      <c r="AD245" s="3"/>
      <c r="AE245" s="3"/>
    </row>
    <row r="246" spans="1:31" ht="13.5">
      <c r="A246" s="3"/>
      <c r="B246" s="4"/>
      <c r="C246" s="4"/>
      <c r="D246" s="4"/>
      <c r="E246" s="5"/>
      <c r="F246" s="8"/>
      <c r="G246" s="4"/>
      <c r="H246" s="6"/>
      <c r="I246" s="8"/>
      <c r="J246" s="8"/>
      <c r="K246" s="8"/>
      <c r="L246" s="4"/>
      <c r="M246" s="4"/>
      <c r="N246" s="4"/>
      <c r="O246" s="4"/>
      <c r="P246" s="4"/>
      <c r="Q246" s="7"/>
      <c r="R246" s="6"/>
      <c r="S246" s="5"/>
      <c r="T246" s="5"/>
      <c r="U246" s="4"/>
      <c r="V246" s="5"/>
      <c r="W246" s="4"/>
      <c r="X246" s="4"/>
      <c r="Y246" s="5"/>
      <c r="Z246" s="4"/>
      <c r="AA246" s="4"/>
      <c r="AB246" s="3"/>
      <c r="AC246" s="3"/>
      <c r="AD246" s="3"/>
      <c r="AE246" s="3"/>
    </row>
    <row r="247" spans="1:31" ht="13.5">
      <c r="A247" s="3"/>
      <c r="B247" s="4"/>
      <c r="C247" s="4"/>
      <c r="D247" s="4"/>
      <c r="E247" s="5"/>
      <c r="F247" s="8"/>
      <c r="G247" s="4"/>
      <c r="H247" s="6"/>
      <c r="I247" s="8"/>
      <c r="J247" s="8"/>
      <c r="K247" s="8"/>
      <c r="L247" s="4"/>
      <c r="M247" s="4"/>
      <c r="N247" s="4"/>
      <c r="O247" s="4"/>
      <c r="P247" s="4"/>
      <c r="Q247" s="7"/>
      <c r="R247" s="6"/>
      <c r="S247" s="5"/>
      <c r="T247" s="5"/>
      <c r="U247" s="4"/>
      <c r="V247" s="5"/>
      <c r="W247" s="4"/>
      <c r="X247" s="4"/>
      <c r="Y247" s="5"/>
      <c r="Z247" s="4"/>
      <c r="AA247" s="4"/>
      <c r="AB247" s="3"/>
      <c r="AC247" s="3"/>
      <c r="AD247" s="3"/>
      <c r="AE247" s="3"/>
    </row>
    <row r="248" spans="1:31" ht="13.5">
      <c r="A248" s="3"/>
      <c r="B248" s="4"/>
      <c r="C248" s="4"/>
      <c r="D248" s="4"/>
      <c r="E248" s="5"/>
      <c r="F248" s="8"/>
      <c r="G248" s="4"/>
      <c r="H248" s="6"/>
      <c r="I248" s="8"/>
      <c r="J248" s="8"/>
      <c r="K248" s="8"/>
      <c r="L248" s="4"/>
      <c r="M248" s="4"/>
      <c r="N248" s="4"/>
      <c r="O248" s="4"/>
      <c r="P248" s="4"/>
      <c r="Q248" s="7"/>
      <c r="R248" s="6"/>
      <c r="S248" s="5"/>
      <c r="T248" s="5"/>
      <c r="U248" s="4"/>
      <c r="V248" s="5"/>
      <c r="W248" s="4"/>
      <c r="X248" s="4"/>
      <c r="Y248" s="5"/>
      <c r="Z248" s="4"/>
      <c r="AA248" s="4"/>
      <c r="AB248" s="3"/>
      <c r="AC248" s="3"/>
      <c r="AD248" s="3"/>
      <c r="AE248" s="3"/>
    </row>
    <row r="249" spans="1:31" ht="13.5">
      <c r="A249" s="3"/>
      <c r="B249" s="4"/>
      <c r="C249" s="4"/>
      <c r="D249" s="4"/>
      <c r="E249" s="5"/>
      <c r="F249" s="8"/>
      <c r="G249" s="4"/>
      <c r="H249" s="6"/>
      <c r="I249" s="8"/>
      <c r="J249" s="8"/>
      <c r="K249" s="8"/>
      <c r="L249" s="4"/>
      <c r="M249" s="4"/>
      <c r="N249" s="4"/>
      <c r="O249" s="4"/>
      <c r="P249" s="4"/>
      <c r="Q249" s="7"/>
      <c r="R249" s="6"/>
      <c r="S249" s="5"/>
      <c r="T249" s="5"/>
      <c r="U249" s="4"/>
      <c r="V249" s="5"/>
      <c r="W249" s="4"/>
      <c r="X249" s="4"/>
      <c r="Y249" s="5"/>
      <c r="Z249" s="4"/>
      <c r="AA249" s="4"/>
      <c r="AB249" s="3"/>
      <c r="AC249" s="3"/>
      <c r="AD249" s="3"/>
      <c r="AE249" s="3"/>
    </row>
    <row r="250" spans="1:31" ht="13.5">
      <c r="A250" s="3"/>
      <c r="B250" s="4"/>
      <c r="C250" s="4"/>
      <c r="D250" s="4"/>
      <c r="E250" s="5"/>
      <c r="F250" s="8"/>
      <c r="G250" s="4"/>
      <c r="H250" s="6"/>
      <c r="I250" s="8"/>
      <c r="J250" s="8"/>
      <c r="K250" s="8"/>
      <c r="L250" s="4"/>
      <c r="M250" s="4"/>
      <c r="N250" s="4"/>
      <c r="O250" s="4"/>
      <c r="P250" s="4"/>
      <c r="Q250" s="7"/>
      <c r="R250" s="6"/>
      <c r="S250" s="5"/>
      <c r="T250" s="5"/>
      <c r="U250" s="4"/>
      <c r="V250" s="5"/>
      <c r="W250" s="4"/>
      <c r="X250" s="4"/>
      <c r="Y250" s="5"/>
      <c r="Z250" s="4"/>
      <c r="AA250" s="4"/>
      <c r="AB250" s="3"/>
      <c r="AC250" s="3"/>
      <c r="AD250" s="3"/>
      <c r="AE250" s="3"/>
    </row>
    <row r="251" spans="1:31" ht="13.5">
      <c r="A251" s="3"/>
      <c r="B251" s="4"/>
      <c r="C251" s="4"/>
      <c r="D251" s="4"/>
      <c r="E251" s="5"/>
      <c r="F251" s="8"/>
      <c r="G251" s="4"/>
      <c r="H251" s="6"/>
      <c r="I251" s="8"/>
      <c r="J251" s="8"/>
      <c r="K251" s="8"/>
      <c r="L251" s="4"/>
      <c r="M251" s="4"/>
      <c r="N251" s="4"/>
      <c r="O251" s="4"/>
      <c r="P251" s="4"/>
      <c r="Q251" s="7"/>
      <c r="R251" s="6"/>
      <c r="S251" s="5"/>
      <c r="T251" s="5"/>
      <c r="U251" s="4"/>
      <c r="V251" s="5"/>
      <c r="W251" s="4"/>
      <c r="X251" s="4"/>
      <c r="Y251" s="5"/>
      <c r="Z251" s="4"/>
      <c r="AA251" s="4"/>
      <c r="AB251" s="3"/>
      <c r="AC251" s="3"/>
      <c r="AD251" s="3"/>
      <c r="AE251" s="3"/>
    </row>
    <row r="252" spans="1:31" ht="13.5">
      <c r="A252" s="3"/>
      <c r="B252" s="4"/>
      <c r="C252" s="4"/>
      <c r="D252" s="4"/>
      <c r="E252" s="5"/>
      <c r="F252" s="8"/>
      <c r="G252" s="4"/>
      <c r="H252" s="6"/>
      <c r="I252" s="8"/>
      <c r="J252" s="8"/>
      <c r="K252" s="8"/>
      <c r="L252" s="4"/>
      <c r="M252" s="4"/>
      <c r="N252" s="4"/>
      <c r="O252" s="4"/>
      <c r="P252" s="4"/>
      <c r="Q252" s="7"/>
      <c r="R252" s="6"/>
      <c r="S252" s="5"/>
      <c r="T252" s="5"/>
      <c r="U252" s="4"/>
      <c r="V252" s="5"/>
      <c r="W252" s="4"/>
      <c r="X252" s="4"/>
      <c r="Y252" s="5"/>
      <c r="Z252" s="4"/>
      <c r="AA252" s="4"/>
      <c r="AB252" s="3"/>
      <c r="AC252" s="3"/>
      <c r="AD252" s="3"/>
      <c r="AE252" s="3"/>
    </row>
    <row r="253" spans="1:31" ht="13.5">
      <c r="A253" s="3"/>
      <c r="B253" s="4"/>
      <c r="C253" s="4"/>
      <c r="D253" s="4"/>
      <c r="E253" s="5"/>
      <c r="F253" s="8"/>
      <c r="G253" s="4"/>
      <c r="H253" s="6"/>
      <c r="I253" s="8"/>
      <c r="J253" s="8"/>
      <c r="K253" s="8"/>
      <c r="L253" s="4"/>
      <c r="M253" s="4"/>
      <c r="N253" s="4"/>
      <c r="O253" s="4"/>
      <c r="P253" s="4"/>
      <c r="Q253" s="7"/>
      <c r="R253" s="6"/>
      <c r="S253" s="5"/>
      <c r="T253" s="5"/>
      <c r="U253" s="4"/>
      <c r="V253" s="5"/>
      <c r="W253" s="4"/>
      <c r="X253" s="4"/>
      <c r="Y253" s="5"/>
      <c r="Z253" s="4"/>
      <c r="AA253" s="4"/>
      <c r="AB253" s="3"/>
      <c r="AC253" s="3"/>
      <c r="AD253" s="3"/>
      <c r="AE253" s="3"/>
    </row>
    <row r="254" spans="1:31" ht="13.5">
      <c r="A254" s="3"/>
      <c r="B254" s="4"/>
      <c r="C254" s="4"/>
      <c r="D254" s="4"/>
      <c r="E254" s="5"/>
      <c r="F254" s="8"/>
      <c r="G254" s="4"/>
      <c r="H254" s="6"/>
      <c r="I254" s="8"/>
      <c r="J254" s="8"/>
      <c r="K254" s="8"/>
      <c r="L254" s="4"/>
      <c r="M254" s="4"/>
      <c r="N254" s="4"/>
      <c r="O254" s="4"/>
      <c r="P254" s="4"/>
      <c r="Q254" s="7"/>
      <c r="R254" s="6"/>
      <c r="S254" s="5"/>
      <c r="T254" s="5"/>
      <c r="U254" s="4"/>
      <c r="V254" s="5"/>
      <c r="W254" s="4"/>
      <c r="X254" s="4"/>
      <c r="Y254" s="5"/>
      <c r="Z254" s="4"/>
      <c r="AA254" s="4"/>
      <c r="AB254" s="3"/>
      <c r="AC254" s="3"/>
      <c r="AD254" s="3"/>
      <c r="AE254" s="3"/>
    </row>
    <row r="255" spans="1:31" ht="13.5">
      <c r="A255" s="3"/>
      <c r="B255" s="4"/>
      <c r="C255" s="4"/>
      <c r="D255" s="4"/>
      <c r="E255" s="5"/>
      <c r="F255" s="8"/>
      <c r="G255" s="4"/>
      <c r="H255" s="6"/>
      <c r="I255" s="8"/>
      <c r="J255" s="8"/>
      <c r="K255" s="8"/>
      <c r="L255" s="4"/>
      <c r="M255" s="4"/>
      <c r="N255" s="4"/>
      <c r="O255" s="4"/>
      <c r="P255" s="4"/>
      <c r="Q255" s="7"/>
      <c r="R255" s="6"/>
      <c r="S255" s="5"/>
      <c r="T255" s="5"/>
      <c r="U255" s="4"/>
      <c r="V255" s="5"/>
      <c r="W255" s="4"/>
      <c r="X255" s="4"/>
      <c r="Y255" s="5"/>
      <c r="Z255" s="4"/>
      <c r="AA255" s="4"/>
      <c r="AB255" s="3"/>
      <c r="AC255" s="3"/>
      <c r="AD255" s="3"/>
      <c r="AE255" s="3"/>
    </row>
    <row r="256" spans="1:31" ht="13.5">
      <c r="A256" s="3"/>
      <c r="B256" s="4"/>
      <c r="C256" s="4"/>
      <c r="D256" s="4"/>
      <c r="E256" s="5"/>
      <c r="F256" s="8"/>
      <c r="G256" s="4"/>
      <c r="H256" s="6"/>
      <c r="I256" s="8"/>
      <c r="J256" s="8"/>
      <c r="K256" s="8"/>
      <c r="L256" s="4"/>
      <c r="M256" s="4"/>
      <c r="N256" s="4"/>
      <c r="O256" s="4"/>
      <c r="P256" s="4"/>
      <c r="Q256" s="7"/>
      <c r="R256" s="6"/>
      <c r="S256" s="5"/>
      <c r="T256" s="5"/>
      <c r="U256" s="4"/>
      <c r="V256" s="5"/>
      <c r="W256" s="4"/>
      <c r="X256" s="4"/>
      <c r="Y256" s="5"/>
      <c r="Z256" s="4"/>
      <c r="AA256" s="4"/>
      <c r="AB256" s="3"/>
      <c r="AC256" s="3"/>
      <c r="AD256" s="3"/>
      <c r="AE256" s="3"/>
    </row>
    <row r="257" spans="1:31" ht="13.5">
      <c r="A257" s="3"/>
      <c r="B257" s="4"/>
      <c r="C257" s="4"/>
      <c r="D257" s="4"/>
      <c r="E257" s="5"/>
      <c r="F257" s="8"/>
      <c r="G257" s="4"/>
      <c r="H257" s="6"/>
      <c r="I257" s="8"/>
      <c r="J257" s="8"/>
      <c r="K257" s="8"/>
      <c r="L257" s="4"/>
      <c r="M257" s="4"/>
      <c r="N257" s="4"/>
      <c r="O257" s="4"/>
      <c r="P257" s="4"/>
      <c r="Q257" s="7"/>
      <c r="R257" s="6"/>
      <c r="S257" s="5"/>
      <c r="T257" s="5"/>
      <c r="U257" s="4"/>
      <c r="V257" s="5"/>
      <c r="W257" s="4"/>
      <c r="X257" s="4"/>
      <c r="Y257" s="5"/>
      <c r="Z257" s="4"/>
      <c r="AA257" s="4"/>
      <c r="AB257" s="3"/>
      <c r="AC257" s="3"/>
      <c r="AD257" s="3"/>
      <c r="AE257" s="3"/>
    </row>
    <row r="258" spans="1:31" ht="13.5">
      <c r="A258" s="3"/>
      <c r="B258" s="4"/>
      <c r="C258" s="4"/>
      <c r="D258" s="4"/>
      <c r="E258" s="5"/>
      <c r="F258" s="8"/>
      <c r="G258" s="4"/>
      <c r="H258" s="6"/>
      <c r="I258" s="8"/>
      <c r="J258" s="8"/>
      <c r="K258" s="8"/>
      <c r="L258" s="4"/>
      <c r="M258" s="4"/>
      <c r="N258" s="4"/>
      <c r="O258" s="4"/>
      <c r="P258" s="4"/>
      <c r="Q258" s="7"/>
      <c r="R258" s="6"/>
      <c r="S258" s="5"/>
      <c r="T258" s="5"/>
      <c r="U258" s="4"/>
      <c r="V258" s="5"/>
      <c r="W258" s="4"/>
      <c r="X258" s="4"/>
      <c r="Y258" s="5"/>
      <c r="Z258" s="4"/>
      <c r="AA258" s="4"/>
      <c r="AB258" s="3"/>
      <c r="AC258" s="3"/>
      <c r="AD258" s="3"/>
      <c r="AE258" s="3"/>
    </row>
    <row r="259" spans="1:31" ht="13.5">
      <c r="A259" s="3"/>
      <c r="B259" s="4"/>
      <c r="C259" s="4"/>
      <c r="D259" s="4"/>
      <c r="E259" s="5"/>
      <c r="F259" s="8"/>
      <c r="G259" s="4"/>
      <c r="H259" s="6"/>
      <c r="I259" s="8"/>
      <c r="J259" s="8"/>
      <c r="K259" s="8"/>
      <c r="L259" s="4"/>
      <c r="M259" s="4"/>
      <c r="N259" s="4"/>
      <c r="O259" s="4"/>
      <c r="P259" s="4"/>
      <c r="Q259" s="7"/>
      <c r="R259" s="6"/>
      <c r="S259" s="5"/>
      <c r="T259" s="5"/>
      <c r="U259" s="4"/>
      <c r="V259" s="5"/>
      <c r="W259" s="4"/>
      <c r="X259" s="4"/>
      <c r="Y259" s="5"/>
      <c r="Z259" s="4"/>
      <c r="AA259" s="4"/>
      <c r="AB259" s="3"/>
      <c r="AC259" s="3"/>
      <c r="AD259" s="3"/>
      <c r="AE259" s="3"/>
    </row>
    <row r="260" spans="1:31" ht="13.5">
      <c r="A260" s="3"/>
      <c r="B260" s="4"/>
      <c r="C260" s="4"/>
      <c r="D260" s="4"/>
      <c r="E260" s="5"/>
      <c r="F260" s="8"/>
      <c r="G260" s="4"/>
      <c r="H260" s="6"/>
      <c r="I260" s="8"/>
      <c r="J260" s="8"/>
      <c r="K260" s="8"/>
      <c r="L260" s="4"/>
      <c r="M260" s="4"/>
      <c r="N260" s="4"/>
      <c r="O260" s="4"/>
      <c r="P260" s="4"/>
      <c r="Q260" s="7"/>
      <c r="R260" s="6"/>
      <c r="S260" s="5"/>
      <c r="T260" s="5"/>
      <c r="U260" s="4"/>
      <c r="V260" s="5"/>
      <c r="W260" s="4"/>
      <c r="X260" s="4"/>
      <c r="Y260" s="5"/>
      <c r="Z260" s="4"/>
      <c r="AA260" s="4"/>
      <c r="AB260" s="3"/>
      <c r="AC260" s="3"/>
      <c r="AD260" s="3"/>
      <c r="AE260" s="3"/>
    </row>
    <row r="261" spans="1:31" ht="13.5">
      <c r="A261" s="3"/>
      <c r="B261" s="4"/>
      <c r="C261" s="4"/>
      <c r="D261" s="4"/>
      <c r="E261" s="5"/>
      <c r="F261" s="8"/>
      <c r="G261" s="4"/>
      <c r="H261" s="6"/>
      <c r="I261" s="8"/>
      <c r="J261" s="8"/>
      <c r="K261" s="8"/>
      <c r="L261" s="4"/>
      <c r="M261" s="4"/>
      <c r="N261" s="4"/>
      <c r="O261" s="4"/>
      <c r="P261" s="4"/>
      <c r="Q261" s="7"/>
      <c r="R261" s="6"/>
      <c r="S261" s="5"/>
      <c r="T261" s="5"/>
      <c r="U261" s="4"/>
      <c r="V261" s="5"/>
      <c r="W261" s="4"/>
      <c r="X261" s="4"/>
      <c r="Y261" s="5"/>
      <c r="Z261" s="4"/>
      <c r="AA261" s="4"/>
      <c r="AB261" s="3"/>
      <c r="AC261" s="3"/>
      <c r="AD261" s="3"/>
      <c r="AE261" s="3"/>
    </row>
    <row r="262" spans="1:31" ht="13.5">
      <c r="A262" s="3"/>
      <c r="B262" s="4"/>
      <c r="C262" s="4"/>
      <c r="D262" s="4"/>
      <c r="E262" s="5"/>
      <c r="F262" s="8"/>
      <c r="G262" s="4"/>
      <c r="H262" s="6"/>
      <c r="I262" s="8"/>
      <c r="J262" s="8"/>
      <c r="K262" s="8"/>
      <c r="L262" s="4"/>
      <c r="M262" s="4"/>
      <c r="N262" s="4"/>
      <c r="O262" s="4"/>
      <c r="P262" s="4"/>
      <c r="Q262" s="7"/>
      <c r="R262" s="6"/>
      <c r="S262" s="5"/>
      <c r="T262" s="5"/>
      <c r="U262" s="4"/>
      <c r="V262" s="5"/>
      <c r="W262" s="4"/>
      <c r="X262" s="4"/>
      <c r="Y262" s="5"/>
      <c r="Z262" s="4"/>
      <c r="AA262" s="4"/>
      <c r="AB262" s="3"/>
      <c r="AC262" s="3"/>
      <c r="AD262" s="3"/>
      <c r="AE262" s="3"/>
    </row>
    <row r="263" spans="1:31" ht="13.5">
      <c r="A263" s="3"/>
      <c r="B263" s="4"/>
      <c r="C263" s="4"/>
      <c r="D263" s="4"/>
      <c r="E263" s="5"/>
      <c r="F263" s="8"/>
      <c r="G263" s="4"/>
      <c r="H263" s="6"/>
      <c r="I263" s="8"/>
      <c r="J263" s="8"/>
      <c r="K263" s="8"/>
      <c r="L263" s="4"/>
      <c r="M263" s="4"/>
      <c r="N263" s="4"/>
      <c r="O263" s="4"/>
      <c r="P263" s="4"/>
      <c r="Q263" s="7"/>
      <c r="R263" s="6"/>
      <c r="S263" s="5"/>
      <c r="T263" s="5"/>
      <c r="U263" s="4"/>
      <c r="V263" s="5"/>
      <c r="W263" s="4"/>
      <c r="X263" s="4"/>
      <c r="Y263" s="5"/>
      <c r="Z263" s="4"/>
      <c r="AA263" s="4"/>
      <c r="AB263" s="3"/>
      <c r="AC263" s="3"/>
      <c r="AD263" s="3"/>
      <c r="AE263" s="3"/>
    </row>
    <row r="264" spans="1:31" ht="13.5">
      <c r="A264" s="3"/>
      <c r="B264" s="4"/>
      <c r="C264" s="4"/>
      <c r="D264" s="4"/>
      <c r="E264" s="5"/>
      <c r="F264" s="8"/>
      <c r="G264" s="4"/>
      <c r="H264" s="6"/>
      <c r="I264" s="8"/>
      <c r="J264" s="8"/>
      <c r="K264" s="8"/>
      <c r="L264" s="4"/>
      <c r="M264" s="4"/>
      <c r="N264" s="4"/>
      <c r="O264" s="4"/>
      <c r="P264" s="4"/>
      <c r="Q264" s="7"/>
      <c r="R264" s="6"/>
      <c r="S264" s="5"/>
      <c r="T264" s="5"/>
      <c r="U264" s="4"/>
      <c r="V264" s="5"/>
      <c r="W264" s="4"/>
      <c r="X264" s="4"/>
      <c r="Y264" s="5"/>
      <c r="Z264" s="4"/>
      <c r="AA264" s="4"/>
      <c r="AB264" s="3"/>
      <c r="AC264" s="3"/>
      <c r="AD264" s="3"/>
      <c r="AE264" s="3"/>
    </row>
    <row r="265" spans="1:31" ht="13.5">
      <c r="A265" s="3"/>
      <c r="B265" s="4"/>
      <c r="C265" s="4"/>
      <c r="D265" s="4"/>
      <c r="E265" s="5"/>
      <c r="F265" s="8"/>
      <c r="G265" s="4"/>
      <c r="H265" s="6"/>
      <c r="I265" s="8"/>
      <c r="J265" s="8"/>
      <c r="K265" s="8"/>
      <c r="L265" s="4"/>
      <c r="M265" s="4"/>
      <c r="N265" s="4"/>
      <c r="O265" s="4"/>
      <c r="P265" s="4"/>
      <c r="Q265" s="7"/>
      <c r="R265" s="6"/>
      <c r="S265" s="5"/>
      <c r="T265" s="5"/>
      <c r="U265" s="4"/>
      <c r="V265" s="5"/>
      <c r="W265" s="4"/>
      <c r="X265" s="4"/>
      <c r="Y265" s="5"/>
      <c r="Z265" s="4"/>
      <c r="AA265" s="4"/>
      <c r="AB265" s="3"/>
      <c r="AC265" s="3"/>
      <c r="AD265" s="3"/>
      <c r="AE265" s="3"/>
    </row>
    <row r="266" spans="1:31" ht="13.5">
      <c r="A266" s="3"/>
      <c r="B266" s="4"/>
      <c r="C266" s="4"/>
      <c r="D266" s="4"/>
      <c r="E266" s="5"/>
      <c r="F266" s="8"/>
      <c r="G266" s="4"/>
      <c r="H266" s="6"/>
      <c r="I266" s="8"/>
      <c r="J266" s="8"/>
      <c r="K266" s="8"/>
      <c r="L266" s="4"/>
      <c r="M266" s="4"/>
      <c r="N266" s="4"/>
      <c r="O266" s="4"/>
      <c r="P266" s="4"/>
      <c r="Q266" s="7"/>
      <c r="R266" s="6"/>
      <c r="S266" s="5"/>
      <c r="T266" s="5"/>
      <c r="U266" s="4"/>
      <c r="V266" s="5"/>
      <c r="W266" s="4"/>
      <c r="X266" s="4"/>
      <c r="Y266" s="5"/>
      <c r="Z266" s="4"/>
      <c r="AA266" s="4"/>
      <c r="AB266" s="3"/>
      <c r="AC266" s="3"/>
      <c r="AD266" s="3"/>
      <c r="AE266" s="3"/>
    </row>
    <row r="267" spans="1:31" ht="13.5">
      <c r="A267" s="3"/>
      <c r="B267" s="4"/>
      <c r="C267" s="4"/>
      <c r="D267" s="4"/>
      <c r="E267" s="5"/>
      <c r="F267" s="8"/>
      <c r="G267" s="4"/>
      <c r="H267" s="6"/>
      <c r="I267" s="8"/>
      <c r="J267" s="8"/>
      <c r="K267" s="8"/>
      <c r="L267" s="4"/>
      <c r="M267" s="4"/>
      <c r="N267" s="4"/>
      <c r="O267" s="4"/>
      <c r="P267" s="4"/>
      <c r="Q267" s="7"/>
      <c r="R267" s="6"/>
      <c r="S267" s="5"/>
      <c r="T267" s="5"/>
      <c r="U267" s="4"/>
      <c r="V267" s="5"/>
      <c r="W267" s="4"/>
      <c r="X267" s="4"/>
      <c r="Y267" s="5"/>
      <c r="Z267" s="4"/>
      <c r="AA267" s="4"/>
      <c r="AB267" s="3"/>
      <c r="AC267" s="3"/>
      <c r="AD267" s="3"/>
      <c r="AE267" s="3"/>
    </row>
    <row r="268" spans="1:31" ht="13.5">
      <c r="A268" s="3"/>
      <c r="B268" s="4"/>
      <c r="C268" s="4"/>
      <c r="D268" s="4"/>
      <c r="E268" s="5"/>
      <c r="F268" s="8"/>
      <c r="G268" s="4"/>
      <c r="H268" s="6"/>
      <c r="I268" s="8"/>
      <c r="J268" s="8"/>
      <c r="K268" s="8"/>
      <c r="L268" s="4"/>
      <c r="M268" s="4"/>
      <c r="N268" s="4"/>
      <c r="O268" s="4"/>
      <c r="P268" s="4"/>
      <c r="Q268" s="7"/>
      <c r="R268" s="6"/>
      <c r="S268" s="5"/>
      <c r="T268" s="5"/>
      <c r="U268" s="4"/>
      <c r="V268" s="5"/>
      <c r="W268" s="4"/>
      <c r="X268" s="4"/>
      <c r="Y268" s="5"/>
      <c r="Z268" s="4"/>
      <c r="AA268" s="4"/>
      <c r="AB268" s="3"/>
      <c r="AC268" s="3"/>
      <c r="AD268" s="3"/>
      <c r="AE268" s="3"/>
    </row>
    <row r="269" spans="1:31" ht="13.5">
      <c r="A269" s="3"/>
      <c r="B269" s="4"/>
      <c r="C269" s="4"/>
      <c r="D269" s="4"/>
      <c r="E269" s="5"/>
      <c r="F269" s="8"/>
      <c r="G269" s="4"/>
      <c r="H269" s="6"/>
      <c r="I269" s="8"/>
      <c r="J269" s="8"/>
      <c r="K269" s="8"/>
      <c r="L269" s="4"/>
      <c r="M269" s="4"/>
      <c r="N269" s="4"/>
      <c r="O269" s="4"/>
      <c r="P269" s="4"/>
      <c r="Q269" s="7"/>
      <c r="R269" s="6"/>
      <c r="S269" s="5"/>
      <c r="T269" s="5"/>
      <c r="U269" s="4"/>
      <c r="V269" s="5"/>
      <c r="W269" s="4"/>
      <c r="X269" s="4"/>
      <c r="Y269" s="5"/>
      <c r="Z269" s="4"/>
      <c r="AA269" s="4"/>
      <c r="AB269" s="3"/>
      <c r="AC269" s="3"/>
      <c r="AD269" s="3"/>
      <c r="AE269" s="3"/>
    </row>
    <row r="270" spans="1:31" ht="13.5">
      <c r="A270" s="3"/>
      <c r="B270" s="4"/>
      <c r="C270" s="4"/>
      <c r="D270" s="4"/>
      <c r="E270" s="5"/>
      <c r="F270" s="8"/>
      <c r="G270" s="4"/>
      <c r="H270" s="6"/>
      <c r="I270" s="8"/>
      <c r="J270" s="8"/>
      <c r="K270" s="8"/>
      <c r="L270" s="4"/>
      <c r="M270" s="4"/>
      <c r="N270" s="4"/>
      <c r="O270" s="4"/>
      <c r="P270" s="4"/>
      <c r="Q270" s="7"/>
      <c r="R270" s="6"/>
      <c r="S270" s="5"/>
      <c r="T270" s="5"/>
      <c r="U270" s="4"/>
      <c r="V270" s="5"/>
      <c r="W270" s="4"/>
      <c r="X270" s="4"/>
      <c r="Y270" s="5"/>
      <c r="Z270" s="4"/>
      <c r="AA270" s="4"/>
      <c r="AB270" s="3"/>
      <c r="AC270" s="3"/>
      <c r="AD270" s="3"/>
      <c r="AE270" s="3"/>
    </row>
    <row r="271" spans="1:31" ht="13.5">
      <c r="A271" s="3"/>
      <c r="B271" s="4"/>
      <c r="C271" s="4"/>
      <c r="D271" s="4"/>
      <c r="E271" s="5"/>
      <c r="F271" s="8"/>
      <c r="G271" s="4"/>
      <c r="H271" s="6"/>
      <c r="I271" s="8"/>
      <c r="J271" s="8"/>
      <c r="K271" s="8"/>
      <c r="L271" s="4"/>
      <c r="M271" s="4"/>
      <c r="N271" s="4"/>
      <c r="O271" s="4"/>
      <c r="P271" s="4"/>
      <c r="Q271" s="7"/>
      <c r="R271" s="6"/>
      <c r="S271" s="5"/>
      <c r="T271" s="5"/>
      <c r="U271" s="4"/>
      <c r="V271" s="5"/>
      <c r="W271" s="4"/>
      <c r="X271" s="4"/>
      <c r="Y271" s="5"/>
      <c r="Z271" s="4"/>
      <c r="AA271" s="4"/>
      <c r="AB271" s="3"/>
      <c r="AC271" s="3"/>
      <c r="AD271" s="3"/>
      <c r="AE271" s="3"/>
    </row>
    <row r="272" spans="1:31" ht="13.5">
      <c r="A272" s="3"/>
      <c r="B272" s="4"/>
      <c r="C272" s="4"/>
      <c r="D272" s="4"/>
      <c r="E272" s="5"/>
      <c r="F272" s="8"/>
      <c r="G272" s="4"/>
      <c r="H272" s="6"/>
      <c r="I272" s="8"/>
      <c r="J272" s="8"/>
      <c r="K272" s="8"/>
      <c r="L272" s="4"/>
      <c r="M272" s="4"/>
      <c r="N272" s="4"/>
      <c r="O272" s="4"/>
      <c r="P272" s="4"/>
      <c r="Q272" s="7"/>
      <c r="R272" s="6"/>
      <c r="S272" s="5"/>
      <c r="T272" s="5"/>
      <c r="U272" s="4"/>
      <c r="V272" s="5"/>
      <c r="W272" s="4"/>
      <c r="X272" s="4"/>
      <c r="Y272" s="5"/>
      <c r="Z272" s="4"/>
      <c r="AA272" s="4"/>
      <c r="AB272" s="3"/>
      <c r="AC272" s="3"/>
      <c r="AD272" s="3"/>
      <c r="AE272" s="3"/>
    </row>
    <row r="273" spans="1:31" ht="13.5">
      <c r="A273" s="3"/>
      <c r="B273" s="4"/>
      <c r="C273" s="4"/>
      <c r="D273" s="4"/>
      <c r="E273" s="5"/>
      <c r="F273" s="8"/>
      <c r="G273" s="4"/>
      <c r="H273" s="6"/>
      <c r="I273" s="8"/>
      <c r="J273" s="8"/>
      <c r="K273" s="8"/>
      <c r="L273" s="4"/>
      <c r="M273" s="4"/>
      <c r="N273" s="4"/>
      <c r="O273" s="4"/>
      <c r="P273" s="4"/>
      <c r="Q273" s="7"/>
      <c r="R273" s="6"/>
      <c r="S273" s="5"/>
      <c r="T273" s="5"/>
      <c r="U273" s="4"/>
      <c r="V273" s="5"/>
      <c r="W273" s="4"/>
      <c r="X273" s="4"/>
      <c r="Y273" s="5"/>
      <c r="Z273" s="4"/>
      <c r="AA273" s="4"/>
      <c r="AB273" s="3"/>
      <c r="AC273" s="3"/>
      <c r="AD273" s="3"/>
      <c r="AE273" s="3"/>
    </row>
    <row r="274" spans="1:31" ht="13.5">
      <c r="A274" s="3"/>
      <c r="B274" s="4"/>
      <c r="C274" s="4"/>
      <c r="D274" s="4"/>
      <c r="E274" s="5"/>
      <c r="F274" s="8"/>
      <c r="G274" s="4"/>
      <c r="H274" s="6"/>
      <c r="I274" s="8"/>
      <c r="J274" s="8"/>
      <c r="K274" s="8"/>
      <c r="L274" s="4"/>
      <c r="M274" s="4"/>
      <c r="N274" s="4"/>
      <c r="O274" s="4"/>
      <c r="P274" s="4"/>
      <c r="Q274" s="7"/>
      <c r="R274" s="6"/>
      <c r="S274" s="5"/>
      <c r="T274" s="5"/>
      <c r="U274" s="4"/>
      <c r="V274" s="5"/>
      <c r="W274" s="4"/>
      <c r="X274" s="4"/>
      <c r="Y274" s="5"/>
      <c r="Z274" s="4"/>
      <c r="AA274" s="4"/>
      <c r="AB274" s="3"/>
      <c r="AC274" s="3"/>
      <c r="AD274" s="3"/>
      <c r="AE274" s="3"/>
    </row>
    <row r="275" spans="1:31" ht="13.5">
      <c r="A275" s="3"/>
      <c r="B275" s="4"/>
      <c r="C275" s="4"/>
      <c r="D275" s="4"/>
      <c r="E275" s="5"/>
      <c r="F275" s="8"/>
      <c r="G275" s="4"/>
      <c r="H275" s="6"/>
      <c r="I275" s="8"/>
      <c r="J275" s="8"/>
      <c r="K275" s="8"/>
      <c r="L275" s="4"/>
      <c r="M275" s="4"/>
      <c r="N275" s="4"/>
      <c r="O275" s="4"/>
      <c r="P275" s="4"/>
      <c r="Q275" s="7"/>
      <c r="R275" s="6"/>
      <c r="S275" s="5"/>
      <c r="T275" s="5"/>
      <c r="U275" s="4"/>
      <c r="V275" s="5"/>
      <c r="W275" s="4"/>
      <c r="X275" s="4"/>
      <c r="Y275" s="5"/>
      <c r="Z275" s="4"/>
      <c r="AA275" s="4"/>
      <c r="AB275" s="3"/>
      <c r="AC275" s="3"/>
      <c r="AD275" s="3"/>
      <c r="AE275" s="3"/>
    </row>
    <row r="276" spans="1:31" ht="13.5">
      <c r="A276" s="3"/>
      <c r="B276" s="4"/>
      <c r="C276" s="4"/>
      <c r="D276" s="4"/>
      <c r="E276" s="5"/>
      <c r="F276" s="8"/>
      <c r="G276" s="4"/>
      <c r="H276" s="6"/>
      <c r="I276" s="8"/>
      <c r="J276" s="8"/>
      <c r="K276" s="8"/>
      <c r="L276" s="4"/>
      <c r="M276" s="4"/>
      <c r="N276" s="4"/>
      <c r="O276" s="4"/>
      <c r="P276" s="4"/>
      <c r="Q276" s="7"/>
      <c r="R276" s="6"/>
      <c r="S276" s="5"/>
      <c r="T276" s="5"/>
      <c r="U276" s="4"/>
      <c r="V276" s="5"/>
      <c r="W276" s="4"/>
      <c r="X276" s="4"/>
      <c r="Y276" s="5"/>
      <c r="Z276" s="4"/>
      <c r="AA276" s="4"/>
      <c r="AB276" s="3"/>
      <c r="AC276" s="3"/>
      <c r="AD276" s="3"/>
      <c r="AE276" s="3"/>
    </row>
    <row r="277" spans="1:31" ht="13.5">
      <c r="A277" s="3"/>
      <c r="B277" s="4"/>
      <c r="C277" s="4"/>
      <c r="D277" s="4"/>
      <c r="E277" s="5"/>
      <c r="F277" s="8"/>
      <c r="G277" s="4"/>
      <c r="H277" s="6"/>
      <c r="I277" s="8"/>
      <c r="J277" s="8"/>
      <c r="K277" s="8"/>
      <c r="L277" s="4"/>
      <c r="M277" s="4"/>
      <c r="N277" s="4"/>
      <c r="O277" s="4"/>
      <c r="P277" s="4"/>
      <c r="Q277" s="7"/>
      <c r="R277" s="6"/>
      <c r="S277" s="5"/>
      <c r="T277" s="5"/>
      <c r="U277" s="4"/>
      <c r="V277" s="5"/>
      <c r="W277" s="4"/>
      <c r="X277" s="4"/>
      <c r="Y277" s="5"/>
      <c r="Z277" s="4"/>
      <c r="AA277" s="4"/>
      <c r="AB277" s="3"/>
      <c r="AC277" s="3"/>
      <c r="AD277" s="3"/>
      <c r="AE277" s="3"/>
    </row>
    <row r="278" spans="1:31" ht="13.5">
      <c r="A278" s="3"/>
      <c r="B278" s="4"/>
      <c r="C278" s="4"/>
      <c r="D278" s="4"/>
      <c r="E278" s="5"/>
      <c r="F278" s="8"/>
      <c r="G278" s="4"/>
      <c r="H278" s="6"/>
      <c r="I278" s="8"/>
      <c r="J278" s="8"/>
      <c r="K278" s="8"/>
      <c r="L278" s="4"/>
      <c r="M278" s="4"/>
      <c r="N278" s="4"/>
      <c r="O278" s="4"/>
      <c r="P278" s="4"/>
      <c r="Q278" s="7"/>
      <c r="R278" s="6"/>
      <c r="S278" s="5"/>
      <c r="T278" s="5"/>
      <c r="U278" s="4"/>
      <c r="V278" s="5"/>
      <c r="W278" s="4"/>
      <c r="X278" s="4"/>
      <c r="Y278" s="5"/>
      <c r="Z278" s="4"/>
      <c r="AA278" s="4"/>
      <c r="AB278" s="3"/>
      <c r="AC278" s="3"/>
      <c r="AD278" s="3"/>
      <c r="AE278" s="3"/>
    </row>
    <row r="279" spans="1:31" ht="13.5">
      <c r="A279" s="3"/>
      <c r="B279" s="4"/>
      <c r="C279" s="4"/>
      <c r="D279" s="4"/>
      <c r="E279" s="5"/>
      <c r="F279" s="8"/>
      <c r="G279" s="4"/>
      <c r="H279" s="6"/>
      <c r="I279" s="8"/>
      <c r="J279" s="8"/>
      <c r="K279" s="8"/>
      <c r="L279" s="4"/>
      <c r="M279" s="4"/>
      <c r="N279" s="4"/>
      <c r="O279" s="4"/>
      <c r="P279" s="4"/>
      <c r="Q279" s="7"/>
      <c r="R279" s="6"/>
      <c r="S279" s="5"/>
      <c r="T279" s="5"/>
      <c r="U279" s="4"/>
      <c r="V279" s="5"/>
      <c r="W279" s="4"/>
      <c r="X279" s="4"/>
      <c r="Y279" s="5"/>
      <c r="Z279" s="4"/>
      <c r="AA279" s="4"/>
      <c r="AB279" s="3"/>
      <c r="AC279" s="3"/>
      <c r="AD279" s="3"/>
      <c r="AE279" s="3"/>
    </row>
    <row r="280" spans="1:31" ht="13.5">
      <c r="A280" s="3"/>
      <c r="B280" s="4"/>
      <c r="C280" s="4"/>
      <c r="D280" s="4"/>
      <c r="E280" s="5"/>
      <c r="F280" s="8"/>
      <c r="G280" s="4"/>
      <c r="H280" s="6"/>
      <c r="I280" s="8"/>
      <c r="J280" s="8"/>
      <c r="K280" s="8"/>
      <c r="L280" s="4"/>
      <c r="M280" s="4"/>
      <c r="N280" s="4"/>
      <c r="O280" s="4"/>
      <c r="P280" s="4"/>
      <c r="Q280" s="7"/>
      <c r="R280" s="6"/>
      <c r="S280" s="5"/>
      <c r="T280" s="5"/>
      <c r="U280" s="4"/>
      <c r="V280" s="5"/>
      <c r="W280" s="4"/>
      <c r="X280" s="4"/>
      <c r="Y280" s="5"/>
      <c r="Z280" s="4"/>
      <c r="AA280" s="4"/>
      <c r="AB280" s="3"/>
      <c r="AC280" s="3"/>
      <c r="AD280" s="3"/>
      <c r="AE280" s="3"/>
    </row>
    <row r="281" spans="1:31" ht="13.5">
      <c r="A281" s="3"/>
      <c r="B281" s="4"/>
      <c r="C281" s="4"/>
      <c r="D281" s="4"/>
      <c r="E281" s="5"/>
      <c r="F281" s="8"/>
      <c r="G281" s="4"/>
      <c r="H281" s="6"/>
      <c r="I281" s="8"/>
      <c r="J281" s="8"/>
      <c r="K281" s="8"/>
      <c r="L281" s="4"/>
      <c r="M281" s="4"/>
      <c r="N281" s="4"/>
      <c r="O281" s="4"/>
      <c r="P281" s="4"/>
      <c r="Q281" s="7"/>
      <c r="R281" s="6"/>
      <c r="S281" s="5"/>
      <c r="T281" s="5"/>
      <c r="U281" s="4"/>
      <c r="V281" s="5"/>
      <c r="W281" s="4"/>
      <c r="X281" s="4"/>
      <c r="Y281" s="5"/>
      <c r="Z281" s="4"/>
      <c r="AA281" s="4"/>
      <c r="AB281" s="3"/>
      <c r="AC281" s="3"/>
      <c r="AD281" s="3"/>
      <c r="AE281" s="3"/>
    </row>
    <row r="282" spans="1:31" ht="13.5">
      <c r="A282" s="3"/>
      <c r="B282" s="4"/>
      <c r="C282" s="4"/>
      <c r="D282" s="4"/>
      <c r="E282" s="5"/>
      <c r="F282" s="8"/>
      <c r="G282" s="4"/>
      <c r="H282" s="6"/>
      <c r="I282" s="8"/>
      <c r="J282" s="8"/>
      <c r="K282" s="8"/>
      <c r="L282" s="4"/>
      <c r="M282" s="4"/>
      <c r="N282" s="4"/>
      <c r="O282" s="4"/>
      <c r="P282" s="4"/>
      <c r="Q282" s="7"/>
      <c r="R282" s="6"/>
      <c r="S282" s="5"/>
      <c r="T282" s="5"/>
      <c r="U282" s="4"/>
      <c r="V282" s="5"/>
      <c r="W282" s="4"/>
      <c r="X282" s="4"/>
      <c r="Y282" s="5"/>
      <c r="Z282" s="4"/>
      <c r="AA282" s="4"/>
      <c r="AB282" s="3"/>
      <c r="AC282" s="3"/>
      <c r="AD282" s="3"/>
      <c r="AE282" s="3"/>
    </row>
    <row r="283" spans="1:31" ht="13.5">
      <c r="A283" s="3"/>
      <c r="B283" s="4"/>
      <c r="C283" s="4"/>
      <c r="D283" s="4"/>
      <c r="E283" s="5"/>
      <c r="F283" s="8"/>
      <c r="G283" s="4"/>
      <c r="H283" s="6"/>
      <c r="I283" s="8"/>
      <c r="J283" s="8"/>
      <c r="K283" s="8"/>
      <c r="L283" s="4"/>
      <c r="M283" s="4"/>
      <c r="N283" s="4"/>
      <c r="O283" s="4"/>
      <c r="P283" s="4"/>
      <c r="Q283" s="7"/>
      <c r="R283" s="6"/>
      <c r="S283" s="5"/>
      <c r="T283" s="5"/>
      <c r="U283" s="4"/>
      <c r="V283" s="5"/>
      <c r="W283" s="4"/>
      <c r="X283" s="4"/>
      <c r="Y283" s="5"/>
      <c r="Z283" s="4"/>
      <c r="AA283" s="4"/>
      <c r="AB283" s="3"/>
      <c r="AC283" s="3"/>
      <c r="AD283" s="3"/>
      <c r="AE283" s="3"/>
    </row>
    <row r="284" spans="1:31" ht="13.5">
      <c r="A284" s="3"/>
      <c r="B284" s="4"/>
      <c r="C284" s="4"/>
      <c r="D284" s="4"/>
      <c r="E284" s="5"/>
      <c r="F284" s="8"/>
      <c r="G284" s="4"/>
      <c r="H284" s="6"/>
      <c r="I284" s="8"/>
      <c r="J284" s="8"/>
      <c r="K284" s="8"/>
      <c r="L284" s="4"/>
      <c r="M284" s="4"/>
      <c r="N284" s="4"/>
      <c r="O284" s="4"/>
      <c r="P284" s="4"/>
      <c r="Q284" s="7"/>
      <c r="R284" s="6"/>
      <c r="S284" s="5"/>
      <c r="T284" s="5"/>
      <c r="U284" s="4"/>
      <c r="V284" s="5"/>
      <c r="W284" s="4"/>
      <c r="X284" s="4"/>
      <c r="Y284" s="5"/>
      <c r="Z284" s="4"/>
      <c r="AA284" s="4"/>
      <c r="AB284" s="3"/>
      <c r="AC284" s="3"/>
      <c r="AD284" s="3"/>
      <c r="AE284" s="3"/>
    </row>
    <row r="285" spans="1:31" ht="13.5">
      <c r="A285" s="3"/>
      <c r="B285" s="4"/>
      <c r="C285" s="4"/>
      <c r="D285" s="4"/>
      <c r="E285" s="5"/>
      <c r="F285" s="8"/>
      <c r="G285" s="4"/>
      <c r="H285" s="6"/>
      <c r="I285" s="8"/>
      <c r="J285" s="8"/>
      <c r="K285" s="8"/>
      <c r="L285" s="4"/>
      <c r="M285" s="4"/>
      <c r="N285" s="4"/>
      <c r="O285" s="4"/>
      <c r="P285" s="4"/>
      <c r="Q285" s="7"/>
      <c r="R285" s="6"/>
      <c r="S285" s="5"/>
      <c r="T285" s="5"/>
      <c r="U285" s="4"/>
      <c r="V285" s="5"/>
      <c r="W285" s="4"/>
      <c r="X285" s="4"/>
      <c r="Y285" s="5"/>
      <c r="Z285" s="4"/>
      <c r="AA285" s="4"/>
      <c r="AB285" s="3"/>
      <c r="AC285" s="3"/>
      <c r="AD285" s="3"/>
      <c r="AE285" s="3"/>
    </row>
    <row r="286" spans="1:31" ht="13.5">
      <c r="A286" s="3"/>
      <c r="B286" s="4"/>
      <c r="C286" s="4"/>
      <c r="D286" s="4"/>
      <c r="E286" s="5"/>
      <c r="F286" s="8"/>
      <c r="G286" s="4"/>
      <c r="H286" s="6"/>
      <c r="I286" s="8"/>
      <c r="J286" s="8"/>
      <c r="K286" s="8"/>
      <c r="L286" s="4"/>
      <c r="M286" s="4"/>
      <c r="N286" s="4"/>
      <c r="O286" s="4"/>
      <c r="P286" s="4"/>
      <c r="Q286" s="7"/>
      <c r="R286" s="6"/>
      <c r="S286" s="5"/>
      <c r="T286" s="5"/>
      <c r="U286" s="4"/>
      <c r="V286" s="5"/>
      <c r="W286" s="4"/>
      <c r="X286" s="4"/>
      <c r="Y286" s="5"/>
      <c r="Z286" s="4"/>
      <c r="AA286" s="4"/>
      <c r="AB286" s="3"/>
      <c r="AC286" s="3"/>
      <c r="AD286" s="3"/>
      <c r="AE286" s="3"/>
    </row>
    <row r="287" spans="1:31" ht="13.5">
      <c r="A287" s="3"/>
      <c r="B287" s="4"/>
      <c r="C287" s="4"/>
      <c r="D287" s="4"/>
      <c r="E287" s="5"/>
      <c r="F287" s="8"/>
      <c r="G287" s="4"/>
      <c r="H287" s="6"/>
      <c r="I287" s="8"/>
      <c r="J287" s="8"/>
      <c r="K287" s="8"/>
      <c r="L287" s="4"/>
      <c r="M287" s="4"/>
      <c r="N287" s="4"/>
      <c r="O287" s="4"/>
      <c r="P287" s="4"/>
      <c r="Q287" s="7"/>
      <c r="R287" s="6"/>
      <c r="S287" s="5"/>
      <c r="T287" s="5"/>
      <c r="U287" s="4"/>
      <c r="V287" s="5"/>
      <c r="W287" s="4"/>
      <c r="X287" s="4"/>
      <c r="Y287" s="5"/>
      <c r="Z287" s="4"/>
      <c r="AA287" s="4"/>
      <c r="AB287" s="3"/>
      <c r="AC287" s="3"/>
      <c r="AD287" s="3"/>
      <c r="AE287" s="3"/>
    </row>
    <row r="288" spans="1:31" ht="13.5">
      <c r="A288" s="3"/>
      <c r="B288" s="4"/>
      <c r="C288" s="4"/>
      <c r="D288" s="4"/>
      <c r="E288" s="5"/>
      <c r="F288" s="8"/>
      <c r="G288" s="4"/>
      <c r="H288" s="6"/>
      <c r="I288" s="8"/>
      <c r="J288" s="8"/>
      <c r="K288" s="8"/>
      <c r="L288" s="4"/>
      <c r="M288" s="4"/>
      <c r="N288" s="4"/>
      <c r="O288" s="4"/>
      <c r="P288" s="4"/>
      <c r="Q288" s="7"/>
      <c r="R288" s="6"/>
      <c r="S288" s="5"/>
      <c r="T288" s="5"/>
      <c r="U288" s="4"/>
      <c r="V288" s="5"/>
      <c r="W288" s="4"/>
      <c r="X288" s="4"/>
      <c r="Y288" s="5"/>
      <c r="Z288" s="4"/>
      <c r="AA288" s="4"/>
      <c r="AB288" s="3"/>
      <c r="AC288" s="3"/>
      <c r="AD288" s="3"/>
      <c r="AE288" s="3"/>
    </row>
    <row r="289" spans="1:31" ht="13.5">
      <c r="A289" s="3"/>
      <c r="B289" s="4"/>
      <c r="C289" s="4"/>
      <c r="D289" s="4"/>
      <c r="E289" s="5"/>
      <c r="F289" s="8"/>
      <c r="G289" s="4"/>
      <c r="H289" s="6"/>
      <c r="I289" s="8"/>
      <c r="J289" s="8"/>
      <c r="K289" s="8"/>
      <c r="L289" s="4"/>
      <c r="M289" s="4"/>
      <c r="N289" s="4"/>
      <c r="O289" s="4"/>
      <c r="P289" s="4"/>
      <c r="Q289" s="7"/>
      <c r="R289" s="6"/>
      <c r="S289" s="5"/>
      <c r="T289" s="5"/>
      <c r="U289" s="4"/>
      <c r="V289" s="5"/>
      <c r="W289" s="4"/>
      <c r="X289" s="4"/>
      <c r="Y289" s="5"/>
      <c r="Z289" s="4"/>
      <c r="AA289" s="4"/>
      <c r="AB289" s="3"/>
      <c r="AC289" s="3"/>
      <c r="AD289" s="3"/>
      <c r="AE289" s="3"/>
    </row>
    <row r="290" spans="1:31" ht="13.5">
      <c r="A290" s="3"/>
      <c r="B290" s="4"/>
      <c r="C290" s="4"/>
      <c r="D290" s="4"/>
      <c r="E290" s="5"/>
      <c r="F290" s="8"/>
      <c r="G290" s="4"/>
      <c r="H290" s="6"/>
      <c r="I290" s="8"/>
      <c r="J290" s="8"/>
      <c r="K290" s="8"/>
      <c r="L290" s="4"/>
      <c r="M290" s="4"/>
      <c r="N290" s="4"/>
      <c r="O290" s="4"/>
      <c r="P290" s="4"/>
      <c r="Q290" s="7"/>
      <c r="R290" s="6"/>
      <c r="S290" s="5"/>
      <c r="T290" s="5"/>
      <c r="U290" s="4"/>
      <c r="V290" s="5"/>
      <c r="W290" s="4"/>
      <c r="X290" s="4"/>
      <c r="Y290" s="5"/>
      <c r="Z290" s="4"/>
      <c r="AA290" s="4"/>
      <c r="AB290" s="3"/>
      <c r="AC290" s="3"/>
      <c r="AD290" s="3"/>
      <c r="AE290" s="3"/>
    </row>
    <row r="291" spans="1:31" ht="13.5">
      <c r="A291" s="3"/>
      <c r="B291" s="4"/>
      <c r="C291" s="4"/>
      <c r="D291" s="4"/>
      <c r="E291" s="5"/>
      <c r="F291" s="8"/>
      <c r="G291" s="4"/>
      <c r="H291" s="6"/>
      <c r="I291" s="8"/>
      <c r="J291" s="8"/>
      <c r="K291" s="8"/>
      <c r="L291" s="4"/>
      <c r="M291" s="4"/>
      <c r="N291" s="4"/>
      <c r="O291" s="4"/>
      <c r="P291" s="4"/>
      <c r="Q291" s="7"/>
      <c r="R291" s="6"/>
      <c r="S291" s="5"/>
      <c r="T291" s="5"/>
      <c r="U291" s="4"/>
      <c r="V291" s="5"/>
      <c r="W291" s="4"/>
      <c r="X291" s="4"/>
      <c r="Y291" s="5"/>
      <c r="Z291" s="4"/>
      <c r="AA291" s="4"/>
      <c r="AB291" s="3"/>
      <c r="AC291" s="3"/>
      <c r="AD291" s="3"/>
      <c r="AE291" s="3"/>
    </row>
    <row r="292" spans="1:31" ht="13.5">
      <c r="A292" s="3"/>
      <c r="B292" s="4"/>
      <c r="C292" s="4"/>
      <c r="D292" s="4"/>
      <c r="E292" s="5"/>
      <c r="F292" s="8"/>
      <c r="G292" s="4"/>
      <c r="H292" s="6"/>
      <c r="I292" s="8"/>
      <c r="J292" s="8"/>
      <c r="K292" s="8"/>
      <c r="L292" s="4"/>
      <c r="M292" s="4"/>
      <c r="N292" s="4"/>
      <c r="O292" s="4"/>
      <c r="P292" s="4"/>
      <c r="Q292" s="7"/>
      <c r="R292" s="6"/>
      <c r="S292" s="5"/>
      <c r="T292" s="5"/>
      <c r="U292" s="4"/>
      <c r="V292" s="5"/>
      <c r="W292" s="4"/>
      <c r="X292" s="4"/>
      <c r="Y292" s="5"/>
      <c r="Z292" s="4"/>
      <c r="AA292" s="4"/>
      <c r="AB292" s="3"/>
      <c r="AC292" s="3"/>
      <c r="AD292" s="3"/>
      <c r="AE292" s="3"/>
    </row>
    <row r="293" spans="1:31" ht="13.5">
      <c r="A293" s="3"/>
      <c r="B293" s="4"/>
      <c r="C293" s="4"/>
      <c r="D293" s="4"/>
      <c r="E293" s="5"/>
      <c r="F293" s="8"/>
      <c r="G293" s="4"/>
      <c r="H293" s="6"/>
      <c r="I293" s="8"/>
      <c r="J293" s="8"/>
      <c r="K293" s="8"/>
      <c r="L293" s="4"/>
      <c r="M293" s="4"/>
      <c r="N293" s="4"/>
      <c r="O293" s="4"/>
      <c r="P293" s="4"/>
      <c r="Q293" s="7"/>
      <c r="R293" s="6"/>
      <c r="S293" s="5"/>
      <c r="T293" s="5"/>
      <c r="U293" s="4"/>
      <c r="V293" s="5"/>
      <c r="W293" s="4"/>
      <c r="X293" s="4"/>
      <c r="Y293" s="5"/>
      <c r="Z293" s="4"/>
      <c r="AA293" s="4"/>
      <c r="AB293" s="3"/>
      <c r="AC293" s="3"/>
      <c r="AD293" s="3"/>
      <c r="AE293" s="3"/>
    </row>
    <row r="294" spans="1:31" ht="13.5">
      <c r="A294" s="3"/>
      <c r="B294" s="4"/>
      <c r="C294" s="4"/>
      <c r="D294" s="4"/>
      <c r="E294" s="5"/>
      <c r="F294" s="8"/>
      <c r="G294" s="4"/>
      <c r="H294" s="6"/>
      <c r="I294" s="8"/>
      <c r="J294" s="8"/>
      <c r="K294" s="8"/>
      <c r="L294" s="4"/>
      <c r="M294" s="4"/>
      <c r="N294" s="4"/>
      <c r="O294" s="4"/>
      <c r="P294" s="4"/>
      <c r="Q294" s="7"/>
      <c r="R294" s="6"/>
      <c r="S294" s="5"/>
      <c r="T294" s="5"/>
      <c r="U294" s="4"/>
      <c r="V294" s="5"/>
      <c r="W294" s="4"/>
      <c r="X294" s="4"/>
      <c r="Y294" s="5"/>
      <c r="Z294" s="4"/>
      <c r="AA294" s="4"/>
      <c r="AB294" s="3"/>
      <c r="AC294" s="3"/>
      <c r="AD294" s="3"/>
      <c r="AE294" s="3"/>
    </row>
    <row r="295" spans="1:31" ht="13.5">
      <c r="A295" s="3"/>
      <c r="B295" s="4"/>
      <c r="C295" s="4"/>
      <c r="D295" s="4"/>
      <c r="E295" s="5"/>
      <c r="F295" s="8"/>
      <c r="G295" s="4"/>
      <c r="H295" s="6"/>
      <c r="I295" s="8"/>
      <c r="J295" s="8"/>
      <c r="K295" s="8"/>
      <c r="L295" s="4"/>
      <c r="M295" s="4"/>
      <c r="N295" s="4"/>
      <c r="O295" s="4"/>
      <c r="P295" s="4"/>
      <c r="Q295" s="7"/>
      <c r="R295" s="6"/>
      <c r="S295" s="5"/>
      <c r="T295" s="5"/>
      <c r="U295" s="4"/>
      <c r="V295" s="5"/>
      <c r="W295" s="4"/>
      <c r="X295" s="4"/>
      <c r="Y295" s="5"/>
      <c r="Z295" s="4"/>
      <c r="AA295" s="4"/>
      <c r="AB295" s="3"/>
      <c r="AC295" s="3"/>
      <c r="AD295" s="3"/>
      <c r="AE295" s="3"/>
    </row>
    <row r="296" spans="1:31" ht="13.5">
      <c r="A296" s="3"/>
      <c r="B296" s="4"/>
      <c r="C296" s="4"/>
      <c r="D296" s="4"/>
      <c r="E296" s="5"/>
      <c r="F296" s="8"/>
      <c r="G296" s="4"/>
      <c r="H296" s="6"/>
      <c r="I296" s="8"/>
      <c r="J296" s="8"/>
      <c r="K296" s="8"/>
      <c r="L296" s="4"/>
      <c r="M296" s="4"/>
      <c r="N296" s="4"/>
      <c r="O296" s="4"/>
      <c r="P296" s="4"/>
      <c r="Q296" s="7"/>
      <c r="R296" s="6"/>
      <c r="S296" s="5"/>
      <c r="T296" s="5"/>
      <c r="U296" s="4"/>
      <c r="V296" s="5"/>
      <c r="W296" s="4"/>
      <c r="X296" s="4"/>
      <c r="Y296" s="5"/>
      <c r="Z296" s="4"/>
      <c r="AA296" s="4"/>
      <c r="AB296" s="3"/>
      <c r="AC296" s="3"/>
      <c r="AD296" s="3"/>
      <c r="AE296" s="3"/>
    </row>
    <row r="297" spans="1:31" ht="13.5">
      <c r="A297" s="3"/>
      <c r="B297" s="4"/>
      <c r="C297" s="4"/>
      <c r="D297" s="4"/>
      <c r="E297" s="5"/>
      <c r="F297" s="8"/>
      <c r="G297" s="4"/>
      <c r="H297" s="6"/>
      <c r="I297" s="8"/>
      <c r="J297" s="8"/>
      <c r="K297" s="8"/>
      <c r="L297" s="4"/>
      <c r="M297" s="4"/>
      <c r="N297" s="4"/>
      <c r="O297" s="4"/>
      <c r="P297" s="4"/>
      <c r="Q297" s="7"/>
      <c r="R297" s="6"/>
      <c r="S297" s="5"/>
      <c r="T297" s="5"/>
      <c r="U297" s="4"/>
      <c r="V297" s="5"/>
      <c r="W297" s="4"/>
      <c r="X297" s="4"/>
      <c r="Y297" s="5"/>
      <c r="Z297" s="4"/>
      <c r="AA297" s="4"/>
      <c r="AB297" s="3"/>
      <c r="AC297" s="3"/>
      <c r="AD297" s="3"/>
      <c r="AE297" s="3"/>
    </row>
    <row r="298" spans="1:31" ht="13.5">
      <c r="A298" s="3"/>
      <c r="B298" s="4"/>
      <c r="C298" s="4"/>
      <c r="D298" s="4"/>
      <c r="E298" s="5"/>
      <c r="F298" s="8"/>
      <c r="G298" s="4"/>
      <c r="H298" s="6"/>
      <c r="I298" s="8"/>
      <c r="J298" s="8"/>
      <c r="K298" s="8"/>
      <c r="L298" s="4"/>
      <c r="M298" s="4"/>
      <c r="N298" s="4"/>
      <c r="O298" s="4"/>
      <c r="P298" s="4"/>
      <c r="Q298" s="7"/>
      <c r="R298" s="6"/>
      <c r="S298" s="5"/>
      <c r="T298" s="5"/>
      <c r="U298" s="4"/>
      <c r="V298" s="5"/>
      <c r="W298" s="4"/>
      <c r="X298" s="4"/>
      <c r="Y298" s="5"/>
      <c r="Z298" s="4"/>
      <c r="AA298" s="4"/>
      <c r="AB298" s="3"/>
      <c r="AC298" s="3"/>
      <c r="AD298" s="3"/>
      <c r="AE298" s="3"/>
    </row>
    <row r="299" spans="1:31" ht="13.5">
      <c r="A299" s="3"/>
      <c r="B299" s="4"/>
      <c r="C299" s="4"/>
      <c r="D299" s="4"/>
      <c r="E299" s="5"/>
      <c r="F299" s="8"/>
      <c r="G299" s="4"/>
      <c r="H299" s="6"/>
      <c r="I299" s="8"/>
      <c r="J299" s="8"/>
      <c r="K299" s="8"/>
      <c r="L299" s="4"/>
      <c r="M299" s="4"/>
      <c r="N299" s="4"/>
      <c r="O299" s="4"/>
      <c r="P299" s="4"/>
      <c r="Q299" s="7"/>
      <c r="R299" s="6"/>
      <c r="S299" s="5"/>
      <c r="T299" s="5"/>
      <c r="U299" s="4"/>
      <c r="V299" s="5"/>
      <c r="W299" s="4"/>
      <c r="X299" s="4"/>
      <c r="Y299" s="5"/>
      <c r="Z299" s="4"/>
      <c r="AA299" s="4"/>
      <c r="AB299" s="3"/>
      <c r="AC299" s="3"/>
      <c r="AD299" s="3"/>
      <c r="AE299" s="3"/>
    </row>
    <row r="300" spans="1:31" ht="13.5">
      <c r="A300" s="3"/>
      <c r="B300" s="4"/>
      <c r="C300" s="4"/>
      <c r="D300" s="4"/>
      <c r="E300" s="5"/>
      <c r="F300" s="8"/>
      <c r="G300" s="4"/>
      <c r="H300" s="6"/>
      <c r="I300" s="8"/>
      <c r="J300" s="8"/>
      <c r="K300" s="8"/>
      <c r="L300" s="4"/>
      <c r="M300" s="4"/>
      <c r="N300" s="4"/>
      <c r="O300" s="4"/>
      <c r="P300" s="4"/>
      <c r="Q300" s="7"/>
      <c r="R300" s="6"/>
      <c r="S300" s="5"/>
      <c r="T300" s="5"/>
      <c r="U300" s="4"/>
      <c r="V300" s="5"/>
      <c r="W300" s="4"/>
      <c r="X300" s="4"/>
      <c r="Y300" s="5"/>
      <c r="Z300" s="4"/>
      <c r="AA300" s="4"/>
      <c r="AB300" s="3"/>
      <c r="AC300" s="3"/>
      <c r="AD300" s="3"/>
      <c r="AE300" s="3"/>
    </row>
    <row r="301" spans="1:31" ht="13.5">
      <c r="A301" s="3"/>
      <c r="B301" s="4"/>
      <c r="C301" s="4"/>
      <c r="D301" s="4"/>
      <c r="E301" s="5"/>
      <c r="F301" s="8"/>
      <c r="G301" s="4"/>
      <c r="H301" s="6"/>
      <c r="I301" s="8"/>
      <c r="J301" s="8"/>
      <c r="K301" s="8"/>
      <c r="L301" s="4"/>
      <c r="M301" s="4"/>
      <c r="N301" s="4"/>
      <c r="O301" s="4"/>
      <c r="P301" s="4"/>
      <c r="Q301" s="7"/>
      <c r="R301" s="6"/>
      <c r="S301" s="5"/>
      <c r="T301" s="5"/>
      <c r="U301" s="4"/>
      <c r="V301" s="5"/>
      <c r="W301" s="4"/>
      <c r="X301" s="4"/>
      <c r="Y301" s="5"/>
      <c r="Z301" s="4"/>
      <c r="AA301" s="4"/>
      <c r="AB301" s="3"/>
      <c r="AC301" s="3"/>
      <c r="AD301" s="3"/>
      <c r="AE301" s="3"/>
    </row>
    <row r="302" spans="1:31" ht="13.5">
      <c r="A302" s="3"/>
      <c r="B302" s="4"/>
      <c r="C302" s="4"/>
      <c r="D302" s="4"/>
      <c r="E302" s="5"/>
      <c r="F302" s="8"/>
      <c r="G302" s="4"/>
      <c r="H302" s="6"/>
      <c r="I302" s="8"/>
      <c r="J302" s="8"/>
      <c r="K302" s="8"/>
      <c r="L302" s="4"/>
      <c r="M302" s="4"/>
      <c r="N302" s="4"/>
      <c r="O302" s="4"/>
      <c r="P302" s="4"/>
      <c r="Q302" s="7"/>
      <c r="R302" s="6"/>
      <c r="S302" s="5"/>
      <c r="T302" s="5"/>
      <c r="U302" s="4"/>
      <c r="V302" s="5"/>
      <c r="W302" s="4"/>
      <c r="X302" s="4"/>
      <c r="Y302" s="5"/>
      <c r="Z302" s="4"/>
      <c r="AA302" s="4"/>
      <c r="AB302" s="3"/>
      <c r="AC302" s="3"/>
      <c r="AD302" s="3"/>
      <c r="AE302" s="3"/>
    </row>
    <row r="303" spans="1:31" ht="13.5">
      <c r="A303" s="3"/>
      <c r="B303" s="4"/>
      <c r="C303" s="4"/>
      <c r="D303" s="4"/>
      <c r="E303" s="5"/>
      <c r="F303" s="8"/>
      <c r="G303" s="4"/>
      <c r="H303" s="6"/>
      <c r="I303" s="8"/>
      <c r="J303" s="8"/>
      <c r="K303" s="8"/>
      <c r="L303" s="4"/>
      <c r="M303" s="4"/>
      <c r="N303" s="4"/>
      <c r="O303" s="4"/>
      <c r="P303" s="4"/>
      <c r="Q303" s="7"/>
      <c r="R303" s="6"/>
      <c r="S303" s="5"/>
      <c r="T303" s="5"/>
      <c r="U303" s="4"/>
      <c r="V303" s="5"/>
      <c r="W303" s="4"/>
      <c r="X303" s="4"/>
      <c r="Y303" s="5"/>
      <c r="Z303" s="4"/>
      <c r="AA303" s="4"/>
      <c r="AB303" s="3"/>
      <c r="AC303" s="3"/>
      <c r="AD303" s="3"/>
      <c r="AE303" s="3"/>
    </row>
    <row r="304" spans="1:31" ht="13.5">
      <c r="A304" s="3"/>
      <c r="B304" s="4"/>
      <c r="C304" s="4"/>
      <c r="D304" s="4"/>
      <c r="E304" s="5"/>
      <c r="F304" s="8"/>
      <c r="G304" s="4"/>
      <c r="H304" s="6"/>
      <c r="I304" s="8"/>
      <c r="J304" s="8"/>
      <c r="K304" s="8"/>
      <c r="L304" s="4"/>
      <c r="M304" s="4"/>
      <c r="N304" s="4"/>
      <c r="O304" s="4"/>
      <c r="P304" s="4"/>
      <c r="Q304" s="7"/>
      <c r="R304" s="6"/>
      <c r="S304" s="5"/>
      <c r="T304" s="5"/>
      <c r="U304" s="4"/>
      <c r="V304" s="5"/>
      <c r="W304" s="4"/>
      <c r="X304" s="4"/>
      <c r="Y304" s="5"/>
      <c r="Z304" s="4"/>
      <c r="AA304" s="4"/>
      <c r="AB304" s="3"/>
      <c r="AC304" s="3"/>
      <c r="AD304" s="3"/>
      <c r="AE304" s="3"/>
    </row>
    <row r="305" spans="1:31" ht="13.5">
      <c r="A305" s="3"/>
      <c r="B305" s="4"/>
      <c r="C305" s="4"/>
      <c r="D305" s="4"/>
      <c r="E305" s="5"/>
      <c r="F305" s="8"/>
      <c r="G305" s="4"/>
      <c r="H305" s="6"/>
      <c r="I305" s="8"/>
      <c r="J305" s="8"/>
      <c r="K305" s="8"/>
      <c r="L305" s="4"/>
      <c r="M305" s="4"/>
      <c r="N305" s="4"/>
      <c r="O305" s="4"/>
      <c r="P305" s="4"/>
      <c r="Q305" s="7"/>
      <c r="R305" s="6"/>
      <c r="S305" s="5"/>
      <c r="T305" s="5"/>
      <c r="U305" s="4"/>
      <c r="V305" s="5"/>
      <c r="W305" s="4"/>
      <c r="X305" s="4"/>
      <c r="Y305" s="5"/>
      <c r="Z305" s="4"/>
      <c r="AA305" s="4"/>
      <c r="AB305" s="3"/>
      <c r="AC305" s="3"/>
      <c r="AD305" s="3"/>
      <c r="AE305" s="3"/>
    </row>
    <row r="306" spans="1:31" ht="13.5">
      <c r="A306" s="3"/>
      <c r="B306" s="4"/>
      <c r="C306" s="4"/>
      <c r="D306" s="4"/>
      <c r="E306" s="5"/>
      <c r="F306" s="8"/>
      <c r="G306" s="4"/>
      <c r="H306" s="6"/>
      <c r="I306" s="8"/>
      <c r="J306" s="8"/>
      <c r="K306" s="8"/>
      <c r="L306" s="4"/>
      <c r="M306" s="4"/>
      <c r="N306" s="4"/>
      <c r="O306" s="4"/>
      <c r="P306" s="4"/>
      <c r="Q306" s="7"/>
      <c r="R306" s="6"/>
      <c r="S306" s="5"/>
      <c r="T306" s="5"/>
      <c r="U306" s="4"/>
      <c r="V306" s="5"/>
      <c r="W306" s="4"/>
      <c r="X306" s="4"/>
      <c r="Y306" s="5"/>
      <c r="Z306" s="4"/>
      <c r="AA306" s="4"/>
      <c r="AB306" s="3"/>
      <c r="AC306" s="3"/>
      <c r="AD306" s="3"/>
      <c r="AE306" s="3"/>
    </row>
    <row r="307" spans="1:31" ht="13.5">
      <c r="A307" s="3"/>
      <c r="B307" s="4"/>
      <c r="C307" s="4"/>
      <c r="D307" s="4"/>
      <c r="E307" s="5"/>
      <c r="F307" s="8"/>
      <c r="G307" s="4"/>
      <c r="H307" s="6"/>
      <c r="I307" s="8"/>
      <c r="J307" s="8"/>
      <c r="K307" s="8"/>
      <c r="L307" s="4"/>
      <c r="M307" s="4"/>
      <c r="N307" s="4"/>
      <c r="O307" s="4"/>
      <c r="P307" s="4"/>
      <c r="Q307" s="7"/>
      <c r="R307" s="6"/>
      <c r="S307" s="5"/>
      <c r="T307" s="5"/>
      <c r="U307" s="4"/>
      <c r="V307" s="5"/>
      <c r="W307" s="4"/>
      <c r="X307" s="4"/>
      <c r="Y307" s="5"/>
      <c r="Z307" s="4"/>
      <c r="AA307" s="4"/>
      <c r="AB307" s="3"/>
      <c r="AC307" s="3"/>
      <c r="AD307" s="3"/>
      <c r="AE307" s="3"/>
    </row>
    <row r="308" spans="1:31" ht="13.5">
      <c r="A308" s="3"/>
      <c r="B308" s="4"/>
      <c r="C308" s="4"/>
      <c r="D308" s="4"/>
      <c r="E308" s="5"/>
      <c r="F308" s="8"/>
      <c r="G308" s="4"/>
      <c r="H308" s="6"/>
      <c r="I308" s="8"/>
      <c r="J308" s="8"/>
      <c r="K308" s="8"/>
      <c r="L308" s="4"/>
      <c r="M308" s="4"/>
      <c r="N308" s="4"/>
      <c r="O308" s="4"/>
      <c r="P308" s="4"/>
      <c r="Q308" s="7"/>
      <c r="R308" s="6"/>
      <c r="S308" s="5"/>
      <c r="T308" s="5"/>
      <c r="U308" s="4"/>
      <c r="V308" s="5"/>
      <c r="W308" s="4"/>
      <c r="X308" s="4"/>
      <c r="Y308" s="5"/>
      <c r="Z308" s="4"/>
      <c r="AA308" s="4"/>
      <c r="AB308" s="3"/>
      <c r="AC308" s="3"/>
      <c r="AD308" s="3"/>
      <c r="AE308" s="3"/>
    </row>
    <row r="309" spans="1:31" ht="13.5">
      <c r="A309" s="3"/>
      <c r="B309" s="4"/>
      <c r="C309" s="4"/>
      <c r="D309" s="4"/>
      <c r="E309" s="5"/>
      <c r="F309" s="8"/>
      <c r="G309" s="4"/>
      <c r="H309" s="6"/>
      <c r="I309" s="8"/>
      <c r="J309" s="8"/>
      <c r="K309" s="8"/>
      <c r="L309" s="4"/>
      <c r="M309" s="4"/>
      <c r="N309" s="4"/>
      <c r="O309" s="4"/>
      <c r="P309" s="4"/>
      <c r="Q309" s="7"/>
      <c r="R309" s="6"/>
      <c r="S309" s="5"/>
      <c r="T309" s="5"/>
      <c r="U309" s="4"/>
      <c r="V309" s="5"/>
      <c r="W309" s="4"/>
      <c r="X309" s="4"/>
      <c r="Y309" s="5"/>
      <c r="Z309" s="4"/>
      <c r="AA309" s="4"/>
      <c r="AB309" s="3"/>
      <c r="AC309" s="3"/>
      <c r="AD309" s="3"/>
      <c r="AE309" s="3"/>
    </row>
    <row r="310" spans="1:31" ht="13.5">
      <c r="A310" s="3"/>
      <c r="B310" s="4"/>
      <c r="C310" s="4"/>
      <c r="D310" s="4"/>
      <c r="E310" s="5"/>
      <c r="F310" s="8"/>
      <c r="G310" s="4"/>
      <c r="H310" s="6"/>
      <c r="I310" s="8"/>
      <c r="J310" s="8"/>
      <c r="K310" s="8"/>
      <c r="L310" s="4"/>
      <c r="M310" s="4"/>
      <c r="N310" s="4"/>
      <c r="O310" s="4"/>
      <c r="P310" s="4"/>
      <c r="Q310" s="7"/>
      <c r="R310" s="6"/>
      <c r="S310" s="5"/>
      <c r="T310" s="5"/>
      <c r="U310" s="4"/>
      <c r="V310" s="5"/>
      <c r="W310" s="4"/>
      <c r="X310" s="4"/>
      <c r="Y310" s="5"/>
      <c r="Z310" s="4"/>
      <c r="AA310" s="4"/>
      <c r="AB310" s="3"/>
      <c r="AC310" s="3"/>
      <c r="AD310" s="3"/>
      <c r="AE310" s="3"/>
    </row>
    <row r="311" spans="1:31" ht="13.5">
      <c r="A311" s="3"/>
      <c r="B311" s="4"/>
      <c r="C311" s="4"/>
      <c r="D311" s="4"/>
      <c r="E311" s="5"/>
      <c r="F311" s="8"/>
      <c r="G311" s="4"/>
      <c r="H311" s="6"/>
      <c r="I311" s="8"/>
      <c r="J311" s="8"/>
      <c r="K311" s="8"/>
      <c r="L311" s="4"/>
      <c r="M311" s="4"/>
      <c r="N311" s="4"/>
      <c r="O311" s="4"/>
      <c r="P311" s="4"/>
      <c r="Q311" s="7"/>
      <c r="R311" s="6"/>
      <c r="S311" s="5"/>
      <c r="T311" s="5"/>
      <c r="U311" s="4"/>
      <c r="V311" s="5"/>
      <c r="W311" s="4"/>
      <c r="X311" s="4"/>
      <c r="Y311" s="5"/>
      <c r="Z311" s="4"/>
      <c r="AA311" s="4"/>
      <c r="AB311" s="3"/>
      <c r="AC311" s="3"/>
      <c r="AD311" s="3"/>
      <c r="AE311" s="3"/>
    </row>
    <row r="312" spans="1:31" ht="13.5">
      <c r="A312" s="3"/>
      <c r="B312" s="4"/>
      <c r="C312" s="4"/>
      <c r="D312" s="4"/>
      <c r="E312" s="5"/>
      <c r="F312" s="8"/>
      <c r="G312" s="4"/>
      <c r="H312" s="6"/>
      <c r="I312" s="8"/>
      <c r="J312" s="8"/>
      <c r="K312" s="8"/>
      <c r="L312" s="4"/>
      <c r="M312" s="4"/>
      <c r="N312" s="4"/>
      <c r="O312" s="4"/>
      <c r="P312" s="4"/>
      <c r="Q312" s="7"/>
      <c r="R312" s="6"/>
      <c r="S312" s="5"/>
      <c r="T312" s="5"/>
      <c r="U312" s="4"/>
      <c r="V312" s="5"/>
      <c r="W312" s="4"/>
      <c r="X312" s="4"/>
      <c r="Y312" s="5"/>
      <c r="Z312" s="4"/>
      <c r="AA312" s="4"/>
      <c r="AB312" s="3"/>
      <c r="AC312" s="3"/>
      <c r="AD312" s="3"/>
      <c r="AE312" s="3"/>
    </row>
    <row r="313" spans="1:31" ht="13.5">
      <c r="A313" s="3"/>
      <c r="B313" s="4"/>
      <c r="C313" s="4"/>
      <c r="D313" s="4"/>
      <c r="E313" s="5"/>
      <c r="F313" s="8"/>
      <c r="G313" s="4"/>
      <c r="H313" s="6"/>
      <c r="I313" s="8"/>
      <c r="J313" s="8"/>
      <c r="K313" s="8"/>
      <c r="L313" s="4"/>
      <c r="M313" s="4"/>
      <c r="N313" s="4"/>
      <c r="O313" s="4"/>
      <c r="P313" s="4"/>
      <c r="Q313" s="7"/>
      <c r="R313" s="6"/>
      <c r="S313" s="5"/>
      <c r="T313" s="5"/>
      <c r="U313" s="4"/>
      <c r="V313" s="5"/>
      <c r="W313" s="4"/>
      <c r="X313" s="4"/>
      <c r="Y313" s="5"/>
      <c r="Z313" s="4"/>
      <c r="AA313" s="4"/>
      <c r="AB313" s="3"/>
      <c r="AC313" s="3"/>
      <c r="AD313" s="3"/>
      <c r="AE313" s="3"/>
    </row>
    <row r="314" spans="1:31" ht="13.5">
      <c r="A314" s="3"/>
      <c r="B314" s="4"/>
      <c r="C314" s="4"/>
      <c r="D314" s="4"/>
      <c r="E314" s="5"/>
      <c r="F314" s="8"/>
      <c r="G314" s="4"/>
      <c r="H314" s="6"/>
      <c r="I314" s="8"/>
      <c r="J314" s="8"/>
      <c r="K314" s="8"/>
      <c r="L314" s="4"/>
      <c r="M314" s="4"/>
      <c r="N314" s="4"/>
      <c r="O314" s="4"/>
      <c r="P314" s="4"/>
      <c r="Q314" s="7"/>
      <c r="R314" s="6"/>
      <c r="S314" s="5"/>
      <c r="T314" s="5"/>
      <c r="U314" s="4"/>
      <c r="V314" s="5"/>
      <c r="W314" s="4"/>
      <c r="X314" s="4"/>
      <c r="Y314" s="5"/>
      <c r="Z314" s="4"/>
      <c r="AA314" s="4"/>
      <c r="AB314" s="3"/>
      <c r="AC314" s="3"/>
      <c r="AD314" s="3"/>
      <c r="AE314" s="3"/>
    </row>
    <row r="315" spans="1:31" ht="13.5">
      <c r="A315" s="3"/>
      <c r="B315" s="4"/>
      <c r="C315" s="4"/>
      <c r="D315" s="4"/>
      <c r="E315" s="5"/>
      <c r="F315" s="8"/>
      <c r="G315" s="4"/>
      <c r="H315" s="6"/>
      <c r="I315" s="8"/>
      <c r="J315" s="8"/>
      <c r="K315" s="8"/>
      <c r="L315" s="4"/>
      <c r="M315" s="4"/>
      <c r="N315" s="4"/>
      <c r="O315" s="4"/>
      <c r="P315" s="4"/>
      <c r="Q315" s="7"/>
      <c r="R315" s="6"/>
      <c r="S315" s="5"/>
      <c r="T315" s="5"/>
      <c r="U315" s="4"/>
      <c r="V315" s="5"/>
      <c r="W315" s="4"/>
      <c r="X315" s="4"/>
      <c r="Y315" s="5"/>
      <c r="Z315" s="4"/>
      <c r="AA315" s="4"/>
      <c r="AB315" s="3"/>
      <c r="AC315" s="3"/>
      <c r="AD315" s="3"/>
      <c r="AE315" s="3"/>
    </row>
    <row r="316" spans="1:31" ht="13.5">
      <c r="A316" s="3"/>
      <c r="B316" s="4"/>
      <c r="C316" s="4"/>
      <c r="D316" s="4"/>
      <c r="E316" s="5"/>
      <c r="F316" s="8"/>
      <c r="G316" s="4"/>
      <c r="H316" s="6"/>
      <c r="I316" s="8"/>
      <c r="J316" s="8"/>
      <c r="K316" s="8"/>
      <c r="L316" s="4"/>
      <c r="M316" s="4"/>
      <c r="N316" s="4"/>
      <c r="O316" s="4"/>
      <c r="P316" s="4"/>
      <c r="Q316" s="7"/>
      <c r="R316" s="6"/>
      <c r="S316" s="5"/>
      <c r="T316" s="5"/>
      <c r="U316" s="4"/>
      <c r="V316" s="5"/>
      <c r="W316" s="4"/>
      <c r="X316" s="4"/>
      <c r="Y316" s="5"/>
      <c r="Z316" s="4"/>
      <c r="AA316" s="4"/>
      <c r="AB316" s="3"/>
      <c r="AC316" s="3"/>
      <c r="AD316" s="3"/>
      <c r="AE316" s="3"/>
    </row>
    <row r="317" spans="1:31" ht="13.5">
      <c r="A317" s="3"/>
      <c r="B317" s="4"/>
      <c r="C317" s="4"/>
      <c r="D317" s="4"/>
      <c r="E317" s="5"/>
      <c r="F317" s="8"/>
      <c r="G317" s="4"/>
      <c r="H317" s="6"/>
      <c r="I317" s="8"/>
      <c r="J317" s="8"/>
      <c r="K317" s="8"/>
      <c r="L317" s="4"/>
      <c r="M317" s="4"/>
      <c r="N317" s="4"/>
      <c r="O317" s="4"/>
      <c r="P317" s="4"/>
      <c r="Q317" s="7"/>
      <c r="R317" s="6"/>
      <c r="S317" s="5"/>
      <c r="T317" s="5"/>
      <c r="U317" s="4"/>
      <c r="V317" s="5"/>
      <c r="W317" s="4"/>
      <c r="X317" s="4"/>
      <c r="Y317" s="5"/>
      <c r="Z317" s="4"/>
      <c r="AA317" s="4"/>
      <c r="AB317" s="3"/>
      <c r="AC317" s="3"/>
      <c r="AD317" s="3"/>
      <c r="AE317" s="3"/>
    </row>
    <row r="318" spans="1:31" ht="13.5">
      <c r="A318" s="3"/>
      <c r="B318" s="4"/>
      <c r="C318" s="4"/>
      <c r="D318" s="4"/>
      <c r="E318" s="5"/>
      <c r="F318" s="8"/>
      <c r="G318" s="4"/>
      <c r="H318" s="6"/>
      <c r="I318" s="8"/>
      <c r="J318" s="8"/>
      <c r="K318" s="8"/>
      <c r="L318" s="4"/>
      <c r="M318" s="4"/>
      <c r="N318" s="4"/>
      <c r="O318" s="4"/>
      <c r="P318" s="4"/>
      <c r="Q318" s="7"/>
      <c r="R318" s="6"/>
      <c r="S318" s="5"/>
      <c r="T318" s="5"/>
      <c r="U318" s="4"/>
      <c r="V318" s="5"/>
      <c r="W318" s="4"/>
      <c r="X318" s="4"/>
      <c r="Y318" s="5"/>
      <c r="Z318" s="4"/>
      <c r="AA318" s="4"/>
      <c r="AB318" s="3"/>
      <c r="AC318" s="3"/>
      <c r="AD318" s="3"/>
      <c r="AE318" s="3"/>
    </row>
    <row r="319" spans="1:31" ht="13.5">
      <c r="A319" s="3"/>
      <c r="B319" s="4"/>
      <c r="C319" s="4"/>
      <c r="D319" s="4"/>
      <c r="E319" s="5"/>
      <c r="F319" s="8"/>
      <c r="G319" s="4"/>
      <c r="H319" s="6"/>
      <c r="I319" s="8"/>
      <c r="J319" s="8"/>
      <c r="K319" s="8"/>
      <c r="L319" s="4"/>
      <c r="M319" s="4"/>
      <c r="N319" s="4"/>
      <c r="O319" s="4"/>
      <c r="P319" s="4"/>
      <c r="Q319" s="7"/>
      <c r="R319" s="6"/>
      <c r="S319" s="5"/>
      <c r="T319" s="5"/>
      <c r="U319" s="4"/>
      <c r="V319" s="5"/>
      <c r="W319" s="4"/>
      <c r="X319" s="4"/>
      <c r="Y319" s="5"/>
      <c r="Z319" s="4"/>
      <c r="AA319" s="4"/>
      <c r="AB319" s="3"/>
      <c r="AC319" s="3"/>
      <c r="AD319" s="3"/>
      <c r="AE319" s="3"/>
    </row>
    <row r="320" spans="1:31" ht="13.5">
      <c r="A320" s="3"/>
      <c r="B320" s="4"/>
      <c r="C320" s="4"/>
      <c r="D320" s="4"/>
      <c r="E320" s="5"/>
      <c r="F320" s="8"/>
      <c r="G320" s="4"/>
      <c r="H320" s="6"/>
      <c r="I320" s="8"/>
      <c r="J320" s="8"/>
      <c r="K320" s="8"/>
      <c r="L320" s="4"/>
      <c r="M320" s="4"/>
      <c r="N320" s="4"/>
      <c r="O320" s="4"/>
      <c r="P320" s="4"/>
      <c r="Q320" s="7"/>
      <c r="R320" s="6"/>
      <c r="S320" s="5"/>
      <c r="T320" s="5"/>
      <c r="U320" s="4"/>
      <c r="V320" s="5"/>
      <c r="W320" s="4"/>
      <c r="X320" s="4"/>
      <c r="Y320" s="5"/>
      <c r="Z320" s="4"/>
      <c r="AA320" s="4"/>
      <c r="AB320" s="3"/>
      <c r="AC320" s="3"/>
      <c r="AD320" s="3"/>
      <c r="AE320" s="3"/>
    </row>
    <row r="321" spans="1:31" ht="13.5">
      <c r="A321" s="3"/>
      <c r="B321" s="4"/>
      <c r="C321" s="4"/>
      <c r="D321" s="4"/>
      <c r="E321" s="5"/>
      <c r="F321" s="8"/>
      <c r="G321" s="4"/>
      <c r="H321" s="6"/>
      <c r="I321" s="8"/>
      <c r="J321" s="8"/>
      <c r="K321" s="8"/>
      <c r="L321" s="4"/>
      <c r="M321" s="4"/>
      <c r="N321" s="4"/>
      <c r="O321" s="4"/>
      <c r="P321" s="4"/>
      <c r="Q321" s="7"/>
      <c r="R321" s="6"/>
      <c r="S321" s="5"/>
      <c r="T321" s="5"/>
      <c r="U321" s="4"/>
      <c r="V321" s="5"/>
      <c r="W321" s="4"/>
      <c r="X321" s="4"/>
      <c r="Y321" s="5"/>
      <c r="Z321" s="4"/>
      <c r="AA321" s="4"/>
      <c r="AB321" s="3"/>
      <c r="AC321" s="3"/>
      <c r="AD321" s="3"/>
      <c r="AE321" s="3"/>
    </row>
    <row r="322" spans="1:31" ht="13.5">
      <c r="A322" s="3"/>
      <c r="B322" s="4"/>
      <c r="C322" s="4"/>
      <c r="D322" s="4"/>
      <c r="E322" s="5"/>
      <c r="F322" s="8"/>
      <c r="G322" s="4"/>
      <c r="H322" s="6"/>
      <c r="I322" s="8"/>
      <c r="J322" s="8"/>
      <c r="K322" s="8"/>
      <c r="L322" s="4"/>
      <c r="M322" s="4"/>
      <c r="N322" s="4"/>
      <c r="O322" s="4"/>
      <c r="P322" s="4"/>
      <c r="Q322" s="7"/>
      <c r="R322" s="6"/>
      <c r="S322" s="5"/>
      <c r="T322" s="5"/>
      <c r="U322" s="4"/>
      <c r="V322" s="5"/>
      <c r="W322" s="4"/>
      <c r="X322" s="4"/>
      <c r="Y322" s="5"/>
      <c r="Z322" s="4"/>
      <c r="AA322" s="4"/>
      <c r="AB322" s="3"/>
      <c r="AC322" s="3"/>
      <c r="AD322" s="3"/>
      <c r="AE322" s="3"/>
    </row>
    <row r="323" spans="1:31" ht="13.5">
      <c r="A323" s="3"/>
      <c r="B323" s="4"/>
      <c r="C323" s="4"/>
      <c r="D323" s="4"/>
      <c r="E323" s="5"/>
      <c r="F323" s="8"/>
      <c r="G323" s="4"/>
      <c r="H323" s="6"/>
      <c r="I323" s="8"/>
      <c r="J323" s="8"/>
      <c r="K323" s="8"/>
      <c r="L323" s="4"/>
      <c r="M323" s="4"/>
      <c r="N323" s="4"/>
      <c r="O323" s="4"/>
      <c r="P323" s="4"/>
      <c r="Q323" s="7"/>
      <c r="R323" s="6"/>
      <c r="S323" s="5"/>
      <c r="T323" s="5"/>
      <c r="U323" s="4"/>
      <c r="V323" s="5"/>
      <c r="W323" s="4"/>
      <c r="X323" s="4"/>
      <c r="Y323" s="5"/>
      <c r="Z323" s="4"/>
      <c r="AA323" s="4"/>
      <c r="AB323" s="3"/>
      <c r="AC323" s="3"/>
      <c r="AD323" s="3"/>
      <c r="AE323" s="3"/>
    </row>
    <row r="324" spans="1:31" ht="13.5">
      <c r="A324" s="3"/>
      <c r="B324" s="4"/>
      <c r="C324" s="4"/>
      <c r="D324" s="4"/>
      <c r="E324" s="5"/>
      <c r="F324" s="8"/>
      <c r="G324" s="4"/>
      <c r="H324" s="6"/>
      <c r="I324" s="8"/>
      <c r="J324" s="8"/>
      <c r="K324" s="8"/>
      <c r="L324" s="4"/>
      <c r="M324" s="4"/>
      <c r="N324" s="4"/>
      <c r="O324" s="4"/>
      <c r="P324" s="4"/>
      <c r="Q324" s="7"/>
      <c r="R324" s="6"/>
      <c r="S324" s="5"/>
      <c r="T324" s="5"/>
      <c r="U324" s="4"/>
      <c r="V324" s="5"/>
      <c r="W324" s="4"/>
      <c r="X324" s="4"/>
      <c r="Y324" s="5"/>
      <c r="Z324" s="4"/>
      <c r="AA324" s="4"/>
      <c r="AB324" s="3"/>
      <c r="AC324" s="3"/>
      <c r="AD324" s="3"/>
      <c r="AE324" s="3"/>
    </row>
    <row r="325" spans="1:31" ht="13.5">
      <c r="A325" s="3"/>
      <c r="B325" s="4"/>
      <c r="C325" s="4"/>
      <c r="D325" s="4"/>
      <c r="E325" s="5"/>
      <c r="F325" s="8"/>
      <c r="G325" s="4"/>
      <c r="H325" s="6"/>
      <c r="I325" s="8"/>
      <c r="J325" s="8"/>
      <c r="K325" s="8"/>
      <c r="L325" s="4"/>
      <c r="M325" s="4"/>
      <c r="N325" s="4"/>
      <c r="O325" s="4"/>
      <c r="P325" s="4"/>
      <c r="Q325" s="7"/>
      <c r="R325" s="6"/>
      <c r="S325" s="5"/>
      <c r="T325" s="5"/>
      <c r="U325" s="4"/>
      <c r="V325" s="5"/>
      <c r="W325" s="4"/>
      <c r="X325" s="4"/>
      <c r="Y325" s="5"/>
      <c r="Z325" s="4"/>
      <c r="AA325" s="4"/>
      <c r="AB325" s="3"/>
      <c r="AC325" s="3"/>
      <c r="AD325" s="3"/>
      <c r="AE325" s="3"/>
    </row>
    <row r="326" spans="1:31" ht="13.5">
      <c r="A326" s="3"/>
      <c r="B326" s="4"/>
      <c r="C326" s="4"/>
      <c r="D326" s="4"/>
      <c r="E326" s="5"/>
      <c r="F326" s="8"/>
      <c r="G326" s="4"/>
      <c r="H326" s="6"/>
      <c r="I326" s="8"/>
      <c r="J326" s="8"/>
      <c r="K326" s="8"/>
      <c r="L326" s="4"/>
      <c r="M326" s="4"/>
      <c r="N326" s="4"/>
      <c r="O326" s="4"/>
      <c r="P326" s="4"/>
      <c r="Q326" s="7"/>
      <c r="R326" s="6"/>
      <c r="S326" s="5"/>
      <c r="T326" s="5"/>
      <c r="U326" s="4"/>
      <c r="V326" s="5"/>
      <c r="W326" s="4"/>
      <c r="X326" s="4"/>
      <c r="Y326" s="5"/>
      <c r="Z326" s="4"/>
      <c r="AA326" s="4"/>
      <c r="AB326" s="3"/>
      <c r="AC326" s="3"/>
      <c r="AD326" s="3"/>
      <c r="AE326" s="3"/>
    </row>
    <row r="327" spans="1:31" ht="13.5">
      <c r="A327" s="3"/>
      <c r="B327" s="4"/>
      <c r="C327" s="4"/>
      <c r="D327" s="4"/>
      <c r="E327" s="5"/>
      <c r="F327" s="8"/>
      <c r="G327" s="4"/>
      <c r="H327" s="6"/>
      <c r="I327" s="8"/>
      <c r="J327" s="8"/>
      <c r="K327" s="8"/>
      <c r="L327" s="4"/>
      <c r="M327" s="4"/>
      <c r="N327" s="4"/>
      <c r="O327" s="4"/>
      <c r="P327" s="4"/>
      <c r="Q327" s="7"/>
      <c r="R327" s="6"/>
      <c r="S327" s="5"/>
      <c r="T327" s="5"/>
      <c r="U327" s="4"/>
      <c r="V327" s="5"/>
      <c r="W327" s="4"/>
      <c r="X327" s="4"/>
      <c r="Y327" s="5"/>
      <c r="Z327" s="4"/>
      <c r="AA327" s="4"/>
      <c r="AB327" s="3"/>
      <c r="AC327" s="3"/>
      <c r="AD327" s="3"/>
      <c r="AE327" s="3"/>
    </row>
    <row r="328" spans="1:31" ht="13.5">
      <c r="A328" s="3"/>
      <c r="B328" s="4"/>
      <c r="C328" s="4"/>
      <c r="D328" s="4"/>
      <c r="E328" s="5"/>
      <c r="F328" s="8"/>
      <c r="G328" s="4"/>
      <c r="H328" s="6"/>
      <c r="I328" s="8"/>
      <c r="J328" s="8"/>
      <c r="K328" s="8"/>
      <c r="L328" s="4"/>
      <c r="M328" s="4"/>
      <c r="N328" s="4"/>
      <c r="O328" s="4"/>
      <c r="P328" s="4"/>
      <c r="Q328" s="7"/>
      <c r="R328" s="6"/>
      <c r="S328" s="5"/>
      <c r="T328" s="5"/>
      <c r="U328" s="4"/>
      <c r="V328" s="5"/>
      <c r="W328" s="4"/>
      <c r="X328" s="4"/>
      <c r="Y328" s="5"/>
      <c r="Z328" s="4"/>
      <c r="AA328" s="4"/>
      <c r="AB328" s="3"/>
      <c r="AC328" s="3"/>
      <c r="AD328" s="3"/>
      <c r="AE328" s="3"/>
    </row>
    <row r="329" spans="1:31" ht="13.5">
      <c r="A329" s="3"/>
      <c r="B329" s="4"/>
      <c r="C329" s="4"/>
      <c r="D329" s="4"/>
      <c r="E329" s="5"/>
      <c r="F329" s="8"/>
      <c r="G329" s="4"/>
      <c r="H329" s="6"/>
      <c r="I329" s="8"/>
      <c r="J329" s="8"/>
      <c r="K329" s="8"/>
      <c r="L329" s="4"/>
      <c r="M329" s="4"/>
      <c r="N329" s="4"/>
      <c r="O329" s="4"/>
      <c r="P329" s="4"/>
      <c r="Q329" s="7"/>
      <c r="R329" s="6"/>
      <c r="S329" s="5"/>
      <c r="T329" s="5"/>
      <c r="U329" s="4"/>
      <c r="V329" s="5"/>
      <c r="W329" s="4"/>
      <c r="X329" s="4"/>
      <c r="Y329" s="5"/>
      <c r="Z329" s="4"/>
      <c r="AA329" s="4"/>
      <c r="AB329" s="3"/>
      <c r="AC329" s="3"/>
      <c r="AD329" s="3"/>
      <c r="AE329" s="3"/>
    </row>
    <row r="330" spans="1:31" ht="13.5">
      <c r="A330" s="3"/>
      <c r="B330" s="4"/>
      <c r="C330" s="4"/>
      <c r="D330" s="4"/>
      <c r="E330" s="5"/>
      <c r="F330" s="8"/>
      <c r="G330" s="4"/>
      <c r="H330" s="6"/>
      <c r="I330" s="8"/>
      <c r="J330" s="8"/>
      <c r="K330" s="8"/>
      <c r="L330" s="4"/>
      <c r="M330" s="4"/>
      <c r="N330" s="4"/>
      <c r="O330" s="4"/>
      <c r="P330" s="4"/>
      <c r="Q330" s="7"/>
      <c r="R330" s="6"/>
      <c r="S330" s="5"/>
      <c r="T330" s="5"/>
      <c r="U330" s="4"/>
      <c r="V330" s="5"/>
      <c r="W330" s="4"/>
      <c r="X330" s="4"/>
      <c r="Y330" s="5"/>
      <c r="Z330" s="4"/>
      <c r="AA330" s="4"/>
      <c r="AB330" s="3"/>
      <c r="AC330" s="3"/>
      <c r="AD330" s="3"/>
      <c r="AE330" s="3"/>
    </row>
    <row r="331" spans="1:31" ht="13.5">
      <c r="A331" s="3"/>
      <c r="B331" s="4"/>
      <c r="C331" s="4"/>
      <c r="D331" s="4"/>
      <c r="E331" s="5"/>
      <c r="F331" s="8"/>
      <c r="G331" s="4"/>
      <c r="H331" s="6"/>
      <c r="I331" s="8"/>
      <c r="J331" s="8"/>
      <c r="K331" s="8"/>
      <c r="L331" s="4"/>
      <c r="M331" s="4"/>
      <c r="N331" s="4"/>
      <c r="O331" s="4"/>
      <c r="P331" s="4"/>
      <c r="Q331" s="7"/>
      <c r="R331" s="6"/>
      <c r="S331" s="5"/>
      <c r="T331" s="5"/>
      <c r="U331" s="4"/>
      <c r="V331" s="5"/>
      <c r="W331" s="4"/>
      <c r="X331" s="4"/>
      <c r="Y331" s="5"/>
      <c r="Z331" s="4"/>
      <c r="AA331" s="4"/>
      <c r="AB331" s="3"/>
      <c r="AC331" s="3"/>
      <c r="AD331" s="3"/>
      <c r="AE331" s="3"/>
    </row>
    <row r="332" spans="1:31" ht="13.5">
      <c r="A332" s="3"/>
      <c r="B332" s="4"/>
      <c r="C332" s="4"/>
      <c r="D332" s="4"/>
      <c r="E332" s="5"/>
      <c r="F332" s="8"/>
      <c r="G332" s="4"/>
      <c r="H332" s="6"/>
      <c r="I332" s="8"/>
      <c r="J332" s="8"/>
      <c r="K332" s="8"/>
      <c r="L332" s="4"/>
      <c r="M332" s="4"/>
      <c r="N332" s="4"/>
      <c r="O332" s="4"/>
      <c r="P332" s="4"/>
      <c r="Q332" s="7"/>
      <c r="R332" s="6"/>
      <c r="S332" s="5"/>
      <c r="T332" s="5"/>
      <c r="U332" s="4"/>
      <c r="V332" s="5"/>
      <c r="W332" s="4"/>
      <c r="X332" s="4"/>
      <c r="Y332" s="5"/>
      <c r="Z332" s="4"/>
      <c r="AA332" s="4"/>
      <c r="AB332" s="3"/>
      <c r="AC332" s="3"/>
      <c r="AD332" s="3"/>
      <c r="AE332" s="3"/>
    </row>
    <row r="333" spans="1:31" ht="13.5">
      <c r="A333" s="3"/>
      <c r="B333" s="4"/>
      <c r="C333" s="4"/>
      <c r="D333" s="4"/>
      <c r="E333" s="5"/>
      <c r="F333" s="8"/>
      <c r="G333" s="4"/>
      <c r="H333" s="6"/>
      <c r="I333" s="8"/>
      <c r="J333" s="8"/>
      <c r="K333" s="8"/>
      <c r="L333" s="4"/>
      <c r="M333" s="4"/>
      <c r="N333" s="4"/>
      <c r="O333" s="4"/>
      <c r="P333" s="4"/>
      <c r="Q333" s="7"/>
      <c r="R333" s="6"/>
      <c r="S333" s="5"/>
      <c r="T333" s="5"/>
      <c r="U333" s="4"/>
      <c r="V333" s="5"/>
      <c r="W333" s="4"/>
      <c r="X333" s="4"/>
      <c r="Y333" s="5"/>
      <c r="Z333" s="4"/>
      <c r="AA333" s="4"/>
      <c r="AB333" s="3"/>
      <c r="AC333" s="3"/>
      <c r="AD333" s="3"/>
      <c r="AE333" s="3"/>
    </row>
    <row r="334" spans="1:31" ht="13.5">
      <c r="A334" s="3"/>
      <c r="B334" s="4"/>
      <c r="C334" s="4"/>
      <c r="D334" s="4"/>
      <c r="E334" s="5"/>
      <c r="F334" s="8"/>
      <c r="G334" s="4"/>
      <c r="H334" s="6"/>
      <c r="I334" s="8"/>
      <c r="J334" s="8"/>
      <c r="K334" s="8"/>
      <c r="L334" s="4"/>
      <c r="M334" s="4"/>
      <c r="N334" s="4"/>
      <c r="O334" s="4"/>
      <c r="P334" s="4"/>
      <c r="Q334" s="7"/>
      <c r="R334" s="6"/>
      <c r="S334" s="5"/>
      <c r="T334" s="5"/>
      <c r="U334" s="4"/>
      <c r="V334" s="5"/>
      <c r="W334" s="4"/>
      <c r="X334" s="4"/>
      <c r="Y334" s="5"/>
      <c r="Z334" s="4"/>
      <c r="AA334" s="4"/>
      <c r="AB334" s="3"/>
      <c r="AC334" s="3"/>
      <c r="AD334" s="3"/>
      <c r="AE334" s="3"/>
    </row>
    <row r="335" spans="1:31" ht="13.5">
      <c r="A335" s="3"/>
      <c r="B335" s="4"/>
      <c r="C335" s="4"/>
      <c r="D335" s="4"/>
      <c r="E335" s="5"/>
      <c r="F335" s="8"/>
      <c r="G335" s="4"/>
      <c r="H335" s="6"/>
      <c r="I335" s="8"/>
      <c r="J335" s="8"/>
      <c r="K335" s="8"/>
      <c r="L335" s="4"/>
      <c r="M335" s="4"/>
      <c r="N335" s="4"/>
      <c r="O335" s="4"/>
      <c r="P335" s="4"/>
      <c r="Q335" s="7"/>
      <c r="R335" s="6"/>
      <c r="S335" s="5"/>
      <c r="T335" s="5"/>
      <c r="U335" s="4"/>
      <c r="V335" s="5"/>
      <c r="W335" s="4"/>
      <c r="X335" s="4"/>
      <c r="Y335" s="5"/>
      <c r="Z335" s="4"/>
      <c r="AA335" s="4"/>
      <c r="AB335" s="3"/>
      <c r="AC335" s="3"/>
      <c r="AD335" s="3"/>
      <c r="AE335" s="3"/>
    </row>
    <row r="336" spans="1:31" ht="13.5">
      <c r="A336" s="3"/>
      <c r="B336" s="4"/>
      <c r="C336" s="4"/>
      <c r="D336" s="4"/>
      <c r="E336" s="5"/>
      <c r="F336" s="8"/>
      <c r="G336" s="4"/>
      <c r="H336" s="6"/>
      <c r="I336" s="8"/>
      <c r="J336" s="8"/>
      <c r="K336" s="8"/>
      <c r="L336" s="4"/>
      <c r="M336" s="4"/>
      <c r="N336" s="4"/>
      <c r="O336" s="4"/>
      <c r="P336" s="4"/>
      <c r="Q336" s="7"/>
      <c r="R336" s="6"/>
      <c r="S336" s="5"/>
      <c r="T336" s="5"/>
      <c r="U336" s="4"/>
      <c r="V336" s="5"/>
      <c r="W336" s="4"/>
      <c r="X336" s="4"/>
      <c r="Y336" s="5"/>
      <c r="Z336" s="4"/>
      <c r="AA336" s="4"/>
      <c r="AB336" s="3"/>
      <c r="AC336" s="3"/>
      <c r="AD336" s="3"/>
      <c r="AE336" s="3"/>
    </row>
    <row r="337" spans="1:31" ht="13.5">
      <c r="A337" s="3"/>
      <c r="B337" s="4"/>
      <c r="C337" s="4"/>
      <c r="D337" s="4"/>
      <c r="E337" s="5"/>
      <c r="F337" s="8"/>
      <c r="G337" s="4"/>
      <c r="H337" s="6"/>
      <c r="I337" s="8"/>
      <c r="J337" s="8"/>
      <c r="K337" s="8"/>
      <c r="L337" s="4"/>
      <c r="M337" s="4"/>
      <c r="N337" s="4"/>
      <c r="O337" s="4"/>
      <c r="P337" s="4"/>
      <c r="Q337" s="7"/>
      <c r="R337" s="6"/>
      <c r="S337" s="5"/>
      <c r="T337" s="5"/>
      <c r="U337" s="4"/>
      <c r="V337" s="5"/>
      <c r="W337" s="4"/>
      <c r="X337" s="4"/>
      <c r="Y337" s="5"/>
      <c r="Z337" s="4"/>
      <c r="AA337" s="4"/>
      <c r="AB337" s="3"/>
      <c r="AC337" s="3"/>
      <c r="AD337" s="3"/>
      <c r="AE337" s="3"/>
    </row>
    <row r="338" spans="1:31" ht="13.5">
      <c r="A338" s="3"/>
      <c r="B338" s="4"/>
      <c r="C338" s="4"/>
      <c r="D338" s="4"/>
      <c r="E338" s="5"/>
      <c r="F338" s="8"/>
      <c r="G338" s="4"/>
      <c r="H338" s="6"/>
      <c r="I338" s="8"/>
      <c r="J338" s="8"/>
      <c r="K338" s="8"/>
      <c r="L338" s="4"/>
      <c r="M338" s="4"/>
      <c r="N338" s="4"/>
      <c r="O338" s="4"/>
      <c r="P338" s="4"/>
      <c r="Q338" s="7"/>
      <c r="R338" s="6"/>
      <c r="S338" s="5"/>
      <c r="T338" s="5"/>
      <c r="U338" s="4"/>
      <c r="V338" s="5"/>
      <c r="W338" s="4"/>
      <c r="X338" s="4"/>
      <c r="Y338" s="5"/>
      <c r="Z338" s="4"/>
      <c r="AA338" s="4"/>
      <c r="AB338" s="3"/>
      <c r="AC338" s="3"/>
      <c r="AD338" s="3"/>
      <c r="AE338" s="3"/>
    </row>
    <row r="339" spans="1:31" ht="13.5">
      <c r="A339" s="3"/>
      <c r="B339" s="4"/>
      <c r="C339" s="4"/>
      <c r="D339" s="4"/>
      <c r="E339" s="5"/>
      <c r="F339" s="8"/>
      <c r="G339" s="4"/>
      <c r="H339" s="6"/>
      <c r="I339" s="8"/>
      <c r="J339" s="8"/>
      <c r="K339" s="8"/>
      <c r="L339" s="4"/>
      <c r="M339" s="4"/>
      <c r="N339" s="4"/>
      <c r="O339" s="4"/>
      <c r="P339" s="4"/>
      <c r="Q339" s="7"/>
      <c r="R339" s="6"/>
      <c r="S339" s="5"/>
      <c r="T339" s="5"/>
      <c r="U339" s="4"/>
      <c r="V339" s="5"/>
      <c r="W339" s="4"/>
      <c r="X339" s="4"/>
      <c r="Y339" s="5"/>
      <c r="Z339" s="4"/>
      <c r="AA339" s="4"/>
      <c r="AB339" s="3"/>
      <c r="AC339" s="3"/>
      <c r="AD339" s="3"/>
      <c r="AE339" s="3"/>
    </row>
    <row r="340" spans="1:31" ht="13.5">
      <c r="A340" s="3"/>
      <c r="B340" s="4"/>
      <c r="C340" s="4"/>
      <c r="D340" s="4"/>
      <c r="E340" s="5"/>
      <c r="F340" s="8"/>
      <c r="G340" s="4"/>
      <c r="H340" s="6"/>
      <c r="I340" s="8"/>
      <c r="J340" s="8"/>
      <c r="K340" s="8"/>
      <c r="L340" s="4"/>
      <c r="M340" s="4"/>
      <c r="N340" s="4"/>
      <c r="O340" s="4"/>
      <c r="P340" s="4"/>
      <c r="Q340" s="7"/>
      <c r="R340" s="6"/>
      <c r="S340" s="5"/>
      <c r="T340" s="5"/>
      <c r="U340" s="4"/>
      <c r="V340" s="5"/>
      <c r="W340" s="4"/>
      <c r="X340" s="4"/>
      <c r="Y340" s="5"/>
      <c r="Z340" s="4"/>
      <c r="AA340" s="4"/>
      <c r="AB340" s="3"/>
      <c r="AC340" s="3"/>
      <c r="AD340" s="3"/>
      <c r="AE340" s="3"/>
    </row>
    <row r="341" spans="1:31" ht="13.5">
      <c r="A341" s="3"/>
      <c r="B341" s="4"/>
      <c r="C341" s="4"/>
      <c r="D341" s="4"/>
      <c r="E341" s="5"/>
      <c r="F341" s="8"/>
      <c r="G341" s="4"/>
      <c r="H341" s="6"/>
      <c r="I341" s="8"/>
      <c r="J341" s="8"/>
      <c r="K341" s="8"/>
      <c r="L341" s="4"/>
      <c r="M341" s="4"/>
      <c r="N341" s="4"/>
      <c r="O341" s="4"/>
      <c r="P341" s="4"/>
      <c r="Q341" s="7"/>
      <c r="R341" s="6"/>
      <c r="S341" s="5"/>
      <c r="T341" s="5"/>
      <c r="U341" s="4"/>
      <c r="V341" s="5"/>
      <c r="W341" s="4"/>
      <c r="X341" s="4"/>
      <c r="Y341" s="5"/>
      <c r="Z341" s="4"/>
      <c r="AA341" s="4"/>
      <c r="AB341" s="3"/>
      <c r="AC341" s="3"/>
      <c r="AD341" s="3"/>
      <c r="AE341" s="3"/>
    </row>
    <row r="342" spans="1:31" ht="13.5">
      <c r="A342" s="3"/>
      <c r="B342" s="4"/>
      <c r="C342" s="4"/>
      <c r="D342" s="4"/>
      <c r="E342" s="5"/>
      <c r="F342" s="8"/>
      <c r="G342" s="4"/>
      <c r="H342" s="6"/>
      <c r="I342" s="8"/>
      <c r="J342" s="8"/>
      <c r="K342" s="8"/>
      <c r="L342" s="4"/>
      <c r="M342" s="4"/>
      <c r="N342" s="4"/>
      <c r="O342" s="4"/>
      <c r="P342" s="4"/>
      <c r="Q342" s="7"/>
      <c r="R342" s="6"/>
      <c r="S342" s="5"/>
      <c r="T342" s="5"/>
      <c r="U342" s="4"/>
      <c r="V342" s="5"/>
      <c r="W342" s="4"/>
      <c r="X342" s="4"/>
      <c r="Y342" s="5"/>
      <c r="Z342" s="4"/>
      <c r="AA342" s="4"/>
      <c r="AB342" s="3"/>
      <c r="AC342" s="3"/>
      <c r="AD342" s="3"/>
      <c r="AE342" s="3"/>
    </row>
    <row r="343" spans="1:31" ht="13.5">
      <c r="A343" s="3"/>
      <c r="B343" s="4"/>
      <c r="C343" s="4"/>
      <c r="D343" s="4"/>
      <c r="E343" s="5"/>
      <c r="F343" s="8"/>
      <c r="G343" s="4"/>
      <c r="H343" s="6"/>
      <c r="I343" s="8"/>
      <c r="J343" s="8"/>
      <c r="K343" s="8"/>
      <c r="L343" s="4"/>
      <c r="M343" s="4"/>
      <c r="N343" s="4"/>
      <c r="O343" s="4"/>
      <c r="P343" s="4"/>
      <c r="Q343" s="7"/>
      <c r="R343" s="6"/>
      <c r="S343" s="5"/>
      <c r="T343" s="5"/>
      <c r="U343" s="4"/>
      <c r="V343" s="5"/>
      <c r="W343" s="4"/>
      <c r="X343" s="4"/>
      <c r="Y343" s="5"/>
      <c r="Z343" s="4"/>
      <c r="AA343" s="4"/>
      <c r="AB343" s="3"/>
      <c r="AC343" s="3"/>
      <c r="AD343" s="3"/>
      <c r="AE343" s="3"/>
    </row>
    <row r="344" spans="1:31" ht="13.5">
      <c r="A344" s="3"/>
      <c r="B344" s="4"/>
      <c r="C344" s="4"/>
      <c r="D344" s="4"/>
      <c r="E344" s="5"/>
      <c r="F344" s="8"/>
      <c r="G344" s="4"/>
      <c r="H344" s="6"/>
      <c r="I344" s="8"/>
      <c r="J344" s="8"/>
      <c r="K344" s="8"/>
      <c r="L344" s="4"/>
      <c r="M344" s="4"/>
      <c r="N344" s="4"/>
      <c r="O344" s="4"/>
      <c r="P344" s="4"/>
      <c r="Q344" s="7"/>
      <c r="R344" s="6"/>
      <c r="S344" s="5"/>
      <c r="T344" s="5"/>
      <c r="U344" s="4"/>
      <c r="V344" s="5"/>
      <c r="W344" s="4"/>
      <c r="X344" s="4"/>
      <c r="Y344" s="5"/>
      <c r="Z344" s="4"/>
      <c r="AA344" s="4"/>
      <c r="AB344" s="3"/>
      <c r="AC344" s="3"/>
      <c r="AD344" s="3"/>
      <c r="AE344" s="3"/>
    </row>
    <row r="345" spans="1:31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</sheetData>
  <autoFilter ref="A1:AC149" xr:uid="{00000000-0009-0000-0000-000002000000}"/>
  <dataValidations count="7">
    <dataValidation type="list" allowBlank="1" sqref="U143" xr:uid="{00000000-0002-0000-0200-000006000000}">
      <formula1>"DAVID,CAMILO,RAMON,VICTOR"</formula1>
    </dataValidation>
    <dataValidation type="list" allowBlank="1" showErrorMessage="1" sqref="E2:E60 E62:E939" xr:uid="{00000000-0002-0000-0200-000005000000}">
      <formula1>"EMPRENDEDOR,GO,EXECUTIVE,FULL EMPRENDEDOR,TERMINO DE GIRO,FREE,OFV,DE BAJA,CAMBIAR PLAN"</formula1>
    </dataValidation>
    <dataValidation type="list" allowBlank="1" showErrorMessage="1" sqref="C2:D8 C12:D29 C31 C32:D34 C36:D36 C38:D47 C48:C49 C50:D56 C57 C58:D62 C73:D78 C81:D84 C86:D103 C105:D105 C107:D110 C112:D116 C117 C118:D118 C119:C123 C124:D124 C125:C126 C127:D127 C128 C129:D129 C131:D132 C133 C134:D135 V2:V135 C137:D137 V137 C138:C139 C140:D140 C141 C142:D143 C144 C145:D147 C149:D149" xr:uid="{00000000-0002-0000-0200-000004000000}">
      <formula1>"SI,NO"</formula1>
    </dataValidation>
    <dataValidation type="list" allowBlank="1" showErrorMessage="1" sqref="S2:S112 V136 V138:V142 S114:S939 V144:V939" xr:uid="{00000000-0002-0000-0200-000003000000}">
      <formula1>"DECLARADO,PENDIENTE,IMPUGNADO,POSTERGADO,NOTIFICADO,NO DECLARAR,REVISAR,F29 GUARDADO,POSTERGADO"</formula1>
    </dataValidation>
    <dataValidation type="list" allowBlank="1" showErrorMessage="1" sqref="E61" xr:uid="{00000000-0002-0000-0200-000002000000}">
      <formula1>"EMPRENDEDOR,GO,EXECUTIVE,FULL EMPRENDEDOR,TERMINO DE GIRO,FREE,BAJA,CONGELADO"</formula1>
    </dataValidation>
    <dataValidation type="list" allowBlank="1" showErrorMessage="1" sqref="Y2:Y939" xr:uid="{00000000-0002-0000-0200-000001000000}">
      <formula1>"PENDIENTE,FIRMADO,ENVIADO,NO HACER CONTRATO,VERIFICACION PENDIENTE"</formula1>
    </dataValidation>
    <dataValidation type="list" allowBlank="1" showErrorMessage="1" sqref="T2:T112 S113:T113 T114:T939" xr:uid="{00000000-0002-0000-0200-000000000000}">
      <formula1>"1RA FACTURA,FREE,NO PAGADO,PAGADO,SERVICIO SUSPENDIDO,TERMINO DE GIRO,DE BAJA,PAGO INCOMPLETO,PRORROGA,VERIFICACIÓN PENDIENTE"</formula1>
    </dataValidation>
  </dataValidations>
  <hyperlinks>
    <hyperlink ref="O59" r:id="rId1" xr:uid="{878C47CB-3253-45AE-81A4-74BCCE457D18}"/>
    <hyperlink ref="O92" r:id="rId2" xr:uid="{F1907D4D-A7E0-4D31-86CD-A6FB4C2E77D8}"/>
    <hyperlink ref="O104" r:id="rId3" xr:uid="{4A69D87B-E1C5-474A-9891-61A5608D1181}"/>
    <hyperlink ref="O133" r:id="rId4" xr:uid="{377A96A5-5D79-407C-9CE6-694E2855CEA6}"/>
    <hyperlink ref="O139" r:id="rId5" xr:uid="{124FB670-EF7B-457B-ACC2-D63B337C4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Vera</dc:creator>
  <cp:lastModifiedBy>Felipe Vera</cp:lastModifiedBy>
  <dcterms:created xsi:type="dcterms:W3CDTF">2026-03-17T21:36:04Z</dcterms:created>
  <dcterms:modified xsi:type="dcterms:W3CDTF">2026-03-17T21:36:41Z</dcterms:modified>
</cp:coreProperties>
</file>