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 RENTA 2026" sheetId="1" r:id="rId5"/>
    <sheet state="visible" name="DDDJJ RENTA " sheetId="2" r:id="rId6"/>
    <sheet state="visible" name="MARZO" sheetId="3" r:id="rId7"/>
    <sheet state="visible" name="FEBRERO" sheetId="4" r:id="rId8"/>
    <sheet state="visible" name="ENERO" sheetId="5" r:id="rId9"/>
    <sheet state="visible" name="TICKETS" sheetId="6" r:id="rId10"/>
    <sheet state="visible" name="PATENTES MULTA" sheetId="7" r:id="rId11"/>
    <sheet state="visible" name="OFV" sheetId="8" r:id="rId12"/>
    <sheet state="visible" name="CUOTAS" sheetId="9" r:id="rId13"/>
  </sheets>
  <definedNames>
    <definedName hidden="1" localSheetId="1" name="_xlnm._FilterDatabase">'DDDJJ RENTA '!$A$1:$X$216</definedName>
    <definedName hidden="1" localSheetId="2" name="_xlnm._FilterDatabase">MARZO!$A$1:$AF$147</definedName>
    <definedName hidden="1" localSheetId="3" name="_xlnm._FilterDatabase">FEBRERO!$A$1:$AF$152</definedName>
    <definedName hidden="1" localSheetId="4" name="_xlnm._FilterDatabase">ENERO!$A$1:$AB$156</definedName>
    <definedName hidden="1" localSheetId="5" name="_xlnm._FilterDatabase">TICKETS!$A$1:$AF$205</definedName>
    <definedName hidden="1" localSheetId="7" name="_xlnm._FilterDatabase">OFV!$A$1:$AA$242</definedName>
    <definedName hidden="1" localSheetId="2" name="Z_3759F562_D616_46FC_A05A_B38854AAE1CB_.wvu.FilterData">MARZO!$A$1:$AE$147</definedName>
    <definedName hidden="1" localSheetId="3" name="Z_3759F562_D616_46FC_A05A_B38854AAE1CB_.wvu.FilterData">FEBRERO!$A$1:$AE$152</definedName>
    <definedName hidden="1" localSheetId="4" name="Z_3759F562_D616_46FC_A05A_B38854AAE1CB_.wvu.FilterData">ENERO!$A$1:$AA$156</definedName>
  </definedNames>
  <calcPr/>
  <customWorkbookViews>
    <customWorkbookView activeSheetId="0" maximized="1" windowHeight="0" windowWidth="0" guid="{3759F562-D616-46FC-A05A-B38854AAE1CB}" name="Filtro 1"/>
  </customWorkbookViews>
</workbook>
</file>

<file path=xl/sharedStrings.xml><?xml version="1.0" encoding="utf-8"?>
<sst xmlns="http://schemas.openxmlformats.org/spreadsheetml/2006/main" count="13325" uniqueCount="3357">
  <si>
    <t xml:space="preserve">CONTA </t>
  </si>
  <si>
    <t>Marca temporal</t>
  </si>
  <si>
    <t>Dirección de correo electrónico</t>
  </si>
  <si>
    <t>Tipo de contribuyente</t>
  </si>
  <si>
    <t>Razon Social</t>
  </si>
  <si>
    <t>Rut de la empresa (si es persona natural repetir rut)</t>
  </si>
  <si>
    <t>Clave sii de la empresa</t>
  </si>
  <si>
    <t>Periodos a declarar</t>
  </si>
  <si>
    <t>¿Tiene contratado algún plan de contabilidad con VSV Consultores?</t>
  </si>
  <si>
    <t>Indique el monto de retiros por cada socio de la empresa</t>
  </si>
  <si>
    <t>Cuenta con balance</t>
  </si>
  <si>
    <t xml:space="preserve">Tiene libros contables del periodo a declarar ? </t>
  </si>
  <si>
    <t>Indique el monto exacto de remuneraciones pagado por trabajador durante todo el 2025</t>
  </si>
  <si>
    <t>Si pagó arriendos, indique pago de arriendo mensual, rut del arrendador y rol de la propiedad</t>
  </si>
  <si>
    <t>Regimen tributario de la empresa</t>
  </si>
  <si>
    <t>Nombre y rut socio 1</t>
  </si>
  <si>
    <t>Clave sii socio 1</t>
  </si>
  <si>
    <t>Telefono Socio 1</t>
  </si>
  <si>
    <t xml:space="preserve">Mail Socio 1
</t>
  </si>
  <si>
    <t>Nombre y rut socio 2</t>
  </si>
  <si>
    <t>clave sii socio 2</t>
  </si>
  <si>
    <t>Nombre y rut socio 3</t>
  </si>
  <si>
    <t>clave sii socio 3</t>
  </si>
  <si>
    <t>Nombre y rut socio  4</t>
  </si>
  <si>
    <t>Clave sii socio 4</t>
  </si>
  <si>
    <t>Monto de retiro socio 1</t>
  </si>
  <si>
    <t xml:space="preserve">Monto de retiro socio 2 </t>
  </si>
  <si>
    <t>Monto de retiro socio 3</t>
  </si>
  <si>
    <t>Monto de retiro socio 4</t>
  </si>
  <si>
    <t>Si pagó honorarios, indique el monto total pagado durante el año. (si no pagó ponga un $0)</t>
  </si>
  <si>
    <t>Columna 1</t>
  </si>
  <si>
    <t>Columna 2</t>
  </si>
  <si>
    <t>SIMPLE PYME</t>
  </si>
  <si>
    <t>leonardo.acuna.toro@gmail.com</t>
  </si>
  <si>
    <t>Personeria juridica (Micro empresa, PYME, Empresa, Fundación, Corporación, otros)</t>
  </si>
  <si>
    <t>Visión arte constructora spa</t>
  </si>
  <si>
    <t>78071957-5</t>
  </si>
  <si>
    <t>V1si@n24</t>
  </si>
  <si>
    <t>SI</t>
  </si>
  <si>
    <t>Si</t>
  </si>
  <si>
    <t>Pro pyme transparente</t>
  </si>
  <si>
    <t xml:space="preserve">Leonardo Acuña  16.117.099-2 </t>
  </si>
  <si>
    <t>+56972084801</t>
  </si>
  <si>
    <t>Leonardo.acuna.toro@gmail.com</t>
  </si>
  <si>
    <t xml:space="preserve">No sé </t>
  </si>
  <si>
    <t>harmonymentecorazon@gmail.com</t>
  </si>
  <si>
    <t xml:space="preserve">Gómez&amp;undurraga accesorios ltda </t>
  </si>
  <si>
    <t>78217204-2</t>
  </si>
  <si>
    <t>Gomez2025@</t>
  </si>
  <si>
    <t>No</t>
  </si>
  <si>
    <t>NO</t>
  </si>
  <si>
    <t>Pro pyme general</t>
  </si>
  <si>
    <t>Carolina Undurraga 10.678.414-0</t>
  </si>
  <si>
    <t>Carolina1#</t>
  </si>
  <si>
    <t>Carolinaundurraga@hotmail.com</t>
  </si>
  <si>
    <t xml:space="preserve">María del Carmen Gómez </t>
  </si>
  <si>
    <t>Nose</t>
  </si>
  <si>
    <t>carlos.velasquez.campos@gmail.com</t>
  </si>
  <si>
    <t>Empresa S&amp;J Spa</t>
  </si>
  <si>
    <t>77849617-8</t>
  </si>
  <si>
    <t>Carlos2023</t>
  </si>
  <si>
    <t>Carlos Velasquez Campos 156670111</t>
  </si>
  <si>
    <t>Pobrevelasquez8868_</t>
  </si>
  <si>
    <t>empresa.syj.spa@gmail.com</t>
  </si>
  <si>
    <t>CLAVE MALA</t>
  </si>
  <si>
    <t>jose.aguevec@gmail.com</t>
  </si>
  <si>
    <t xml:space="preserve">JOSE MARTINEZ CONSTRUCCIONES E.I.R.L  </t>
  </si>
  <si>
    <t>78155728-5</t>
  </si>
  <si>
    <t>Contru25.</t>
  </si>
  <si>
    <t>NO APLICA</t>
  </si>
  <si>
    <t>JOSE MARTINEZ   14.179.581-3</t>
  </si>
  <si>
    <t>0203myj</t>
  </si>
  <si>
    <t>+56991500384</t>
  </si>
  <si>
    <t>pvillalbaf@gmail.com</t>
  </si>
  <si>
    <t>Salud &amp; Rendimiento</t>
  </si>
  <si>
    <t>77847561-8</t>
  </si>
  <si>
    <t>PAblo1234#</t>
  </si>
  <si>
    <t>Si, 18 uf, rut propietario 4.853.073-7, rol 00914-067</t>
  </si>
  <si>
    <t>No se que regimen tributario tengo</t>
  </si>
  <si>
    <t>Pablo Villalba 18730649-3</t>
  </si>
  <si>
    <t>Pablo12345</t>
  </si>
  <si>
    <t>+56982282804</t>
  </si>
  <si>
    <t>9.045.000</t>
  </si>
  <si>
    <t>rckpero@gmail.com</t>
  </si>
  <si>
    <t>Rockpero Spa</t>
  </si>
  <si>
    <t>78000714-1</t>
  </si>
  <si>
    <t>Rockpero2@</t>
  </si>
  <si>
    <t>alejo170293.perez@gmail.com</t>
  </si>
  <si>
    <t>COMERCIALIZADORA A&amp;R LIMITADA</t>
  </si>
  <si>
    <t>77758342-5</t>
  </si>
  <si>
    <t>AYRltda23</t>
  </si>
  <si>
    <t>Alejandro david Pérez Rodríguez 26.245.134-8</t>
  </si>
  <si>
    <t>17171717ar</t>
  </si>
  <si>
    <t>alejandroperez170293@live.com</t>
  </si>
  <si>
    <t xml:space="preserve">Rossemy Angelyn rincon hernandez </t>
  </si>
  <si>
    <t xml:space="preserve">Sin clave </t>
  </si>
  <si>
    <t>j.jarakern@gmail.com</t>
  </si>
  <si>
    <t xml:space="preserve">Telex spa </t>
  </si>
  <si>
    <t>77994026-8</t>
  </si>
  <si>
    <t>Telex@2024</t>
  </si>
  <si>
    <t>Jonathan andres jara kern 192474361</t>
  </si>
  <si>
    <t>Toto1357#</t>
  </si>
  <si>
    <t>J.jarakern@gmail.com</t>
  </si>
  <si>
    <t>EXTERNO</t>
  </si>
  <si>
    <t>contrerasjoanac@gmail.com</t>
  </si>
  <si>
    <t>Sweet and chic spa</t>
  </si>
  <si>
    <t>77911672-7</t>
  </si>
  <si>
    <t>SWEET2024</t>
  </si>
  <si>
    <t>633618Jc</t>
  </si>
  <si>
    <t>No se</t>
  </si>
  <si>
    <t>alvarofarfandiaz@gmail.com</t>
  </si>
  <si>
    <t xml:space="preserve">Nutrición Álvaro Farfán Díaz </t>
  </si>
  <si>
    <t>78142901-5</t>
  </si>
  <si>
    <t>Nut5109*</t>
  </si>
  <si>
    <t>19.148.870-9</t>
  </si>
  <si>
    <t>Pascual123</t>
  </si>
  <si>
    <t>reichelmara@gmail.com</t>
  </si>
  <si>
    <t>Servicios de Salud Reichel Ltda</t>
  </si>
  <si>
    <t>77901312-k</t>
  </si>
  <si>
    <t>Salud2024@</t>
  </si>
  <si>
    <t>1 trabajadorsueldo de 535280 mas 167000 imposiciones</t>
  </si>
  <si>
    <t>Arriendo por 2500000, puedo enviar contrato</t>
  </si>
  <si>
    <t>Mara Reichel rut 22864271-1</t>
  </si>
  <si>
    <t>marareichel@hotmail.com</t>
  </si>
  <si>
    <t>Javier Ledesma rut 22864295-9</t>
  </si>
  <si>
    <t>reichel</t>
  </si>
  <si>
    <t>Recibi boletas de honorarios de laboratorios, y de  doctores</t>
  </si>
  <si>
    <t>rkraus333@gmail.com</t>
  </si>
  <si>
    <t>Soluciones gastronómicas rk spa</t>
  </si>
  <si>
    <t>78109295-9</t>
  </si>
  <si>
    <t>Solu2025@</t>
  </si>
  <si>
    <t>solo boletas de honorarios</t>
  </si>
  <si>
    <t>si pero de oficina virtual y un arriendo no regularizado de la cocina</t>
  </si>
  <si>
    <t>richard kraus 20446109-0</t>
  </si>
  <si>
    <t xml:space="preserve">Rrkkhh555! </t>
  </si>
  <si>
    <t>+5694158891</t>
  </si>
  <si>
    <t>se puede poner 0 ?</t>
  </si>
  <si>
    <t>descargar del sii</t>
  </si>
  <si>
    <t>algd1986@gmail.com</t>
  </si>
  <si>
    <t>AMIL spa</t>
  </si>
  <si>
    <t>78137171-8</t>
  </si>
  <si>
    <t>Amil0305$</t>
  </si>
  <si>
    <t>16277833-1</t>
  </si>
  <si>
    <t>Aniballadron1$</t>
  </si>
  <si>
    <t>Amilspa1@gmail.com</t>
  </si>
  <si>
    <t>innovagab.spa@gmail.com</t>
  </si>
  <si>
    <t>INNOVA GAB SPA</t>
  </si>
  <si>
    <t>78151033-5</t>
  </si>
  <si>
    <t>Jags1982$</t>
  </si>
  <si>
    <t>Juan Gallardo</t>
  </si>
  <si>
    <t>juangallardo08@gmail.com</t>
  </si>
  <si>
    <t>no se</t>
  </si>
  <si>
    <t>virttuxagencia@gmail.com</t>
  </si>
  <si>
    <t>Sanhueza Manzo Spa</t>
  </si>
  <si>
    <t>76916588-6</t>
  </si>
  <si>
    <t>Virttux2020 ó Virttux20</t>
  </si>
  <si>
    <t>?</t>
  </si>
  <si>
    <t>No tengo esta info. La casa es de mi pareja donde vivo.</t>
  </si>
  <si>
    <t>Virttux20</t>
  </si>
  <si>
    <t>+56949955026</t>
  </si>
  <si>
    <t>lsanhueza@virttux.cl</t>
  </si>
  <si>
    <t>.</t>
  </si>
  <si>
    <t>prfijaciones@gmail.com</t>
  </si>
  <si>
    <t>P &amp; R FIJACION -SUJECION SPA</t>
  </si>
  <si>
    <t>77862673-k</t>
  </si>
  <si>
    <t>FIJACION 23</t>
  </si>
  <si>
    <t>Pedro Escalona Q. 12.018.310-9</t>
  </si>
  <si>
    <t>pedro6136</t>
  </si>
  <si>
    <t>+56985963096</t>
  </si>
  <si>
    <t>pedroescalona@gmail.com</t>
  </si>
  <si>
    <t>cperalta.contador@gmail.com</t>
  </si>
  <si>
    <t>FAEMAQ RENTAL LTDA.</t>
  </si>
  <si>
    <t>78268554-6</t>
  </si>
  <si>
    <t>Rental25@</t>
  </si>
  <si>
    <t>no tenemos remuneraciones</t>
  </si>
  <si>
    <t>Esteban Toledo Coronado 14136138-4</t>
  </si>
  <si>
    <t>esteban.toledo@faemaq.cl</t>
  </si>
  <si>
    <t>Catherine Peralta Contador 11.806.832-7</t>
  </si>
  <si>
    <t>15Cata12$$</t>
  </si>
  <si>
    <t>taba.castro.h@gmail.com</t>
  </si>
  <si>
    <t>Tabatha castro comercial EIRL</t>
  </si>
  <si>
    <t>78109223-1</t>
  </si>
  <si>
    <t>Taba.2025</t>
  </si>
  <si>
    <t>aracena226@gmail.com</t>
  </si>
  <si>
    <t>GAC INGENIERIA ELECTRICA SpA</t>
  </si>
  <si>
    <t>78044219-0</t>
  </si>
  <si>
    <t>Gac.2024</t>
  </si>
  <si>
    <t>Jaime Aracena León 18.212.505-9</t>
  </si>
  <si>
    <t>939659Jal$</t>
  </si>
  <si>
    <t>yersyjcf@gmail.com</t>
  </si>
  <si>
    <t>Transportes y servicios Yersin Carrasquel SPA</t>
  </si>
  <si>
    <t>78203384-0</t>
  </si>
  <si>
    <t>Yersy1242$</t>
  </si>
  <si>
    <t>Yersin Carrasquel 27098442-8</t>
  </si>
  <si>
    <t>jessicabadilla@gmail.com</t>
  </si>
  <si>
    <t>Congelados y Gourmet B&amp;B SPA</t>
  </si>
  <si>
    <t>78169825-3</t>
  </si>
  <si>
    <t>C@ngela2</t>
  </si>
  <si>
    <t>20 Uf más 3 uf de gastos comunes Ruth 77810894-1 rol320-22</t>
  </si>
  <si>
    <t>Jessica Badilla Porras 9921115-6</t>
  </si>
  <si>
    <t>HIJOSmio.6</t>
  </si>
  <si>
    <t>8207158-k Jorge Bravo Valderrama</t>
  </si>
  <si>
    <t>ayl.transportesyservicios@gmail.com</t>
  </si>
  <si>
    <t>A&amp;L TRANSPORTES Y SERVICIOS SPA</t>
  </si>
  <si>
    <t>77984639-3</t>
  </si>
  <si>
    <t>KARLA2024</t>
  </si>
  <si>
    <t>VSV CONSULTORES</t>
  </si>
  <si>
    <t>KARLA MADRID 25.212.812-3</t>
  </si>
  <si>
    <t>KARLAMDS3006@GMAIL.COM</t>
  </si>
  <si>
    <t>DECLARADA CON OBSERVACIONES(?</t>
  </si>
  <si>
    <t>kine.kairoschile@gmail.com</t>
  </si>
  <si>
    <t>Carvajal y Anacona Kinesiología Limitada</t>
  </si>
  <si>
    <t>78228538-6</t>
  </si>
  <si>
    <t>K1nes25@</t>
  </si>
  <si>
    <t>19,13 UF (Septiembre $751.441, Octubre $755.360, Noviembre $757.601, Diciembre 758.382) RUT 77.751.768-6 ROL 3120-216</t>
  </si>
  <si>
    <t>Gabriel Carvajal Soto - 187851459</t>
  </si>
  <si>
    <t>Gabo18785.</t>
  </si>
  <si>
    <t>gabriel.carvajalsoto@gmail.com</t>
  </si>
  <si>
    <t>Ricardo Anacona Campos - 194712731</t>
  </si>
  <si>
    <t>78414105Ac$$</t>
  </si>
  <si>
    <t>$3.483.986</t>
  </si>
  <si>
    <t>$5.534.699</t>
  </si>
  <si>
    <t>andyluraschi72@gmail.com</t>
  </si>
  <si>
    <t>Persona Natural</t>
  </si>
  <si>
    <t>Andrés Ivan Leiva Luraschi, tatuajes e.i.r.l</t>
  </si>
  <si>
    <t>77941998-3</t>
  </si>
  <si>
    <t>1115Ware.</t>
  </si>
  <si>
    <t>No tengo trabajador contratado</t>
  </si>
  <si>
    <t>500.000 mensual + gastos comunes 70 mensual...rut arrendador 4.944.327-7...rol propiedad 0030-148</t>
  </si>
  <si>
    <t>No tengo</t>
  </si>
  <si>
    <t>720.000 mensual a una persona que trabaja con migo</t>
  </si>
  <si>
    <t>davidmaita623@gmail.com</t>
  </si>
  <si>
    <t>EVANO SPA</t>
  </si>
  <si>
    <t>78097527-k</t>
  </si>
  <si>
    <t>Evan@2025</t>
  </si>
  <si>
    <t>David Omar Maita Bautista 26.061652-8</t>
  </si>
  <si>
    <t>David#007</t>
  </si>
  <si>
    <t>+56992698193</t>
  </si>
  <si>
    <t>Davidmaita623@gmail.com</t>
  </si>
  <si>
    <t>No existe</t>
  </si>
  <si>
    <t>QUIERE HACER TERMINO DE GIRO PERO NO SABE SI RENOVAR LA OFV HAY QUE LLMARLO</t>
  </si>
  <si>
    <t>vzgr91@gmail.com</t>
  </si>
  <si>
    <t>Inversiones mundo canino spa</t>
  </si>
  <si>
    <t>77336372-2</t>
  </si>
  <si>
    <t>Rose.123</t>
  </si>
  <si>
    <t>No lo sé me ayudarían a verlo con las imposiciones realizadas?</t>
  </si>
  <si>
    <t>496.100 mensual</t>
  </si>
  <si>
    <t>Vanessa Gonzalez 26387905-8</t>
  </si>
  <si>
    <t>Vzgr91@gmail.com</t>
  </si>
  <si>
    <t>William muñoz 26388001-3</t>
  </si>
  <si>
    <t>Vickykamila$1920</t>
  </si>
  <si>
    <t>6.900.000</t>
  </si>
  <si>
    <t>15.892.900</t>
  </si>
  <si>
    <t>Si tengo pagos estoy recopilando podrían ayudarme a saber si los puedo conseguir todos en el Sii?</t>
  </si>
  <si>
    <t>jhon.sol.ramos.77@gmail.com</t>
  </si>
  <si>
    <t>Aimar market spa</t>
  </si>
  <si>
    <t>77805707-7</t>
  </si>
  <si>
    <t>AIMAR2023</t>
  </si>
  <si>
    <t>Vsv consultores</t>
  </si>
  <si>
    <t>Constanza sol araya  18.969.131-9</t>
  </si>
  <si>
    <t>Aimarmarketspa@gmail.com</t>
  </si>
  <si>
    <t>vendio camioneta ene enero 2026 vehiculo 2024 puede dar factura con iva o exenta/ solicitar condonaciones</t>
  </si>
  <si>
    <t>bzfcambios@gmail.com</t>
  </si>
  <si>
    <t>BZF CAMBIOS SPA</t>
  </si>
  <si>
    <t>77902854-2</t>
  </si>
  <si>
    <t>Ya la tienen guardada ustedes</t>
  </si>
  <si>
    <t>RAMON ZAMBRANO 269609966</t>
  </si>
  <si>
    <t>Rz12345678</t>
  </si>
  <si>
    <t>+56951558595</t>
  </si>
  <si>
    <t>axigreat@hotmail.com</t>
  </si>
  <si>
    <t>sebastian.esp2002@gmail.com</t>
  </si>
  <si>
    <t>H&amp;S EQUIPOS Y HERRAMIENTAS SPA</t>
  </si>
  <si>
    <t>77992106-9</t>
  </si>
  <si>
    <t>H&amp;Sequipo1</t>
  </si>
  <si>
    <t>Hector Nicolas Espinoza Baeza (19.662.909-2))</t>
  </si>
  <si>
    <t>62851973n</t>
  </si>
  <si>
    <t>+56 9 6708 4364</t>
  </si>
  <si>
    <t>hespinozabaeza@gmail.com</t>
  </si>
  <si>
    <t>Sebastian Eduardo Espinoza Baeza (20.954.319-2))</t>
  </si>
  <si>
    <t>62851973Se@</t>
  </si>
  <si>
    <t>angelica.gutierrez.silva@gmail.com</t>
  </si>
  <si>
    <t>Kala María SPA</t>
  </si>
  <si>
    <t>77937906-k</t>
  </si>
  <si>
    <t>KALA2024</t>
  </si>
  <si>
    <t>14152208-6</t>
  </si>
  <si>
    <t>nicolas</t>
  </si>
  <si>
    <t>mperezaceituno@gmail.com</t>
  </si>
  <si>
    <t>Mario Pérez Comercializadora EIRL</t>
  </si>
  <si>
    <t>77901044-9</t>
  </si>
  <si>
    <t>MARIO2024</t>
  </si>
  <si>
    <t>Mario Pérez Aceituno 9385497-7</t>
  </si>
  <si>
    <t>Sofi2017@</t>
  </si>
  <si>
    <t>mrprovoste@gmail.com</t>
  </si>
  <si>
    <t>AGUSTO LE GLACE SPA</t>
  </si>
  <si>
    <t>77087108-5</t>
  </si>
  <si>
    <t>Agusto2019</t>
  </si>
  <si>
    <t>Mauricio Reyes provoste 13257401-4</t>
  </si>
  <si>
    <t>SII729183</t>
  </si>
  <si>
    <t>alpasoalmacenes@gmail.com</t>
  </si>
  <si>
    <t>sociedad comercial erices y treskow ltda</t>
  </si>
  <si>
    <t>77911337-k</t>
  </si>
  <si>
    <t>Alpaso26@</t>
  </si>
  <si>
    <t>$900.000 12827426-K ROL 03968-005</t>
  </si>
  <si>
    <t>Carolina erices morales 12.108.485-6</t>
  </si>
  <si>
    <t>CACHO1</t>
  </si>
  <si>
    <t>+56986473046</t>
  </si>
  <si>
    <t>carolinaeem@gmail.com</t>
  </si>
  <si>
    <t>daniel treskow 14122080-2</t>
  </si>
  <si>
    <t>Catriem2026@</t>
  </si>
  <si>
    <t>transportesmjm2024@gmail.com</t>
  </si>
  <si>
    <t>TRANSPORTES MJM SpA</t>
  </si>
  <si>
    <t>77951107-3</t>
  </si>
  <si>
    <t>TRANSPOR24</t>
  </si>
  <si>
    <t>EN PROCESO</t>
  </si>
  <si>
    <t>ARRIENDO OFICINA VIRTUAL</t>
  </si>
  <si>
    <t>BARBARA GONZALEZ, 15457449-2</t>
  </si>
  <si>
    <t>BARBARA01</t>
  </si>
  <si>
    <t>barbarag.calderon@gmail.com</t>
  </si>
  <si>
    <t>EN REVISION</t>
  </si>
  <si>
    <t>mfbecerraya@gmail.com</t>
  </si>
  <si>
    <t>Exovet Laboratorio Limitada</t>
  </si>
  <si>
    <t>77782757-k</t>
  </si>
  <si>
    <t>mfbymirc10.</t>
  </si>
  <si>
    <t>326.664 mensual. RUT Arrendador 9.159.883-3 345901-2</t>
  </si>
  <si>
    <t>María Francisca Becerra Yáñez 17.625.836-5</t>
  </si>
  <si>
    <t>mafka0307</t>
  </si>
  <si>
    <t>+56992948489</t>
  </si>
  <si>
    <t>Raimundo Ignacio Estela Leemhuis 18.088.708-5</t>
  </si>
  <si>
    <t>Mafka0307.</t>
  </si>
  <si>
    <t>nortecno.ing@gmail.com</t>
  </si>
  <si>
    <t xml:space="preserve">Nortecno SPA </t>
  </si>
  <si>
    <t>77987332-3</t>
  </si>
  <si>
    <t>NORTECNO.24</t>
  </si>
  <si>
    <t>clave sii mala</t>
  </si>
  <si>
    <t xml:space="preserve">12.000.000 a través de retiros </t>
  </si>
  <si>
    <t>Mitzy Velasquez Morgado 15.982.214-1</t>
  </si>
  <si>
    <t>Nortecno.ing@gmail.com</t>
  </si>
  <si>
    <t>12.000.000</t>
  </si>
  <si>
    <t>isitorresr@gmail.com</t>
  </si>
  <si>
    <t>TCG hub spa</t>
  </si>
  <si>
    <t>77970718-0</t>
  </si>
  <si>
    <t>1Sidor@25</t>
  </si>
  <si>
    <t>No estoy segura</t>
  </si>
  <si>
    <t>El arriendo donde vivía en 2025, desconozco si es válido.</t>
  </si>
  <si>
    <t>Isidora Sofia Torres Ramirez</t>
  </si>
  <si>
    <t>Isidora.07</t>
  </si>
  <si>
    <t xml:space="preserve">Todo lo que haya porque voy a cerrar la empresa </t>
  </si>
  <si>
    <t>tiene perdida de 8 mm no pagara renta</t>
  </si>
  <si>
    <t>SERVICIOS PROFESIONALES DE ASESORÍA COMERCIAL ISIDORA TORRES E.I.R.L.</t>
  </si>
  <si>
    <t>78134009-k</t>
  </si>
  <si>
    <t>No sé si el crédito hipotecario es valido para esto</t>
  </si>
  <si>
    <t>dj 1948 presento problemas con en el vio ya que el registro de renta empresarial no cargaba arrojaba error y la dj no se pudo mandar hasta el 19/03 si cobran multa explicar esto y pedir condonacion</t>
  </si>
  <si>
    <t>He retirado cada mes lo que me pagan con la factura que realizo</t>
  </si>
  <si>
    <t>falta la dj por que mandara mas gastos</t>
  </si>
  <si>
    <t>svetlanahigienelimpiezaspa@gmail.com</t>
  </si>
  <si>
    <t xml:space="preserve">Svetlana higiene y limpieza spa </t>
  </si>
  <si>
    <t>78165722-0</t>
  </si>
  <si>
    <t>78 165 722-0 Svetl@25</t>
  </si>
  <si>
    <t>Svetlana Vega 12857034-9</t>
  </si>
  <si>
    <t>Svetl@25</t>
  </si>
  <si>
    <t>abimfer@hotmail.com</t>
  </si>
  <si>
    <t>jhularny@gmail.com</t>
  </si>
  <si>
    <t>Compañía de soluciones servicio y arquitectura tecnológica spa</t>
  </si>
  <si>
    <t>77854265-k</t>
  </si>
  <si>
    <t>COMPA2023</t>
  </si>
  <si>
    <t xml:space="preserve">No lo tengo claro </t>
  </si>
  <si>
    <t xml:space="preserve">Debo renovar con ustedes </t>
  </si>
  <si>
    <t xml:space="preserve">Jhularny Hidalgo </t>
  </si>
  <si>
    <t>Miach0903.</t>
  </si>
  <si>
    <t>Jhidalgo@itechsolutions.cl</t>
  </si>
  <si>
    <t xml:space="preserve">No lo sé </t>
  </si>
  <si>
    <t>matias.olivosb@gmail.com</t>
  </si>
  <si>
    <t>OV SPORTS LIMITADA</t>
  </si>
  <si>
    <t>77597208-4</t>
  </si>
  <si>
    <t>WanderOV23</t>
  </si>
  <si>
    <t>matias olivos</t>
  </si>
  <si>
    <t>matias.olviosb@gmail.com</t>
  </si>
  <si>
    <t>sanjuantatiana2@gmail.com</t>
  </si>
  <si>
    <t xml:space="preserve">Mini market San Juan Spa </t>
  </si>
  <si>
    <t>78033074-0</t>
  </si>
  <si>
    <t>SanJuan24@</t>
  </si>
  <si>
    <t xml:space="preserve">500mil pesos, 8991534-1, (no sé el rol). </t>
  </si>
  <si>
    <t>Joselin Valera 26755380-7</t>
  </si>
  <si>
    <t>J04m27a25.</t>
  </si>
  <si>
    <t>+56 9 6684 3744</t>
  </si>
  <si>
    <t>sebastian.gaticalagos@gmail.com</t>
  </si>
  <si>
    <t xml:space="preserve">Gatica spa </t>
  </si>
  <si>
    <t>78123097-9</t>
  </si>
  <si>
    <t>Se20Ca30@.</t>
  </si>
  <si>
    <t>2.100.000</t>
  </si>
  <si>
    <t xml:space="preserve">No tengo socios </t>
  </si>
  <si>
    <t xml:space="preserve">No </t>
  </si>
  <si>
    <t xml:space="preserve">No recuerdo </t>
  </si>
  <si>
    <t>carolina.videla@hotmail.com</t>
  </si>
  <si>
    <t>Climatización y montajes Videla &amp; Toro SPA</t>
  </si>
  <si>
    <t>77938492-6</t>
  </si>
  <si>
    <t>CLIMA2024</t>
  </si>
  <si>
    <t>No tenemos</t>
  </si>
  <si>
    <t>Carolina Videla toro 19.096.277-6</t>
  </si>
  <si>
    <t>CARO2023</t>
  </si>
  <si>
    <t>Carolina.videla@hotmail.com</t>
  </si>
  <si>
    <t xml:space="preserve">CAJA CHICA AGREGAR GASTOS QUE NO TIENE PARA QUE NO PAGUE IMPUESTOS </t>
  </si>
  <si>
    <t>aabb19546787@gmail.com</t>
  </si>
  <si>
    <t>Inversiones AyE SPA</t>
  </si>
  <si>
    <t>77955178-4</t>
  </si>
  <si>
    <t>INVER2024</t>
  </si>
  <si>
    <t>Regimen General (semi integrado)</t>
  </si>
  <si>
    <t>26892317-9</t>
  </si>
  <si>
    <t>ALEX2024</t>
  </si>
  <si>
    <t>daltonandres@gmail.com</t>
  </si>
  <si>
    <t>GRUPO CONSTRUCTOR GYD SPA</t>
  </si>
  <si>
    <t>78076436-8</t>
  </si>
  <si>
    <t>Grupo25@</t>
  </si>
  <si>
    <t>Esa información la manejan Uds.</t>
  </si>
  <si>
    <t>Solo oficina virtual con Uds.</t>
  </si>
  <si>
    <t>Guillermo Ramirez Muñoz, Rut: 13.065.734-6</t>
  </si>
  <si>
    <t>Uds tienen la clave (no la sabe)</t>
  </si>
  <si>
    <t>guillermo.ramirez@gydconstructora.com</t>
  </si>
  <si>
    <t>Lorena Monroy Muñoz, Rut: 14.176.599-k</t>
  </si>
  <si>
    <t>la solicito y te la enviaré</t>
  </si>
  <si>
    <t>no aplica</t>
  </si>
  <si>
    <t>a definir</t>
  </si>
  <si>
    <t>si a una persona, por 1MM mas impuestos</t>
  </si>
  <si>
    <t>pabloceballosmadrid@gmail.com</t>
  </si>
  <si>
    <t>Pablo Ceballos Madrid</t>
  </si>
  <si>
    <t>12776345-3</t>
  </si>
  <si>
    <t>COMERCIA23</t>
  </si>
  <si>
    <t>No habia trabajadores a cargo de este rut</t>
  </si>
  <si>
    <t>no hubo arriendo comercial</t>
  </si>
  <si>
    <t xml:space="preserve"> </t>
  </si>
  <si>
    <t xml:space="preserve">  </t>
  </si>
  <si>
    <t>no hubo pagos</t>
  </si>
  <si>
    <t>comercial oftato spa</t>
  </si>
  <si>
    <t>77852913-0</t>
  </si>
  <si>
    <t>Desconozco</t>
  </si>
  <si>
    <t xml:space="preserve">   </t>
  </si>
  <si>
    <t xml:space="preserve">    </t>
  </si>
  <si>
    <t>yvaldezolivo@gmail.com</t>
  </si>
  <si>
    <t>Visión 400 SPA</t>
  </si>
  <si>
    <t>77937684-2</t>
  </si>
  <si>
    <t>EVzDEmUD.7</t>
  </si>
  <si>
    <t>83300 anual VOLLAIRE &amp; OLIVOS VSV CONSULTORIA LTDA, Rol único tributario número 77.397.024-6, PADRE MARIANO 103, OFICINA 201, ROL 00022-606</t>
  </si>
  <si>
    <t>Yhioshira Valdez 25858655-7</t>
  </si>
  <si>
    <t>BHEmUD..23</t>
  </si>
  <si>
    <t>+56975747098</t>
  </si>
  <si>
    <t>William Bustamante 26158060-8</t>
  </si>
  <si>
    <t>w1ll1am.</t>
  </si>
  <si>
    <t>catalanc@asociadoscycabogados.com</t>
  </si>
  <si>
    <t>CATALAN SPA</t>
  </si>
  <si>
    <t>77799354-2</t>
  </si>
  <si>
    <t>Catalan1926</t>
  </si>
  <si>
    <t>8.485.088</t>
  </si>
  <si>
    <t>360.000 , arrendador 10.641.512-9 ( representante legal Sindicato de Trabajadores Nº1 papeles cordillera SpA) , Rol propiedad Nº 00492-006</t>
  </si>
  <si>
    <t xml:space="preserve">MARIA TERESA CATALÁN RUMINOT </t>
  </si>
  <si>
    <t>MARIA97</t>
  </si>
  <si>
    <t xml:space="preserve">LUIS FERNANDO CABEZAS CATALÁN </t>
  </si>
  <si>
    <t>FernandoCabezas1926</t>
  </si>
  <si>
    <t>CONSTANZA DANIELA CORNEJO CATALÁN</t>
  </si>
  <si>
    <t>Coty.1926</t>
  </si>
  <si>
    <t>1985cabm@gmail.com</t>
  </si>
  <si>
    <t>266176669-6</t>
  </si>
  <si>
    <t>26617699-6</t>
  </si>
  <si>
    <t>Guille11*</t>
  </si>
  <si>
    <t>Carlos Alberto Bastardo 26617699-6</t>
  </si>
  <si>
    <t>+56986455813</t>
  </si>
  <si>
    <t>Servicios y maquinarias industriales SPA</t>
  </si>
  <si>
    <t>78184026-2</t>
  </si>
  <si>
    <t>Carlos Bastardo 26617699-6</t>
  </si>
  <si>
    <t>ncastillo@hrinsight.cl</t>
  </si>
  <si>
    <t>HR INSIGHT CONSULTING SPA</t>
  </si>
  <si>
    <t>78074297-6</t>
  </si>
  <si>
    <t>HR1nsight@</t>
  </si>
  <si>
    <t>$12.852 arriendo mensual, rut del arrendador: 77.078.023-3, rol: 3110-17</t>
  </si>
  <si>
    <t>NICOLÁS CASTILLO CORTES 15.096.521-7</t>
  </si>
  <si>
    <t>D10sm3v33@</t>
  </si>
  <si>
    <t>Paulina Rojas RUT: 9749.078-3</t>
  </si>
  <si>
    <t>nicohurtadospok@gmail.com</t>
  </si>
  <si>
    <t>Trepa Verde Spa</t>
  </si>
  <si>
    <t>78300694-4</t>
  </si>
  <si>
    <t>Blink182.</t>
  </si>
  <si>
    <t>Nicolás Hurtado 18.588.607-7</t>
  </si>
  <si>
    <t>+56998420749</t>
  </si>
  <si>
    <t>Nicohurtadospok@gmail.com</t>
  </si>
  <si>
    <t>talo19@gmail.com</t>
  </si>
  <si>
    <t xml:space="preserve">Mgc inversiónes spa </t>
  </si>
  <si>
    <t>78271993-9</t>
  </si>
  <si>
    <t>MGc@2025</t>
  </si>
  <si>
    <t>16910433-6</t>
  </si>
  <si>
    <t>Daniel10#8</t>
  </si>
  <si>
    <t>programat0828@gmail.com</t>
  </si>
  <si>
    <t>FABRICA DE EMPANADAS LA PERLA SPA</t>
  </si>
  <si>
    <t>78116703-7</t>
  </si>
  <si>
    <t>Elkin.2025</t>
  </si>
  <si>
    <t>ELKIN ALEXANDER OVIEDO</t>
  </si>
  <si>
    <t>Jacob.2812</t>
  </si>
  <si>
    <t>loo-0528@hotmail.com</t>
  </si>
  <si>
    <t>todo</t>
  </si>
  <si>
    <t>sefervillar23@gmail.com</t>
  </si>
  <si>
    <t>CONSTRUCCIONES Y REMODELACIONES S.V SPA</t>
  </si>
  <si>
    <t>77904639-7</t>
  </si>
  <si>
    <t>Constru08$</t>
  </si>
  <si>
    <t>850.0000.           RUT ( arrendador) 9.475.274_4
05264-00030</t>
  </si>
  <si>
    <t>24429299_2</t>
  </si>
  <si>
    <t>No sabe</t>
  </si>
  <si>
    <t>maurilopezx25@gmail.com</t>
  </si>
  <si>
    <t>Comercilizadora de ventanas y marcos de aluminio</t>
  </si>
  <si>
    <t>78305639-9</t>
  </si>
  <si>
    <t>Emi1994_</t>
  </si>
  <si>
    <t>Mauricio jara 187168805</t>
  </si>
  <si>
    <t>cesardeandrade2017@gmail.com</t>
  </si>
  <si>
    <t>Sublimation luxury spa</t>
  </si>
  <si>
    <t>78133285-2</t>
  </si>
  <si>
    <t>Cesar.2025</t>
  </si>
  <si>
    <t>filmatica1970@gmail.com</t>
  </si>
  <si>
    <t>New Media production spa</t>
  </si>
  <si>
    <t>77839119-8</t>
  </si>
  <si>
    <t>Patitas@1970</t>
  </si>
  <si>
    <t xml:space="preserve">Claudio André Olmos </t>
  </si>
  <si>
    <t>+56951766543</t>
  </si>
  <si>
    <t>nestor.ingemec@gmail.com</t>
  </si>
  <si>
    <t>P Y P INGENIEROS SPA</t>
  </si>
  <si>
    <t>78064752-3</t>
  </si>
  <si>
    <t>P&amp;Pinge24</t>
  </si>
  <si>
    <t>Néstor Paredes Medina, 11446810-K</t>
  </si>
  <si>
    <t>Dinero69@</t>
  </si>
  <si>
    <t>Sean Paredes Gajardo, 20884274-9</t>
  </si>
  <si>
    <t>Sepapa.1</t>
  </si>
  <si>
    <t>PAGO REGISTRO DE PROPIEDAD INTELECTUAL $597.258-  517.624 REGISTRO MARCA +138.530+275.692</t>
  </si>
  <si>
    <t>constructor.1501@gmail.com</t>
  </si>
  <si>
    <t xml:space="preserve">Servicios construcción Smart global spa </t>
  </si>
  <si>
    <t>78221159-5</t>
  </si>
  <si>
    <t>Empresa#$77</t>
  </si>
  <si>
    <t>Hugo Nuñez Millaqueo 12739340-0</t>
  </si>
  <si>
    <t>Empresa #$77</t>
  </si>
  <si>
    <t>Constructor.1501@gmail.com</t>
  </si>
  <si>
    <t xml:space="preserve">dj mandada no pagara nada por qur tiene perdida </t>
  </si>
  <si>
    <t>gestionar cuenta de banco empresa</t>
  </si>
  <si>
    <t>esmec24rc@gmail.com</t>
  </si>
  <si>
    <t>ESMEC SPA</t>
  </si>
  <si>
    <t>77877135-7</t>
  </si>
  <si>
    <t>Esmec2024</t>
  </si>
  <si>
    <t>J28L3116LJ</t>
  </si>
  <si>
    <t>jonnyjos90@gmail.com</t>
  </si>
  <si>
    <t>fox.graficas25@gmail.com</t>
  </si>
  <si>
    <t xml:space="preserve">GERARDO LAGOS PUBLICIDAD </t>
  </si>
  <si>
    <t>78226429-k</t>
  </si>
  <si>
    <t>Gerardo.25</t>
  </si>
  <si>
    <t xml:space="preserve">no tengo trabajadores </t>
  </si>
  <si>
    <t xml:space="preserve">no apllica </t>
  </si>
  <si>
    <t>Gerardo lagos cabreras 175515062</t>
  </si>
  <si>
    <t>adhesivo29</t>
  </si>
  <si>
    <t>gera_7_90@hotmail.com</t>
  </si>
  <si>
    <t>karlafranv@gmail.com</t>
  </si>
  <si>
    <t>FARMACIAS HIGIA SPA</t>
  </si>
  <si>
    <t>77583495-1</t>
  </si>
  <si>
    <t>Farma-cyk2</t>
  </si>
  <si>
    <t>$460.000 y dos personas part-time $350.000 desde noviembre.</t>
  </si>
  <si>
    <t>1680000, 15.398.979-6, rol: 211924</t>
  </si>
  <si>
    <t>Karla ver 186272447</t>
  </si>
  <si>
    <t>jvrf79@gmail.com</t>
  </si>
  <si>
    <t xml:space="preserve">Comercial vimg spa </t>
  </si>
  <si>
    <t>77968052-5</t>
  </si>
  <si>
    <t>Comvimg24</t>
  </si>
  <si>
    <t xml:space="preserve">Solo pague el 2024 adjunto informes </t>
  </si>
  <si>
    <t>Jose Rivas fuentes 143516717</t>
  </si>
  <si>
    <t xml:space="preserve">La clave la manejan ustedes </t>
  </si>
  <si>
    <t>Jvrf79@gmail.com</t>
  </si>
  <si>
    <t xml:space="preserve">No hay retiro </t>
  </si>
  <si>
    <t>rogerparedes060782@gmail.com</t>
  </si>
  <si>
    <t>RYR COMIDA RAPIDA ROGER PAREDES @ GMAIL.COM</t>
  </si>
  <si>
    <t>78209313-4</t>
  </si>
  <si>
    <t>Cucharas12.</t>
  </si>
  <si>
    <t>Roger paredes tacanga    27102041-4</t>
  </si>
  <si>
    <t>Rogerparedes060782@gmail.com</t>
  </si>
  <si>
    <t>csaraosq@gmail.com</t>
  </si>
  <si>
    <t xml:space="preserve">SARAOS SYSTEMS SPA </t>
  </si>
  <si>
    <t>78198808-1</t>
  </si>
  <si>
    <t>Saraos25@</t>
  </si>
  <si>
    <t xml:space="preserve">Cristian Saraos 15.125.109-9 </t>
  </si>
  <si>
    <t>+aXcon319</t>
  </si>
  <si>
    <t xml:space="preserve">csaraosq@gmail.com </t>
  </si>
  <si>
    <t>consultar i el ppm se puede dejar como remanente para el proximo periodo</t>
  </si>
  <si>
    <t>anitamariaveas@gmail.com</t>
  </si>
  <si>
    <t xml:space="preserve"> ANITA MARÍA VEAS VILLAGRA ASESORÍAS E.I.R.L.</t>
  </si>
  <si>
    <t>78229656-6</t>
  </si>
  <si>
    <t>Fridamx01!</t>
  </si>
  <si>
    <t>Anita Veas 153331707</t>
  </si>
  <si>
    <t>anitamariaveas@gmail..com</t>
  </si>
  <si>
    <t>vladyinca@gmail.com</t>
  </si>
  <si>
    <t xml:space="preserve">AYV INVERSIONES </t>
  </si>
  <si>
    <t>78248387-0</t>
  </si>
  <si>
    <t>AYVinca.2026</t>
  </si>
  <si>
    <t xml:space="preserve">No tengo
</t>
  </si>
  <si>
    <t>25874082-3</t>
  </si>
  <si>
    <t>Vladyinca@gmail.com</t>
  </si>
  <si>
    <t>perezjuanf94@gmail.com</t>
  </si>
  <si>
    <t>GOVINDA CANO SPA</t>
  </si>
  <si>
    <t>77753277-4</t>
  </si>
  <si>
    <t>GOVINDA23</t>
  </si>
  <si>
    <t>Es mi esposa directamente solo le pago las cotizaciones.</t>
  </si>
  <si>
    <t>no pago</t>
  </si>
  <si>
    <t>Juan Perez</t>
  </si>
  <si>
    <t>Jp5620937</t>
  </si>
  <si>
    <t>felipe@modoespacial.cl</t>
  </si>
  <si>
    <t>MODOESPACIAL SPA</t>
  </si>
  <si>
    <t>76587522-6</t>
  </si>
  <si>
    <t>sourog47</t>
  </si>
  <si>
    <t>FELIPE PLOTZ 15775721-0</t>
  </si>
  <si>
    <t>zeutick69</t>
  </si>
  <si>
    <t>+56959050969</t>
  </si>
  <si>
    <t>pablo.lopez.castillo94@gmail.com</t>
  </si>
  <si>
    <t xml:space="preserve">Dunntech spa </t>
  </si>
  <si>
    <t>78215629-2</t>
  </si>
  <si>
    <t>Dunt3ch25@</t>
  </si>
  <si>
    <t>pablo lopez 187396255</t>
  </si>
  <si>
    <t>Lopez2021@</t>
  </si>
  <si>
    <t>pablo.lopez@bagaust.cl</t>
  </si>
  <si>
    <t>jlmontero.spa@gmail.com</t>
  </si>
  <si>
    <t>Jl MONTERO SPA</t>
  </si>
  <si>
    <t>78056692-2</t>
  </si>
  <si>
    <t>JL.2024</t>
  </si>
  <si>
    <t>Jl.2024</t>
  </si>
  <si>
    <t>+56940613456</t>
  </si>
  <si>
    <t>cfellay@forsend.cl</t>
  </si>
  <si>
    <t>Mr. Pasta</t>
  </si>
  <si>
    <t>77944164-4</t>
  </si>
  <si>
    <t>MRPASTA24</t>
  </si>
  <si>
    <t>89.000.000</t>
  </si>
  <si>
    <t>53.000.000 / 76.409.851</t>
  </si>
  <si>
    <t>Cristóbal Fellay 16.020.045-6</t>
  </si>
  <si>
    <t>mafe2018</t>
  </si>
  <si>
    <t>21.600.000</t>
  </si>
  <si>
    <t>amablejoseamado@gmail.com</t>
  </si>
  <si>
    <t xml:space="preserve">Transporte y logística amado bermejo spa </t>
  </si>
  <si>
    <t>77924326-5</t>
  </si>
  <si>
    <t>TRANSPO2024</t>
  </si>
  <si>
    <t xml:space="preserve">No tengo trabajadores </t>
  </si>
  <si>
    <t>Amable José amado pulgar  26756065k</t>
  </si>
  <si>
    <t>Marcela123</t>
  </si>
  <si>
    <t>Astrid Carolina bermejo de amado</t>
  </si>
  <si>
    <t>loreto.vargas.ce@gmail.com</t>
  </si>
  <si>
    <t>Loreto Vargas minimarket eirl</t>
  </si>
  <si>
    <t>78093448-4</t>
  </si>
  <si>
    <t>Lore127.</t>
  </si>
  <si>
    <t>scarlettgisell10@gmail.com</t>
  </si>
  <si>
    <t>INGDELTA SPA</t>
  </si>
  <si>
    <t>78113009-5</t>
  </si>
  <si>
    <t>Harold25.</t>
  </si>
  <si>
    <t>N/A</t>
  </si>
  <si>
    <t>HAROLD MAURY</t>
  </si>
  <si>
    <t>Hemm260879@</t>
  </si>
  <si>
    <t>harold.maury@ingdelta.com</t>
  </si>
  <si>
    <t>HAMABU SPA</t>
  </si>
  <si>
    <t>78148316-8</t>
  </si>
  <si>
    <t>Hamabu25*</t>
  </si>
  <si>
    <t>25 UF mensual</t>
  </si>
  <si>
    <t>23999914k</t>
  </si>
  <si>
    <t>claudioponce.l@gmail.com</t>
  </si>
  <si>
    <t>Aprendizaje Activo SPa</t>
  </si>
  <si>
    <t>78016722-k</t>
  </si>
  <si>
    <t>Klaudio11$$PP</t>
  </si>
  <si>
    <t>+56967089566</t>
  </si>
  <si>
    <t>caamireyess@gmail.com</t>
  </si>
  <si>
    <t>mazzillirlanda@gmail.com</t>
  </si>
  <si>
    <t>Mazzilli Spa</t>
  </si>
  <si>
    <t>78207491-1</t>
  </si>
  <si>
    <t>Irla6139*</t>
  </si>
  <si>
    <t xml:space="preserve">850.000+250.000 gc
Rut 77.756.759-4
Inversiones food Spa
</t>
  </si>
  <si>
    <t>Irlanda Mazzilli Ojeda 27.411.833-4</t>
  </si>
  <si>
    <t>Irla5524@</t>
  </si>
  <si>
    <t>9 7156 5348</t>
  </si>
  <si>
    <t xml:space="preserve">mazzillirlanda@gmail.com </t>
  </si>
  <si>
    <t>alejandrohernanvasquezlopez@gmail.com</t>
  </si>
  <si>
    <t>Vacik servicio spa</t>
  </si>
  <si>
    <t>78015488-8</t>
  </si>
  <si>
    <t>ignacio1-K</t>
  </si>
  <si>
    <t>Si 500000</t>
  </si>
  <si>
    <t>Alejandro Vasquez 16770661-4</t>
  </si>
  <si>
    <t>alejandrovasquez@vacikserviciosspa.com</t>
  </si>
  <si>
    <t>fernandoferruzola9@gmail.com</t>
  </si>
  <si>
    <t xml:space="preserve">Fernando Ferruzola Barzola </t>
  </si>
  <si>
    <t>77891881-1</t>
  </si>
  <si>
    <t>77891881-1Fernand25!</t>
  </si>
  <si>
    <t xml:space="preserve">Ninguna </t>
  </si>
  <si>
    <t xml:space="preserve">Ninguno </t>
  </si>
  <si>
    <t>$0)</t>
  </si>
  <si>
    <t>natyruz.hair@gmail.com</t>
  </si>
  <si>
    <t>naty ruz cosmetics</t>
  </si>
  <si>
    <t>78064268-8</t>
  </si>
  <si>
    <t>Naty2024@</t>
  </si>
  <si>
    <t>no tengo trabajadores</t>
  </si>
  <si>
    <t>isidora24</t>
  </si>
  <si>
    <t>nataliaruzmoreno@gmail.com</t>
  </si>
  <si>
    <t xml:space="preserve">no sé  cuál </t>
  </si>
  <si>
    <t>ignaciotorres095@gmail.com</t>
  </si>
  <si>
    <t>Ignacio torres</t>
  </si>
  <si>
    <t>19087425-7</t>
  </si>
  <si>
    <t>Gm29VI69</t>
  </si>
  <si>
    <t xml:space="preserve">Empresa debe entregar </t>
  </si>
  <si>
    <t>Ignacio torres 19087425-7</t>
  </si>
  <si>
    <t>-</t>
  </si>
  <si>
    <t>maguilarrivera79@gmail.com</t>
  </si>
  <si>
    <t>Hi Green Tech</t>
  </si>
  <si>
    <t>77139803-0</t>
  </si>
  <si>
    <t>H1Gr1nTech</t>
  </si>
  <si>
    <t>cero</t>
  </si>
  <si>
    <t>Marcelo Aguilar Rivera</t>
  </si>
  <si>
    <t>56 9 2863 9883</t>
  </si>
  <si>
    <t>aguilarr_m@hotmail.com</t>
  </si>
  <si>
    <t>matignacio.arq@gmail.com</t>
  </si>
  <si>
    <t>Arquitectura Matias Ignacio Alfaro Acevedo EIRL</t>
  </si>
  <si>
    <t>78128622-2</t>
  </si>
  <si>
    <t xml:space="preserve">MatiasA25! </t>
  </si>
  <si>
    <t>255000, 203907699, A pdte Balmaceda 2720 depto 2501, no se el rol</t>
  </si>
  <si>
    <t xml:space="preserve">Matias Ignacio Alfaro Acevedo 20390769-9 </t>
  </si>
  <si>
    <t xml:space="preserve">MatiasA24! </t>
  </si>
  <si>
    <t xml:space="preserve">matignacio.arq@gmail.com </t>
  </si>
  <si>
    <t>2.294.000$</t>
  </si>
  <si>
    <t>elisetteporras@gmail.com</t>
  </si>
  <si>
    <t>Ecycling Spa</t>
  </si>
  <si>
    <t>77756574-5</t>
  </si>
  <si>
    <t>Daal.2025</t>
  </si>
  <si>
    <t>no</t>
  </si>
  <si>
    <t>mcorvalan@mcbconsultores.cl</t>
  </si>
  <si>
    <t>MCB Consultores SPA</t>
  </si>
  <si>
    <t>77871935-5</t>
  </si>
  <si>
    <t>CONSULT23</t>
  </si>
  <si>
    <t>Mauricio Corvalan Bustos 14143766-6</t>
  </si>
  <si>
    <t>MAURI2023</t>
  </si>
  <si>
    <t>4700000 brutos Retencion 681500 Liquido 4018500</t>
  </si>
  <si>
    <t>daveevangelista32@gmail.com</t>
  </si>
  <si>
    <t>Arte plano spa</t>
  </si>
  <si>
    <t>78112284-k</t>
  </si>
  <si>
    <t>Arte2025@</t>
  </si>
  <si>
    <t>300000 / 10971129-2</t>
  </si>
  <si>
    <t>27136181-5</t>
  </si>
  <si>
    <t>dave1717</t>
  </si>
  <si>
    <t>marchdeanna9@gmail.com</t>
  </si>
  <si>
    <t xml:space="preserve">Minimarket </t>
  </si>
  <si>
    <t>5.778.534-9</t>
  </si>
  <si>
    <t>Mncc0987&amp;</t>
  </si>
  <si>
    <t>dynamicserviceschile@gmail.com</t>
  </si>
  <si>
    <t>Comercial y servicios dynamic SPA</t>
  </si>
  <si>
    <t>77953827-3</t>
  </si>
  <si>
    <t>Dynamic24</t>
  </si>
  <si>
    <t xml:space="preserve">Carlos Arancibia </t>
  </si>
  <si>
    <t>Db230682</t>
  </si>
  <si>
    <t>Carlos.arancibia.r@dynamicservices.cl</t>
  </si>
  <si>
    <t>robertosalas02@hotmail.com</t>
  </si>
  <si>
    <t xml:space="preserve">Comercilizadora Rovira spa </t>
  </si>
  <si>
    <t xml:space="preserve">77852939-4 </t>
  </si>
  <si>
    <t>ROVIRA2024</t>
  </si>
  <si>
    <t xml:space="preserve">No se </t>
  </si>
  <si>
    <t>1.700.000</t>
  </si>
  <si>
    <t>Roberto Salas 12639571k</t>
  </si>
  <si>
    <t>hesedgroup.spa@gmail.com</t>
  </si>
  <si>
    <t xml:space="preserve">Hesed Group SpA </t>
  </si>
  <si>
    <t>78288354-2</t>
  </si>
  <si>
    <t>Hesed7788.</t>
  </si>
  <si>
    <t>Sin trabajadores</t>
  </si>
  <si>
    <t xml:space="preserve">Solo oficina virtual </t>
  </si>
  <si>
    <t>Elizabeth Soza 10.549.048-8</t>
  </si>
  <si>
    <t>Geno27.8</t>
  </si>
  <si>
    <t>934562123/968004008</t>
  </si>
  <si>
    <t>genoveva.ms@gmail.com</t>
  </si>
  <si>
    <t>anita@fayinversiones.cl</t>
  </si>
  <si>
    <t>FAY INVERSIONES INMOBILIARIAS SpA</t>
  </si>
  <si>
    <t>78.221.287-7</t>
  </si>
  <si>
    <t>Fabi2405.</t>
  </si>
  <si>
    <t>ALCANCE LIQUIDO: 1.550.048</t>
  </si>
  <si>
    <t>ANITA VEAS VILLAGRA 153331707</t>
  </si>
  <si>
    <t>FABIÁN ALBERTO SANHUEZA BRAVO 18.084.441-4</t>
  </si>
  <si>
    <t>Dasekrap1.</t>
  </si>
  <si>
    <t xml:space="preserve">CALDERON GESTION INMOBILIARIA </t>
  </si>
  <si>
    <t>78068412-7</t>
  </si>
  <si>
    <t>Calde3802#</t>
  </si>
  <si>
    <t>58740 + IVA  ANUAL    76859828-2  Número de Rol de Avalúo : 00816 − 00152</t>
  </si>
  <si>
    <t>BARBARA GONZALEZ CALDERON</t>
  </si>
  <si>
    <t>BARBARAG.CALDERON@GMAIL.COM</t>
  </si>
  <si>
    <t>no lo se</t>
  </si>
  <si>
    <t>carolinaandreacl25@gmail.com</t>
  </si>
  <si>
    <t>Guarderia pre After School Burbujitas limitada</t>
  </si>
  <si>
    <t>77961583-9</t>
  </si>
  <si>
    <t>PREAFTER24</t>
  </si>
  <si>
    <t>1.0000.000 ,8.868.592-k, 4266-9</t>
  </si>
  <si>
    <t>Caro85_21@hotmail.com</t>
  </si>
  <si>
    <t>RAZON SOCIAL</t>
  </si>
  <si>
    <t>RUT</t>
  </si>
  <si>
    <t>CLAVE</t>
  </si>
  <si>
    <t>CORREO</t>
  </si>
  <si>
    <t>RUT rl</t>
  </si>
  <si>
    <t>CLAVE SII</t>
  </si>
  <si>
    <t>IMPUESTO A PAGAR</t>
  </si>
  <si>
    <t>DDJJ 1947</t>
  </si>
  <si>
    <t>DDJJ 1948</t>
  </si>
  <si>
    <t>DDJJ 1879</t>
  </si>
  <si>
    <t>DDJJ 1835</t>
  </si>
  <si>
    <t>DDJJ 1887</t>
  </si>
  <si>
    <t>DDJJ 1837</t>
  </si>
  <si>
    <t>INGRESOS</t>
  </si>
  <si>
    <t>EGRESOS</t>
  </si>
  <si>
    <t>UTILIDAD/PERDIDA</t>
  </si>
  <si>
    <t>INCENTIVO AL AHORRO</t>
  </si>
  <si>
    <t>BASE IMPONIBLE</t>
  </si>
  <si>
    <t>CAPILTAL PROPIO FINAL</t>
  </si>
  <si>
    <t>REPRESENTANTE LEGAL</t>
  </si>
  <si>
    <t>COMENTARIOS</t>
  </si>
  <si>
    <t>Farma-cyk2:.</t>
  </si>
  <si>
    <t>18627244-7</t>
  </si>
  <si>
    <t>SIN CLAVE</t>
  </si>
  <si>
    <t>DECLARADO</t>
  </si>
  <si>
    <t>PENDIENTE</t>
  </si>
  <si>
    <t>KARLA VERA VERDUGO</t>
  </si>
  <si>
    <t>TENDRA QUE PAGAR IMPUESTO</t>
  </si>
  <si>
    <t>SANHUEZA MANSO SPA</t>
  </si>
  <si>
    <t>Virttux2020</t>
  </si>
  <si>
    <t>14340421-8</t>
  </si>
  <si>
    <t>LEONARDO HANSEL SANHUEZA AZÓCAR</t>
  </si>
  <si>
    <t>PAGA IMPUESTOS</t>
  </si>
  <si>
    <t>MCB CONSULTORES SPA</t>
  </si>
  <si>
    <t>14143766-6</t>
  </si>
  <si>
    <t>MAURICIO ANDRES CORVALAN BUSTOS</t>
  </si>
  <si>
    <t>NO PAGA</t>
  </si>
  <si>
    <t>CARLOS ALBERTO BASTARDO MARTINEZ</t>
  </si>
  <si>
    <t>Paratepuy37*</t>
  </si>
  <si>
    <t>26245134-8</t>
  </si>
  <si>
    <t>ALEJANDRO PEREZ RODRIGUEZ</t>
  </si>
  <si>
    <t>EXOVET LABORATORIO LIMITADA</t>
  </si>
  <si>
    <t>77782757-K</t>
  </si>
  <si>
    <t>mfbymirc10</t>
  </si>
  <si>
    <t>17625836-5</t>
  </si>
  <si>
    <t>MARIA FRANCISCA BECERRA YAÑEZ</t>
  </si>
  <si>
    <t>SCES CONSTRUCTORA SPA</t>
  </si>
  <si>
    <t>77806124-4</t>
  </si>
  <si>
    <t>SCES2023</t>
  </si>
  <si>
    <t>19662909-2</t>
  </si>
  <si>
    <t>Nicolas628!</t>
  </si>
  <si>
    <t>HECTOR NICOLAS ESPINOZA BAEZA</t>
  </si>
  <si>
    <t>T-LEX SPA</t>
  </si>
  <si>
    <t>77818938-0</t>
  </si>
  <si>
    <t>TLEX2023</t>
  </si>
  <si>
    <t>19247436-1</t>
  </si>
  <si>
    <t>Toto1357</t>
  </si>
  <si>
    <t xml:space="preserve">FERNANDO EFRAIN FERRUZOLA BARZOLA </t>
  </si>
  <si>
    <t>PROFESIONALES DE LA SOSTENIBILIDAD</t>
  </si>
  <si>
    <t>77829858-9</t>
  </si>
  <si>
    <t>Profe24#</t>
  </si>
  <si>
    <t>catalina.nmor@gmail.com</t>
  </si>
  <si>
    <t>16694268-3</t>
  </si>
  <si>
    <t>Cata0860</t>
  </si>
  <si>
    <t>construciones.sv@gmail.com</t>
  </si>
  <si>
    <t>24429299-2</t>
  </si>
  <si>
    <t>Elim%1994</t>
  </si>
  <si>
    <t>SEFER ELIM VILLAR CHIQUEZ</t>
  </si>
  <si>
    <t>PABLO CEBALLOS COMERCIAL OFTATO</t>
  </si>
  <si>
    <t>Pabloceballosmadrid@gmail.com</t>
  </si>
  <si>
    <t xml:space="preserve">12776345-3 </t>
  </si>
  <si>
    <t>PABLO2023</t>
  </si>
  <si>
    <t>PABLO CESAR CEBALLOS MADRID</t>
  </si>
  <si>
    <t>COMPAÑIA DE SOLUCIONES SERVICIOS ARQUITECTURA Y TECNOLOGIA SPA</t>
  </si>
  <si>
    <t>77854265-K</t>
  </si>
  <si>
    <t>jhidalgo@itechsolutions.cl</t>
  </si>
  <si>
    <t>26017426-6</t>
  </si>
  <si>
    <t>jhularny23</t>
  </si>
  <si>
    <t>JHULARNY</t>
  </si>
  <si>
    <t>EMPRESA S&amp;J SpA</t>
  </si>
  <si>
    <t>Empresa2026$%</t>
  </si>
  <si>
    <t>15667011-1</t>
  </si>
  <si>
    <t>CARLOS VELASQUEZ CAMPOS</t>
  </si>
  <si>
    <t>P &amp; R FIJACION - SUJECION</t>
  </si>
  <si>
    <t>77862673-K</t>
  </si>
  <si>
    <t>FIJACION23</t>
  </si>
  <si>
    <t>Pedroescalona0@gmail.com</t>
  </si>
  <si>
    <t>12018310-9</t>
  </si>
  <si>
    <t>PEDRO RIGOBERTO ESCALONA QUILODRAN</t>
  </si>
  <si>
    <t>INVERSIONES MUNDO CANINO SPA</t>
  </si>
  <si>
    <t>inversionesmundocanino@gmail.com</t>
  </si>
  <si>
    <t>26387905-8</t>
  </si>
  <si>
    <t>VANESSA ZURISADAI GONZALEZ REYES</t>
  </si>
  <si>
    <t>26646314-6</t>
  </si>
  <si>
    <t>NO DECLARAR</t>
  </si>
  <si>
    <t>JUAN FRANCISCO PEREZ ESPINOZA</t>
  </si>
  <si>
    <t>VISION 400 SPA</t>
  </si>
  <si>
    <t>wunexpo@gmail.com</t>
  </si>
  <si>
    <t>25858655-7</t>
  </si>
  <si>
    <t>VISION400</t>
  </si>
  <si>
    <t>YHIOSHIRA DEL VALLE VALDEZ OLIVO</t>
  </si>
  <si>
    <t>GATO DOLZ FUNDACION</t>
  </si>
  <si>
    <t>65191713-1</t>
  </si>
  <si>
    <t>Gatodolz23</t>
  </si>
  <si>
    <t>fundaciongatodolz@gmail.com</t>
  </si>
  <si>
    <t>11631007-4</t>
  </si>
  <si>
    <t>MARCELA ALEJANDRA DOLZ REBOLLEDO</t>
  </si>
  <si>
    <t>MR PASTA SPA</t>
  </si>
  <si>
    <t>cfellay@forsend.cl; jm_astudillo@hotmail.com</t>
  </si>
  <si>
    <t>16020045-6</t>
  </si>
  <si>
    <t>CRISTOBAL ALEJANDRO FELLAY MUÑOZ</t>
  </si>
  <si>
    <t>INVERSIONES A Y E SpA</t>
  </si>
  <si>
    <t>alexanderabermudezb@hotmail.com</t>
  </si>
  <si>
    <t>ALEXANDER ALEJANDRO BERMUDEZ BERMUDEZ</t>
  </si>
  <si>
    <t>ESMEC SpA</t>
  </si>
  <si>
    <t>ESMEC2024</t>
  </si>
  <si>
    <t>25330035-3</t>
  </si>
  <si>
    <t>JONATHAN JOSUE ESMERALDAS PERALTA</t>
  </si>
  <si>
    <t>A&amp;L SOLUCIONES Y SERVICIOS</t>
  </si>
  <si>
    <t>ayl.transportesyservicios@gmail.com; salcedo840@gmail.com</t>
  </si>
  <si>
    <t>25212812-3</t>
  </si>
  <si>
    <t>KARLA DEL VALLE MADRID LOPEZ</t>
  </si>
  <si>
    <t>VENTA DE ALIMENTOS ALEJANDRO FUENTES E.I.R.L.</t>
  </si>
  <si>
    <t>77871555-4</t>
  </si>
  <si>
    <t>beauchef934</t>
  </si>
  <si>
    <t>Elmichideltechobar@gmail.com</t>
  </si>
  <si>
    <t>16464122-8</t>
  </si>
  <si>
    <t>ALEJANDRO JAVIER FUENTES BURGOS</t>
  </si>
  <si>
    <t>HI GREEN TECH SPA</t>
  </si>
  <si>
    <t>13716520-1</t>
  </si>
  <si>
    <t>MARCELO IVAN AGUILAR RIVERA</t>
  </si>
  <si>
    <t>ROCKPERO SPA</t>
  </si>
  <si>
    <t>BERLAHEM@HOTMAIL.COM</t>
  </si>
  <si>
    <t>13708239-K</t>
  </si>
  <si>
    <t>197804BEl&amp;</t>
  </si>
  <si>
    <t>BELEN DAFFNE REBOLLEDO ZAPATA</t>
  </si>
  <si>
    <t>TELEX SPA</t>
  </si>
  <si>
    <t>JONATHAN ANDRES JARA KERN</t>
  </si>
  <si>
    <t>AGUA YA EIRL</t>
  </si>
  <si>
    <t>77801705-9</t>
  </si>
  <si>
    <t>AGUAYA2023</t>
  </si>
  <si>
    <t>Afuenburgos@gmail.com</t>
  </si>
  <si>
    <t>TPdko123</t>
  </si>
  <si>
    <t>FERNANDO FERRUZOLA CONSTRUCCIONES SPA</t>
  </si>
  <si>
    <t>Fernand25!</t>
  </si>
  <si>
    <t>24943935-5</t>
  </si>
  <si>
    <t>FERNANDO24</t>
  </si>
  <si>
    <t>VIDELA &amp; TORO</t>
  </si>
  <si>
    <t>77816587-2</t>
  </si>
  <si>
    <t>VITOSPA23</t>
  </si>
  <si>
    <t xml:space="preserve">19096277-6 </t>
  </si>
  <si>
    <t>CAROLINA DAYANA VIDELA TORO</t>
  </si>
  <si>
    <t>13257401-4</t>
  </si>
  <si>
    <t xml:space="preserve">MAURICIO ANDRES REYES PROVOSTE </t>
  </si>
  <si>
    <t>TRANSPORTES Y LOGISTICAS AMADO BERMEJO SPA</t>
  </si>
  <si>
    <t>TRANSP2024</t>
  </si>
  <si>
    <t>26756065-k</t>
  </si>
  <si>
    <t>amable2024</t>
  </si>
  <si>
    <t>AMABLE JOSE AMADO PULGAR</t>
  </si>
  <si>
    <t>VISION ARTE CONSTRUCTORA SPA</t>
  </si>
  <si>
    <t>LEONARDO.ACUNA.TORO@GMAIL.COM</t>
  </si>
  <si>
    <t>16117099-2</t>
  </si>
  <si>
    <t>Vis1onart@</t>
  </si>
  <si>
    <t>LEONARDO ANDRES ACUÑA TORO</t>
  </si>
  <si>
    <t>TRANSPORTES MJM SPA</t>
  </si>
  <si>
    <t>15457449-2</t>
  </si>
  <si>
    <t>BARBARA DE LOURDES GONZALEZ CALDERON</t>
  </si>
  <si>
    <t>MATIAS.OLIVOSB@GMAIL.COM</t>
  </si>
  <si>
    <t>18358147-3</t>
  </si>
  <si>
    <t>MATIAS IGNACIO OLIVOS BUSTAMANTE</t>
  </si>
  <si>
    <t>11446810-k</t>
  </si>
  <si>
    <t>Nicolas16@</t>
  </si>
  <si>
    <t>NESTOR FABIAN PARTEDES MEDINA</t>
  </si>
  <si>
    <t>GLADYS MONTIEL ALIMENTACIÓN EIRL</t>
  </si>
  <si>
    <t>78072524-9</t>
  </si>
  <si>
    <t>Gladys24@</t>
  </si>
  <si>
    <t>GLADYSTAVITAMONTIEL@GMAIL.COM</t>
  </si>
  <si>
    <t>10345114-0</t>
  </si>
  <si>
    <t>Gladys.24</t>
  </si>
  <si>
    <t>no tiee inicio de actividades</t>
  </si>
  <si>
    <t>GLADYS TEVITA MONTIEL GALLARDO</t>
  </si>
  <si>
    <t>Rz*6828360</t>
  </si>
  <si>
    <t>26960996-6</t>
  </si>
  <si>
    <t>RAMON ANTONIO ZAMBRANO</t>
  </si>
  <si>
    <t>TABATA CASTRO COMERCIAL EIRL</t>
  </si>
  <si>
    <t>TABATHA.CASTRO.HUENTEMILLA@GMAIL.COM</t>
  </si>
  <si>
    <t>15609954-6</t>
  </si>
  <si>
    <t>@Tabycas03</t>
  </si>
  <si>
    <t xml:space="preserve">TABATA PRISCILLA CASTRO HUENTEMILLA </t>
  </si>
  <si>
    <t>SOLUCIONES GASTRONÓMICAS RK</t>
  </si>
  <si>
    <t>Entre.planchas@gmail.com</t>
  </si>
  <si>
    <t>20446109-0</t>
  </si>
  <si>
    <t>Rrkkhh555!</t>
  </si>
  <si>
    <t>RICHARD KRAUS HERREROS</t>
  </si>
  <si>
    <t>78097527-K</t>
  </si>
  <si>
    <t>26061652-8</t>
  </si>
  <si>
    <t>dAVIDm25$</t>
  </si>
  <si>
    <t xml:space="preserve">DAVID OMAR MAITA BAUTISTA </t>
  </si>
  <si>
    <t>GOMEZ Y UNDURRAGA ACCESORIOS LTDA</t>
  </si>
  <si>
    <t>10678414-0</t>
  </si>
  <si>
    <t>CAROLINA UNRURRAGA HERRERA</t>
  </si>
  <si>
    <t>ARTICULOS DEPORTIVOS RODRIGO FIGUEROA PINTO E.I.R.L.</t>
  </si>
  <si>
    <t>78124763-4</t>
  </si>
  <si>
    <t>Sport25@</t>
  </si>
  <si>
    <t>RFIGUEROAPINTO98@GMAIL.COM</t>
  </si>
  <si>
    <t>19984168-8</t>
  </si>
  <si>
    <t>Rodrigo25@</t>
  </si>
  <si>
    <t>RODRIGO IGNACIO FIGUEROA PINTO</t>
  </si>
  <si>
    <t>SALUD Y RENDIMIENTO</t>
  </si>
  <si>
    <t>18730649-3</t>
  </si>
  <si>
    <t>PABLO BASTIAN VILLALBA FUICA</t>
  </si>
  <si>
    <t>AMIL SPA</t>
  </si>
  <si>
    <t>ALGD1986@GMAIL.COM</t>
  </si>
  <si>
    <t>ANIBAL ALEJANDRO LADRON DE GUEVARA DUARTE</t>
  </si>
  <si>
    <t>IMEELA COMPANY SPA</t>
  </si>
  <si>
    <t>77801558-7</t>
  </si>
  <si>
    <t>IMEELA2023</t>
  </si>
  <si>
    <t>jeanismailleriche@gmail.com</t>
  </si>
  <si>
    <t>27097283-7</t>
  </si>
  <si>
    <t xml:space="preserve">JEAN ISAILLE RICHE </t>
  </si>
  <si>
    <t>TUNGARTE SPA</t>
  </si>
  <si>
    <t>77034756-4</t>
  </si>
  <si>
    <t>Yuli.2025</t>
  </si>
  <si>
    <t>JOSERIVILCHEZ@GMAIL.COM</t>
  </si>
  <si>
    <t>25293632-7</t>
  </si>
  <si>
    <t>ORMARY DE LOS ANGELES CHACIN GONZALEZ</t>
  </si>
  <si>
    <t>SERVICIOS PONCE ROJAS LIMITADA</t>
  </si>
  <si>
    <t>77869399-2</t>
  </si>
  <si>
    <t>Toto1603</t>
  </si>
  <si>
    <t>brandon.covarrubias.scan@gmail.com</t>
  </si>
  <si>
    <t>17680593-5</t>
  </si>
  <si>
    <t>CARLOS IGNACIO PONCE BRITO</t>
  </si>
  <si>
    <t>sistema arroja error y no se puede mnadar dddjj</t>
  </si>
  <si>
    <t>MARKETING NOESART LIMITADA</t>
  </si>
  <si>
    <t>77656528-8</t>
  </si>
  <si>
    <t>pamesta12</t>
  </si>
  <si>
    <t>rod.ggaray@gmail.com</t>
  </si>
  <si>
    <t>18565323-4</t>
  </si>
  <si>
    <t>Clavestas2.</t>
  </si>
  <si>
    <t>RODRIGO ANDRES GARAY OLAVARRIA</t>
  </si>
  <si>
    <t>PORTILLA PRODUCCIONES Y EVENTOS LIMITADA</t>
  </si>
  <si>
    <t>77895764-7</t>
  </si>
  <si>
    <t>PORTI2024</t>
  </si>
  <si>
    <t>hawaifestproducciones@gmail.com</t>
  </si>
  <si>
    <t>18880857-3</t>
  </si>
  <si>
    <t>ANDREA DE LOS ANGELES PORTILLA VELASQUEZ</t>
  </si>
  <si>
    <t>VARIEGADAS VIÑA DEL MAR SPA</t>
  </si>
  <si>
    <t>77829364-1</t>
  </si>
  <si>
    <t>Rusia2009_</t>
  </si>
  <si>
    <t>Trinidad.arancibia.a@gmail.com</t>
  </si>
  <si>
    <t>18782436-2</t>
  </si>
  <si>
    <t>termino de giro x pagar</t>
  </si>
  <si>
    <t>TRINIDAD DEL ROSARIO ARANCIBIA ARANCIBIA</t>
  </si>
  <si>
    <t>SALUD Y BIENESTAR REYES Y CARRERO LTDA</t>
  </si>
  <si>
    <t>77903846-7</t>
  </si>
  <si>
    <t>SALUD2024</t>
  </si>
  <si>
    <t>Dra.karlavanes@gmail.com</t>
  </si>
  <si>
    <t>27093739-K</t>
  </si>
  <si>
    <t>Kj159632.</t>
  </si>
  <si>
    <t>termino de giro aceptado 2025</t>
  </si>
  <si>
    <t>KARLA VANESSA REYES ARAPE</t>
  </si>
  <si>
    <t>SOCIEDAD OLIVA Y VARGAS SPA</t>
  </si>
  <si>
    <t>77799226-0</t>
  </si>
  <si>
    <t>GASPAR19</t>
  </si>
  <si>
    <t>igor.villarroel.gabriel@gmail.com</t>
  </si>
  <si>
    <t>18844329-K</t>
  </si>
  <si>
    <t>Anselmo25@</t>
  </si>
  <si>
    <t>ANSELMO SACARIAS VARGAS BARRIA</t>
  </si>
  <si>
    <t>JOSE VICENTE RIVAS FUENTES</t>
  </si>
  <si>
    <t>Jrivas@25</t>
  </si>
  <si>
    <t>JVRF79@GMAIL.COM</t>
  </si>
  <si>
    <t>14351671-7</t>
  </si>
  <si>
    <t>YERID SPA</t>
  </si>
  <si>
    <t>78086516-4</t>
  </si>
  <si>
    <t>2025David!</t>
  </si>
  <si>
    <t>david.maitab@gmail.com</t>
  </si>
  <si>
    <t>DAVID OMAR MAITA BAUTISTA</t>
  </si>
  <si>
    <t>ECYLING SPA</t>
  </si>
  <si>
    <t>26671708-3</t>
  </si>
  <si>
    <t>ELISETTE PORRAS DAAL</t>
  </si>
  <si>
    <t>IGNACIO MARCELO TORRES MENDEZ</t>
  </si>
  <si>
    <t>COMERCIAL OFTATO</t>
  </si>
  <si>
    <t>CLIMATIZACION Y MONTAJES VIDELA &amp; TORO SPA</t>
  </si>
  <si>
    <t>MINIMARKET SAN JUAN SPA</t>
  </si>
  <si>
    <t>26755380-7</t>
  </si>
  <si>
    <t>Joselin24@</t>
  </si>
  <si>
    <t>JOSELIN GABRIELA VALERIA ALVAREZ</t>
  </si>
  <si>
    <t>JOSÉ MARTINEZ CONSTRUCCIONES E.I.R.L.</t>
  </si>
  <si>
    <t>14179581-3</t>
  </si>
  <si>
    <t>JOSE OMAR MARTINEZ ORTIZ</t>
  </si>
  <si>
    <t>DISEÑOS VICTORIA PIÑA E.I.R.L.</t>
  </si>
  <si>
    <t>78124088-5</t>
  </si>
  <si>
    <t>Toria.12</t>
  </si>
  <si>
    <t>vdpr86@gmail.com</t>
  </si>
  <si>
    <t>26176436-9</t>
  </si>
  <si>
    <t>VICTORIA DESIREE PINA ROSALES</t>
  </si>
  <si>
    <t>M &amp;V SERVICIOS INTEGRALES SPA</t>
  </si>
  <si>
    <t>77922345-0</t>
  </si>
  <si>
    <t>Mv@202501</t>
  </si>
  <si>
    <t>mv.serviciosintegrales.mv@gmail.com</t>
  </si>
  <si>
    <t>25272170-4</t>
  </si>
  <si>
    <t>Mv@20242</t>
  </si>
  <si>
    <t>DIEGO ALEJANDRO MORA QUINTERO</t>
  </si>
  <si>
    <t>NEW MEDIA PRODUCCION</t>
  </si>
  <si>
    <t>NEWMEDIA23</t>
  </si>
  <si>
    <t>CLAUDIO ANDRE OLMOS DURAN</t>
  </si>
  <si>
    <t>PERDIDA DE $267.781</t>
  </si>
  <si>
    <t>NUTRICIÓN ÁLVARO FARFÁN DIAZ SPA</t>
  </si>
  <si>
    <t>19148870-9</t>
  </si>
  <si>
    <t>ALVARO CAMILO FARFAN DIAZ</t>
  </si>
  <si>
    <t>ARACENA226@GMAIL.COM</t>
  </si>
  <si>
    <t>18212505-9</t>
  </si>
  <si>
    <t>939659Jal#</t>
  </si>
  <si>
    <t>JAIME FERNANDO ARACENA LEON</t>
  </si>
  <si>
    <t>DRYWALL SOLUTIONS SPA</t>
  </si>
  <si>
    <t>77864218-2</t>
  </si>
  <si>
    <t>DRYWALL24</t>
  </si>
  <si>
    <t>YESENIABASCOPE@GMAIL.COM</t>
  </si>
  <si>
    <t>BASCOPEY23</t>
  </si>
  <si>
    <t>YESENIA FABIOLA BASCOPE FRANCO</t>
  </si>
  <si>
    <t>GATICA SPA</t>
  </si>
  <si>
    <t>18819244-0</t>
  </si>
  <si>
    <t>Sebas25@</t>
  </si>
  <si>
    <t>SEBASTIAN ROMELIO GATICA LAGOS</t>
  </si>
  <si>
    <t>KALA MARÍA SPA</t>
  </si>
  <si>
    <t>77937906-K</t>
  </si>
  <si>
    <t>ANGELICA MARIA GUTIERREZ SILVA</t>
  </si>
  <si>
    <t>SUBLIMINATION LUXURY SPA</t>
  </si>
  <si>
    <t>CESARDEANDRADE2017@GMAIL.COM</t>
  </si>
  <si>
    <t>27510705-0</t>
  </si>
  <si>
    <t>CESAR FELIPE DE ANDRADE CALDEIRA</t>
  </si>
  <si>
    <t>GRUPO CONSTRUCTOR G&amp;D SpA</t>
  </si>
  <si>
    <t>dalton.marin@gydconstructora.com</t>
  </si>
  <si>
    <t>13065734-6</t>
  </si>
  <si>
    <t>Guille.197</t>
  </si>
  <si>
    <t>GUILLERMO ESTEBAN RAMIREZ MUÑOZ</t>
  </si>
  <si>
    <t>SERVICIOS DE SALUD REICHEL LTDA</t>
  </si>
  <si>
    <t>77901312-K</t>
  </si>
  <si>
    <t>22864271-1</t>
  </si>
  <si>
    <t>001949Lr*</t>
  </si>
  <si>
    <t>MARA JUDITH REICHEL</t>
  </si>
  <si>
    <t>LORETO VARGAS MINIMARKET EIRL</t>
  </si>
  <si>
    <t>LORETO.VARGAS.CE@GMAIL.COM</t>
  </si>
  <si>
    <t>17766293-3</t>
  </si>
  <si>
    <t>Maite1207.</t>
  </si>
  <si>
    <t xml:space="preserve">LORETO DEL CARMEN VARGAS CELIS </t>
  </si>
  <si>
    <t>JL MONTERO SPA</t>
  </si>
  <si>
    <t>Montero.24</t>
  </si>
  <si>
    <r>
      <rPr>
        <rFont val="Arial"/>
        <color rgb="FF000000"/>
        <sz val="8.0"/>
        <u/>
      </rPr>
      <t>JLMONTERO.SPA@GMAIL.COM</t>
    </r>
  </si>
  <si>
    <t>13797596-3</t>
  </si>
  <si>
    <t>Jose.0104</t>
  </si>
  <si>
    <t>JOSE LUIS ESPINOZA SPARZA</t>
  </si>
  <si>
    <t xml:space="preserve">HAMABU SPA </t>
  </si>
  <si>
    <t>harold.maury@ingdelta.com; scarlett.duran@ingdelta.com</t>
  </si>
  <si>
    <t>23999914-K</t>
  </si>
  <si>
    <t>Harold25@</t>
  </si>
  <si>
    <t>HAROLD ENRIQUE MAURY MIRANDA</t>
  </si>
  <si>
    <t>scarlett.duran@ingdelta.com</t>
  </si>
  <si>
    <t>CSARAOSQ@GMAIL.COM</t>
  </si>
  <si>
    <t>15125109-9</t>
  </si>
  <si>
    <t>SARAOS25Q</t>
  </si>
  <si>
    <t>CRISTIAN MANUEL SARAOS QUINTANILLA</t>
  </si>
  <si>
    <t>Innovagab.spa@gmail.com</t>
  </si>
  <si>
    <t>15437678-K</t>
  </si>
  <si>
    <t>Juan25@</t>
  </si>
  <si>
    <t>JUAN ALEJANDRO GALLARDO SANCHEZ</t>
  </si>
  <si>
    <t>SERVICIOS Y MAQUINARIAS INDUSTRIALES SPA</t>
  </si>
  <si>
    <t>CARLOS BASTARDO</t>
  </si>
  <si>
    <t>R&amp;R COMIDA RÁPIDA ROGER PAREDES E.I.R.L.</t>
  </si>
  <si>
    <t>27102041-4</t>
  </si>
  <si>
    <t>Roger.2025</t>
  </si>
  <si>
    <t xml:space="preserve">ROGER ALEXANDER PAREDES TACANGA </t>
  </si>
  <si>
    <t>TRANSPORTES Y SERVICIOS YERSIN CARRASQUEL SPA</t>
  </si>
  <si>
    <t>27098442-8</t>
  </si>
  <si>
    <t>YERSIN JOSE CARRASQUEL FEBRES</t>
  </si>
  <si>
    <t>CONGELADOS Y GOURMET B&amp;B SPA</t>
  </si>
  <si>
    <t>C@ngelad25</t>
  </si>
  <si>
    <t>9921115-6</t>
  </si>
  <si>
    <t>HIJOSjvbp6#</t>
  </si>
  <si>
    <t>JESSICA VIRGINIA BADILLA PORRAS</t>
  </si>
  <si>
    <t>SVETLANA HIGIENE Y LIMPIEZA</t>
  </si>
  <si>
    <t>Abimfer@hotmail.com</t>
  </si>
  <si>
    <t>12857034-9</t>
  </si>
  <si>
    <t>carola12</t>
  </si>
  <si>
    <t>SVETLANA CAROLA VEGA CHEUQUE</t>
  </si>
  <si>
    <t xml:space="preserve">COMPRO VEHICULO X 10 MM / </t>
  </si>
  <si>
    <t>RECICLAJE SIN HUELLA SpA</t>
  </si>
  <si>
    <t>78166959-8</t>
  </si>
  <si>
    <t>Huellas25@</t>
  </si>
  <si>
    <t>marcelosinhuella@gmail.com</t>
  </si>
  <si>
    <t>12721924-9</t>
  </si>
  <si>
    <t>Marcelo25@</t>
  </si>
  <si>
    <t>clave mala</t>
  </si>
  <si>
    <t>MARCELO ANDRES RAMIREZ SALGADO</t>
  </si>
  <si>
    <t>15775721-0</t>
  </si>
  <si>
    <t>FELIPE IGNACIO PLOTZ CAMACHO</t>
  </si>
  <si>
    <t>VA EVALUAR CUENTO IMPIUESTO LE SALE A PAGAR PARA TOMAR DECISION</t>
  </si>
  <si>
    <t>C&amp;J SERVICIOS Y ASEOSRIAS LTDA</t>
  </si>
  <si>
    <t>77905007-6</t>
  </si>
  <si>
    <t>SERVI2024</t>
  </si>
  <si>
    <t>pablo.cavieres.s@gmail.com</t>
  </si>
  <si>
    <t>DUNNTECH SpA</t>
  </si>
  <si>
    <t>18739625-5</t>
  </si>
  <si>
    <t>PABLO ERNESTO LOPEZ CASTILLO</t>
  </si>
  <si>
    <t>nicocastillo@me.com</t>
  </si>
  <si>
    <t>15096521-7</t>
  </si>
  <si>
    <t>D10sm3v33</t>
  </si>
  <si>
    <t>NICOLAS DANIEL CASTILLO CORTES</t>
  </si>
  <si>
    <t>GERARDO LAGOS PUBLICIDAD E.I.R.L.</t>
  </si>
  <si>
    <t>78226429-K</t>
  </si>
  <si>
    <t>GERA_7_90@HOTMAIL.COM</t>
  </si>
  <si>
    <t>17551506-2</t>
  </si>
  <si>
    <t>GERARDO ELADIO LAGOS CABRERAS</t>
  </si>
  <si>
    <t>ANITA MARIA VEAS VILLAGRA ASESORIAS E.I.R.L</t>
  </si>
  <si>
    <t>15333170-7</t>
  </si>
  <si>
    <t>ANITA MARIA VEAS VILLAGRA</t>
  </si>
  <si>
    <t>COMERCIALIZADORA RIOSECO</t>
  </si>
  <si>
    <t>76113173-7</t>
  </si>
  <si>
    <t>Mzr6518#</t>
  </si>
  <si>
    <t>crioseco@martizur.cl</t>
  </si>
  <si>
    <t>10568482-7</t>
  </si>
  <si>
    <t>DE BAJA</t>
  </si>
  <si>
    <t>ROSA ANA ROJAS ABURTO</t>
  </si>
  <si>
    <t>AYV INVERSIONES SPA</t>
  </si>
  <si>
    <t>AYVinca26@</t>
  </si>
  <si>
    <t>VLADYINCA@GMAIL.COM</t>
  </si>
  <si>
    <t>AIMAR MARKET</t>
  </si>
  <si>
    <t>18969131-9</t>
  </si>
  <si>
    <t>SOCIEDAD COMERCIAL ERICES Y TRESKOW LTDA</t>
  </si>
  <si>
    <t>12108485-6</t>
  </si>
  <si>
    <t>FRUTAS GAVA</t>
  </si>
  <si>
    <t>78279705-0</t>
  </si>
  <si>
    <t>Gava2026!</t>
  </si>
  <si>
    <t>Jvalderramamoya@hotmail.com</t>
  </si>
  <si>
    <t>SMART GLOBAL SPA</t>
  </si>
  <si>
    <t>12739340-0</t>
  </si>
  <si>
    <t>HUGO NUÑEZ MILLAQUEO</t>
  </si>
  <si>
    <t>YOSMAYRA ESTETICA &amp; BELLEZA EIRL</t>
  </si>
  <si>
    <t>78234081-6</t>
  </si>
  <si>
    <t>Yosm@yra25</t>
  </si>
  <si>
    <t>YOMI232@HOTMAIL.COM</t>
  </si>
  <si>
    <t>SERVICIOS LAS VERTIENTES</t>
  </si>
  <si>
    <t>SIN RUT</t>
  </si>
  <si>
    <t xml:space="preserve">sin clave </t>
  </si>
  <si>
    <t>Lasvertientesradal@gmail.com</t>
  </si>
  <si>
    <t>URCOF CONSTRUCCIONES SPA</t>
  </si>
  <si>
    <t>78237495-8</t>
  </si>
  <si>
    <t>Urcof25@</t>
  </si>
  <si>
    <t>abelurra33@gmail.com</t>
  </si>
  <si>
    <t xml:space="preserve">CONSTRUCTORA BRADASIC SPA </t>
  </si>
  <si>
    <t>Brada2026!</t>
  </si>
  <si>
    <t>bradasic.llanos@gmail.com</t>
  </si>
  <si>
    <t>ECOENERGY SOLUTIONS</t>
  </si>
  <si>
    <t>78225083-3</t>
  </si>
  <si>
    <t>LEONARDO@TECNICPRO.CL</t>
  </si>
  <si>
    <t>MGC INVERSIÓNES</t>
  </si>
  <si>
    <t xml:space="preserve"> 78271993-9</t>
  </si>
  <si>
    <t>Daniel alonso espindola calderon</t>
  </si>
  <si>
    <t>MIARTE SPA</t>
  </si>
  <si>
    <t>78262268-4</t>
  </si>
  <si>
    <t>Miarte25@</t>
  </si>
  <si>
    <t>orlandoalzamora591420@gmail.com</t>
  </si>
  <si>
    <t>21356805-1</t>
  </si>
  <si>
    <t>Mancora.4</t>
  </si>
  <si>
    <t>Junior Orlando alzamora serna</t>
  </si>
  <si>
    <t xml:space="preserve">M.A.V.A  CONSTURCIONES SPA </t>
  </si>
  <si>
    <t>78271922-K</t>
  </si>
  <si>
    <t>Mava2025@</t>
  </si>
  <si>
    <t>marcelovargas0606@gmail.com</t>
  </si>
  <si>
    <t>13473386 -1</t>
  </si>
  <si>
    <t>13473Ma.</t>
  </si>
  <si>
    <t>Marcelo Andrés Vargas Abarca</t>
  </si>
  <si>
    <t>PALI PALI MARKET SPA</t>
  </si>
  <si>
    <t>78268826-K</t>
  </si>
  <si>
    <t>Palipal25@</t>
  </si>
  <si>
    <t>yoojin9431@gmail.com</t>
  </si>
  <si>
    <t>21991542-k</t>
  </si>
  <si>
    <t>Samjin123.</t>
  </si>
  <si>
    <t>Michelly Carolini kim</t>
  </si>
  <si>
    <t>HARMONY MENTE CORAZON SPA</t>
  </si>
  <si>
    <t>77498329-5</t>
  </si>
  <si>
    <t>Caro2022</t>
  </si>
  <si>
    <t>Kkraus@cotaco.cl; carolinaundurraga@hotmail.com</t>
  </si>
  <si>
    <t>CARVAJAL Y ANACONA KINESIOLOGIA LTDA</t>
  </si>
  <si>
    <t>18785145-9</t>
  </si>
  <si>
    <t>DEVFLOW</t>
  </si>
  <si>
    <t>78303962-1</t>
  </si>
  <si>
    <t>daisyktbpa@gmail.com</t>
  </si>
  <si>
    <t>15563456-1</t>
  </si>
  <si>
    <t>ANDRES IVAN LEIVA LURASCHI, TATUAJES E.I.R.L.</t>
  </si>
  <si>
    <t>11977681-3</t>
  </si>
  <si>
    <t>ANDRES IVAN LEIVA LURASCHI</t>
  </si>
  <si>
    <t>EMPRESA DE SERVICIOS TOPOGRAFÍA Y RPAS, RODRIGO ARIAS NILO EMPRESA INDIVIDUAL DE RESPONSABILIDAD LIMITADA</t>
  </si>
  <si>
    <t>76634236-1</t>
  </si>
  <si>
    <t>Loslagos21</t>
  </si>
  <si>
    <t>r.ariasnilo@gmail.com</t>
  </si>
  <si>
    <t>12923933-6</t>
  </si>
  <si>
    <t>Romeo1975</t>
  </si>
  <si>
    <t>RODRIGO ANTONIO ARIAS NILO</t>
  </si>
  <si>
    <t>ARQUITECTURA MATÍAS IGNACIO ALFARO ACEVEDO E.I.R.L.</t>
  </si>
  <si>
    <t>MatiasA25!</t>
  </si>
  <si>
    <t>20390769-9</t>
  </si>
  <si>
    <t>MATIAS IGNACIO ALFARO ACEVEDO</t>
  </si>
  <si>
    <t>AS SPORT SPA</t>
  </si>
  <si>
    <t xml:space="preserve">MECATRONICA AUTOMOTRIZ </t>
  </si>
  <si>
    <t>sin rut</t>
  </si>
  <si>
    <t>sin clave</t>
  </si>
  <si>
    <t>CARREPAIRSERVICE.CL</t>
  </si>
  <si>
    <t>27139532-9</t>
  </si>
  <si>
    <t>ILUMINA VENTANAS</t>
  </si>
  <si>
    <t>Ilumina78*</t>
  </si>
  <si>
    <t>MAURILOPEZX25@GMAIL.COM</t>
  </si>
  <si>
    <t>G VARA PROYECTOS</t>
  </si>
  <si>
    <t>78299929-k</t>
  </si>
  <si>
    <t>Gvara25@</t>
  </si>
  <si>
    <t>Gvaraproyectos@gmail.com</t>
  </si>
  <si>
    <t>21893875-2</t>
  </si>
  <si>
    <t>TREPAVERDE</t>
  </si>
  <si>
    <t>Trepaverdechile@gmail.com</t>
  </si>
  <si>
    <t>18588607-7</t>
  </si>
  <si>
    <t>ELKIN ALEXANDER OVIEDO FABRICA DE EMPANADAS LA PERLA EIRL</t>
  </si>
  <si>
    <t>LOO-0528@HOTMAIL.COM</t>
  </si>
  <si>
    <t>25664759-1</t>
  </si>
  <si>
    <t>ELKIN ALEXANDER OVIEDO SANCHEZ</t>
  </si>
  <si>
    <t>TRANSPORTES CONTE XPRESS SPA</t>
  </si>
  <si>
    <t>78280983-0</t>
  </si>
  <si>
    <t>RGATRANSPACIFICOSUR@GMAIL.COM</t>
  </si>
  <si>
    <t>10154382-K</t>
  </si>
  <si>
    <t>catherine.peralta@faemaq.cl</t>
  </si>
  <si>
    <t>23402577-5</t>
  </si>
  <si>
    <t xml:space="preserve">ESTEBAN ISAAC TOLEDO CORONADO </t>
  </si>
  <si>
    <t>GRUPO CARDACHAN T&amp;T SPA</t>
  </si>
  <si>
    <t>77992194-8</t>
  </si>
  <si>
    <t>Teran1234.</t>
  </si>
  <si>
    <t>CORPORATIVOLACRIS22@GMAIL.COM</t>
  </si>
  <si>
    <t>VACIK SERVICIOS SPA</t>
  </si>
  <si>
    <t>ALEJANDROHERNANVASQUEZLOPEZ@GMAIL.COM</t>
  </si>
  <si>
    <t>16390697-K</t>
  </si>
  <si>
    <t>ALEJANDRO HERNÁN VÁSQUEZ LÓPEZ</t>
  </si>
  <si>
    <t>ELECTROPROYECT</t>
  </si>
  <si>
    <t>77835246-K</t>
  </si>
  <si>
    <t>Elec.2023</t>
  </si>
  <si>
    <t>GRAFICA CAROLINA MIRANDA CASTAÑEDA E.I.R.L</t>
  </si>
  <si>
    <t>77236416-4</t>
  </si>
  <si>
    <t>cm772364</t>
  </si>
  <si>
    <t>VSV</t>
  </si>
  <si>
    <t>COMIDA VECINA</t>
  </si>
  <si>
    <t>AGUSTIN</t>
  </si>
  <si>
    <t>CONTRATÓ RENTA 2026 ?</t>
  </si>
  <si>
    <t>FORMULARIO RENTA</t>
  </si>
  <si>
    <t>PLAN CONTABLE</t>
  </si>
  <si>
    <t>Tramo</t>
  </si>
  <si>
    <t>RRHH</t>
  </si>
  <si>
    <t>NETO</t>
  </si>
  <si>
    <t>BRUTO</t>
  </si>
  <si>
    <t>N° DE FACTURA</t>
  </si>
  <si>
    <t>RENTA</t>
  </si>
  <si>
    <t>IMPORTANTE</t>
  </si>
  <si>
    <t>telefono</t>
  </si>
  <si>
    <t>IMPUESTO UNICO</t>
  </si>
  <si>
    <t>COMPRAS NETAS</t>
  </si>
  <si>
    <t>VENTAS NETAS</t>
  </si>
  <si>
    <t>ESTADO FORMULARIO</t>
  </si>
  <si>
    <t>PAGO SERVICIO</t>
  </si>
  <si>
    <t>FECHA DE PAGO</t>
  </si>
  <si>
    <t>CONTRATO</t>
  </si>
  <si>
    <t>COMPRAS</t>
  </si>
  <si>
    <t>VENTAS</t>
  </si>
  <si>
    <t>Facturación total</t>
  </si>
  <si>
    <t>whatsapp</t>
  </si>
  <si>
    <t>RENTA MARZO NETO</t>
  </si>
  <si>
    <t>RENTA MARZO BRUTO</t>
  </si>
  <si>
    <t>TOTAL FACTURADO</t>
  </si>
  <si>
    <t>TRAMO</t>
  </si>
  <si>
    <t>CORRESPONDE CAMBIO ?</t>
  </si>
  <si>
    <t>J</t>
  </si>
  <si>
    <t>GO</t>
  </si>
  <si>
    <t>56 9 5016 7243</t>
  </si>
  <si>
    <t>NO PAGADO</t>
  </si>
  <si>
    <t>GOOK PRODUCCIONES</t>
  </si>
  <si>
    <t>77493132-5</t>
  </si>
  <si>
    <t>poli2021</t>
  </si>
  <si>
    <t>yessicaandreasilva@gmail.com</t>
  </si>
  <si>
    <t>56 9 4667 2273</t>
  </si>
  <si>
    <t>JESSICA SILVA SUAREZ</t>
  </si>
  <si>
    <t>56 9 4995 5026</t>
  </si>
  <si>
    <t>EXECUTIVE</t>
  </si>
  <si>
    <t>71400?</t>
  </si>
  <si>
    <t>56 9 7827 8733</t>
  </si>
  <si>
    <t>FREE</t>
  </si>
  <si>
    <t>NO FACTURAR</t>
  </si>
  <si>
    <t xml:space="preserve">FREE POR PEO </t>
  </si>
  <si>
    <t>56 9 7161 8589</t>
  </si>
  <si>
    <t>56 9 9294 8489</t>
  </si>
  <si>
    <t>TERMINO DE GIRO</t>
  </si>
  <si>
    <t>$0</t>
  </si>
  <si>
    <t>56 9 6708 4364</t>
  </si>
  <si>
    <t>56 9 4011 5689</t>
  </si>
  <si>
    <t>56 9 8465 3823</t>
  </si>
  <si>
    <t>CATALINA NATALIE MORALES ESPINOZA</t>
  </si>
  <si>
    <t>eproyect2023@yahoo.com</t>
  </si>
  <si>
    <t>15418471-6</t>
  </si>
  <si>
    <t>56 9 5627 6860</t>
  </si>
  <si>
    <t>GABRIEL ALEJANDRO URZUA AEDO</t>
  </si>
  <si>
    <t>gaby2627</t>
  </si>
  <si>
    <t>56 9 7434 3694</t>
  </si>
  <si>
    <t>ESTÁ EN OTRA FACTURA</t>
  </si>
  <si>
    <t>TIENE 2 RRHH GRATIS</t>
  </si>
  <si>
    <t>56 9 8817 1640</t>
  </si>
  <si>
    <t>JHULARNY CHIQUINQUIRA HIDALGO VALLES</t>
  </si>
  <si>
    <t>56 9 8868 5770</t>
  </si>
  <si>
    <t>56 9 8596 3096</t>
  </si>
  <si>
    <t>2 trabajadores gratis</t>
  </si>
  <si>
    <t>56 9 4629 8109</t>
  </si>
  <si>
    <t>56 9 8767 8866</t>
  </si>
  <si>
    <t>COMERCIALIZADORA TORRES ASEO KEEN LIMITADA,</t>
  </si>
  <si>
    <t>77149046-8</t>
  </si>
  <si>
    <t>KEEN77149</t>
  </si>
  <si>
    <t>Ernestotorresduarte@Gmail.com</t>
  </si>
  <si>
    <t>18838973-2</t>
  </si>
  <si>
    <t>56 9 3901 0282</t>
  </si>
  <si>
    <t>DIANE CAMILA TORRES ARÁNGUIZ</t>
  </si>
  <si>
    <t>Emily1948.</t>
  </si>
  <si>
    <t>PAGÓ MARZO POR ADELANTADO</t>
  </si>
  <si>
    <t xml:space="preserve">56 9 3374 2014 / 56 9 7574 7098 </t>
  </si>
  <si>
    <t>PAGADO</t>
  </si>
  <si>
    <t>56 9 9299 5176</t>
  </si>
  <si>
    <t>FULL EMPRENDEDOR</t>
  </si>
  <si>
    <t>56 9 7797 7216</t>
  </si>
  <si>
    <t>56 9 4465 0863</t>
  </si>
  <si>
    <t>EMPRENDEDOR</t>
  </si>
  <si>
    <t>56 9 6522 0068</t>
  </si>
  <si>
    <t>COMERCIALIZADORA ROVIRA</t>
  </si>
  <si>
    <t>77852939-4</t>
  </si>
  <si>
    <t>12639571-k</t>
  </si>
  <si>
    <t>56 9 4718 4490</t>
  </si>
  <si>
    <t>ROBERTO ANDRES SALAS GONZALEZ</t>
  </si>
  <si>
    <t>salas3640</t>
  </si>
  <si>
    <t>APRENDIZAJE ACTIVO SPA</t>
  </si>
  <si>
    <t>78016722-K</t>
  </si>
  <si>
    <t>Ventas@aprendizajeactivo.cl</t>
  </si>
  <si>
    <t>18357070-6</t>
  </si>
  <si>
    <t>56 9 7857 9320</t>
  </si>
  <si>
    <t>CAMILA XIMENA  SOLEDAD REYES SERRANO</t>
  </si>
  <si>
    <t>cami5193</t>
  </si>
  <si>
    <t>56 9 7373 5745</t>
  </si>
  <si>
    <t>PRE-AFTER  SCHOOL BURBUJITAS</t>
  </si>
  <si>
    <t>caro85_21@hotmail.com</t>
  </si>
  <si>
    <t>16151472-1</t>
  </si>
  <si>
    <t>56 9 5805 6820</t>
  </si>
  <si>
    <t>CAROLINA ANDREA CONCHA LIENCURA</t>
  </si>
  <si>
    <t>CAROLINA24</t>
  </si>
  <si>
    <t>no facturar</t>
  </si>
  <si>
    <t>NO SABEMOS XQ FREE</t>
  </si>
  <si>
    <t>56 9 9010 8727</t>
  </si>
  <si>
    <t>COMERCIALIZADORA HORMITZA SpA</t>
  </si>
  <si>
    <t>77983326-7</t>
  </si>
  <si>
    <t>Hormitz@2</t>
  </si>
  <si>
    <t>CONSTRUCCIONESDIAZW@GMAIL.COM</t>
  </si>
  <si>
    <t>25500182-5</t>
  </si>
  <si>
    <t>56 9 6165 0623</t>
  </si>
  <si>
    <t>CRISTHIAN WALDIR DIAZ BUSTAMENTE</t>
  </si>
  <si>
    <t>Cristhian1</t>
  </si>
  <si>
    <t>56 9 90108727</t>
  </si>
  <si>
    <t>marzo pagado</t>
  </si>
  <si>
    <t>56 9 9925 1969</t>
  </si>
  <si>
    <t>56 9 8558 2338</t>
  </si>
  <si>
    <t>sube el ppm</t>
  </si>
  <si>
    <t>56 9 5619 1381</t>
  </si>
  <si>
    <t>56 9 3729 9647</t>
  </si>
  <si>
    <t>B</t>
  </si>
  <si>
    <t>NATY RUZ COSMETICS</t>
  </si>
  <si>
    <t>NATALIARUZMORENO@GMAIL.COM</t>
  </si>
  <si>
    <t>17850910-1</t>
  </si>
  <si>
    <t>56 9 8223 1017</t>
  </si>
  <si>
    <t>NATALIA VALESKA RUZ MORENO</t>
  </si>
  <si>
    <t>56 9 7208 4801</t>
  </si>
  <si>
    <t>56 9 9382 7926</t>
  </si>
  <si>
    <t>INVERSIONES LUIS ARENAS SPA</t>
  </si>
  <si>
    <t>77992914-0</t>
  </si>
  <si>
    <t>R1E2n3a4$</t>
  </si>
  <si>
    <t>larenasbarra1971@gmail.com</t>
  </si>
  <si>
    <t>11982527-K</t>
  </si>
  <si>
    <t>56 9 7498 6569</t>
  </si>
  <si>
    <t>SERVICIO SUSPENDIDO</t>
  </si>
  <si>
    <t>LUIS ALONSO ARENAS BARRA</t>
  </si>
  <si>
    <t>LOS HERMANOS DE LA OFERTA SPA</t>
  </si>
  <si>
    <t>no contratará</t>
  </si>
  <si>
    <t>78054419-8</t>
  </si>
  <si>
    <t>Herma24@</t>
  </si>
  <si>
    <t>loshermanosdelahorro@gmail.com</t>
  </si>
  <si>
    <t>18331868-3</t>
  </si>
  <si>
    <t>56 9 4927 1213</t>
  </si>
  <si>
    <t>CLAUDIO IGNACIO DIAZ SILVA</t>
  </si>
  <si>
    <t>Cdiaz2484</t>
  </si>
  <si>
    <t>MATI</t>
  </si>
  <si>
    <t>56 9 6584 7838</t>
  </si>
  <si>
    <t>TRANSPORTE MANRIQUE &amp; MARTINEZ SPA</t>
  </si>
  <si>
    <t>78194318-5</t>
  </si>
  <si>
    <t>Tr@nspor25</t>
  </si>
  <si>
    <t xml:space="preserve"> mymtravels2025@gmail.com</t>
  </si>
  <si>
    <t>26011254-6</t>
  </si>
  <si>
    <t>56 9 5166 8378</t>
  </si>
  <si>
    <t>ROSA YASMARI GASCON MARTINEZ</t>
  </si>
  <si>
    <t>Rygm108025</t>
  </si>
  <si>
    <t>está sin inicio de actividades</t>
  </si>
  <si>
    <t>56 9 9862 4725</t>
  </si>
  <si>
    <t>56 9 5155 8595</t>
  </si>
  <si>
    <t>56 9 8605 6048</t>
  </si>
  <si>
    <t>56 9 7415 8891</t>
  </si>
  <si>
    <t>ARTE PLANO SPA</t>
  </si>
  <si>
    <t>78112284-K</t>
  </si>
  <si>
    <t>56 9 8751 6144</t>
  </si>
  <si>
    <t>DAVE JAMES EVANGELISTA ALEMAN</t>
  </si>
  <si>
    <t>56 9 9269 8193</t>
  </si>
  <si>
    <t>INNOVAC GRAPHICS</t>
  </si>
  <si>
    <t>78119769-6</t>
  </si>
  <si>
    <t>Inno.2025</t>
  </si>
  <si>
    <t>gonzalezjorge20@gmail.com</t>
  </si>
  <si>
    <t>25637438-2</t>
  </si>
  <si>
    <t>56 9 3000 6395</t>
  </si>
  <si>
    <t>JORGE LUIS GONZALEZ TORRES</t>
  </si>
  <si>
    <t>Isab1529#</t>
  </si>
  <si>
    <t>56 9 9824 5867</t>
  </si>
  <si>
    <t>56 9 3765 1182</t>
  </si>
  <si>
    <t>ACEVEDO Y ABALLAY LIMITADA</t>
  </si>
  <si>
    <t>78216688-3</t>
  </si>
  <si>
    <t>Acevedo.25</t>
  </si>
  <si>
    <t>sindy.aballay32@gmail.com</t>
  </si>
  <si>
    <t>17483092-4</t>
  </si>
  <si>
    <t>56 9 8725 4657</t>
  </si>
  <si>
    <t>03-03--26</t>
  </si>
  <si>
    <t>SINDY LORENA ABALLAY FRIGERIO</t>
  </si>
  <si>
    <t>sindy123</t>
  </si>
  <si>
    <t>56 9 8228 2804</t>
  </si>
  <si>
    <t>SUMAR $50.000 AL PPM</t>
  </si>
  <si>
    <t>56 9 6278 3758</t>
  </si>
  <si>
    <t>DISEÑO E IMPRESIONES SKINPACK SPA</t>
  </si>
  <si>
    <t>77756586-9</t>
  </si>
  <si>
    <t>Skin2024@</t>
  </si>
  <si>
    <t>josefaquezadaguerrero@gmail.com</t>
  </si>
  <si>
    <t>18668799-K</t>
  </si>
  <si>
    <t>56 9 8828 2150</t>
  </si>
  <si>
    <t>JOSEFA QUEZADA GUERRERO</t>
  </si>
  <si>
    <t>Milo1780</t>
  </si>
  <si>
    <t>56 9 4978 5783</t>
  </si>
  <si>
    <t>56 9 4974 3407</t>
  </si>
  <si>
    <t>56 9 9871 8436</t>
  </si>
  <si>
    <t>56 9 5800 6770</t>
  </si>
  <si>
    <t>56 9 4489 6421</t>
  </si>
  <si>
    <t>SIN CONTACTO</t>
  </si>
  <si>
    <t>56 9 6262 1481</t>
  </si>
  <si>
    <t>56 9 2754 8579</t>
  </si>
  <si>
    <t>tiene 2 gratis de rrhh</t>
  </si>
  <si>
    <t>56 9 5525 5801</t>
  </si>
  <si>
    <t>56 9 6684 3744</t>
  </si>
  <si>
    <t>Y</t>
  </si>
  <si>
    <t>JENI</t>
  </si>
  <si>
    <t>56 9 9150 0384</t>
  </si>
  <si>
    <t>56 9 7335 0925</t>
  </si>
  <si>
    <t>56 9 7216 9399</t>
  </si>
  <si>
    <t>cobrar en marzo</t>
  </si>
  <si>
    <t>56 9 5176 6543</t>
  </si>
  <si>
    <t>56 9 4847 5949</t>
  </si>
  <si>
    <t>JLT MAQUINARIA SPA</t>
  </si>
  <si>
    <t>78020281-5</t>
  </si>
  <si>
    <t>Julieta.09</t>
  </si>
  <si>
    <t>Maquinarias.jlt@gmail.com</t>
  </si>
  <si>
    <t>17253537-2</t>
  </si>
  <si>
    <t>56 9 8138 2171</t>
  </si>
  <si>
    <t>BÁRBARA ELISA TRAPP CIFUENTES</t>
  </si>
  <si>
    <t>56 9 7196 6710</t>
  </si>
  <si>
    <t>56 9 4487 1868</t>
  </si>
  <si>
    <t>56 9 2193 8773</t>
  </si>
  <si>
    <t>56 9 5954 3856</t>
  </si>
  <si>
    <t>56 9 8668 4042</t>
  </si>
  <si>
    <t>56 9 4490 4697</t>
  </si>
  <si>
    <r>
      <rPr>
        <rFont val="Arial"/>
        <color rgb="FF000000"/>
        <sz val="8.0"/>
        <u/>
      </rPr>
      <t>JLMONTERO.SPA@GMAIL.COM</t>
    </r>
  </si>
  <si>
    <t>56 9 4061 3456</t>
  </si>
  <si>
    <t>EXECUTIVE 50.000</t>
  </si>
  <si>
    <t>factura por ingdelta</t>
  </si>
  <si>
    <t>SE FACTURA POR INGDELTA</t>
  </si>
  <si>
    <t>56 9 4127 1463</t>
  </si>
  <si>
    <t>56 9 9531 9358</t>
  </si>
  <si>
    <t>56 9 3404 3915</t>
  </si>
  <si>
    <t>KEOA GROUP SPA</t>
  </si>
  <si>
    <t>78119754-8</t>
  </si>
  <si>
    <t>Keoa.2025</t>
  </si>
  <si>
    <t>k.hernandez@hotmail.com</t>
  </si>
  <si>
    <t>17110247-2</t>
  </si>
  <si>
    <t>56 9 5769 7632</t>
  </si>
  <si>
    <t>KATHERINE ALEXANDRA HERNÁNDEZ AVELLO</t>
  </si>
  <si>
    <t>Pelito27.</t>
  </si>
  <si>
    <t>56 9 8645 5813</t>
  </si>
  <si>
    <t>56 9 9472 8935</t>
  </si>
  <si>
    <t>56 9 5651 1643</t>
  </si>
  <si>
    <t>56 9 9875 4273</t>
  </si>
  <si>
    <t>56 9 6630 0731</t>
  </si>
  <si>
    <t xml:space="preserve">ENVIAR CORREO ULTIMATUM </t>
  </si>
  <si>
    <t>VERIFICACIÓN PENDIENTE</t>
  </si>
  <si>
    <t>56 9 5905 0969</t>
  </si>
  <si>
    <t>56 9 8837 4014</t>
  </si>
  <si>
    <t>56 9 7735 2901</t>
  </si>
  <si>
    <t>COMERCIALIZADORA HUMERES URIBE LIMITADA</t>
  </si>
  <si>
    <t>78209664-8</t>
  </si>
  <si>
    <t>Hum3res25@</t>
  </si>
  <si>
    <t>FELIPEHUMERESD@GMAIL.COM</t>
  </si>
  <si>
    <t>17039033-4</t>
  </si>
  <si>
    <t>56 9 9435 0166</t>
  </si>
  <si>
    <t>FELIPE ANDRES HUMERES DIAZ</t>
  </si>
  <si>
    <t>humeres</t>
  </si>
  <si>
    <t>56 9 9052 4706</t>
  </si>
  <si>
    <t>107100?</t>
  </si>
  <si>
    <t>56 9 4230 0760</t>
  </si>
  <si>
    <t>Crust</t>
  </si>
  <si>
    <t>Rod.ggaray@gmail.com</t>
  </si>
  <si>
    <t>no facturar hasta junio</t>
  </si>
  <si>
    <t>56 9 8241 4143</t>
  </si>
  <si>
    <t>V</t>
  </si>
  <si>
    <t>56 9 4082 4985</t>
  </si>
  <si>
    <t>pago 50 mil 10-03</t>
  </si>
  <si>
    <t>56 9 4439 6070</t>
  </si>
  <si>
    <t>56 9 7748 1244</t>
  </si>
  <si>
    <t xml:space="preserve">SIN MOVIMIENTO </t>
  </si>
  <si>
    <t>56 9 9176 4189</t>
  </si>
  <si>
    <t>56 9 2696 4305</t>
  </si>
  <si>
    <t>FIRMADO</t>
  </si>
  <si>
    <t xml:space="preserve">SIN INICIO DE ACTIVIDADES </t>
  </si>
  <si>
    <t>SUBIR RECLAMO DEDECON</t>
  </si>
  <si>
    <t>56 9 5667 9047</t>
  </si>
  <si>
    <t>56 9 7217 0794</t>
  </si>
  <si>
    <t>56 9 8690 9914</t>
  </si>
  <si>
    <t>COMERCIAL SINDY ABALLAY FRIGERIO</t>
  </si>
  <si>
    <t>77119822-8</t>
  </si>
  <si>
    <t>2112sindy</t>
  </si>
  <si>
    <t>ENVIADO</t>
  </si>
  <si>
    <t>56 9 8801 4559</t>
  </si>
  <si>
    <t>CIVIL PRO</t>
  </si>
  <si>
    <t>77886719-2</t>
  </si>
  <si>
    <t>CIVIL2024</t>
  </si>
  <si>
    <t>LUXOGARA@GMAIL.COM</t>
  </si>
  <si>
    <t>13466890-3</t>
  </si>
  <si>
    <t>56 9 7795 7716</t>
  </si>
  <si>
    <t>Luis Esteban Raimundo Garces Acosta</t>
  </si>
  <si>
    <t>LUIS2024ga</t>
  </si>
  <si>
    <t>NO HACER CONTRATO</t>
  </si>
  <si>
    <t>POSTERGADO INICIO DE ACTIVIDADES</t>
  </si>
  <si>
    <t>CAREGIVER SPA</t>
  </si>
  <si>
    <t>OFV</t>
  </si>
  <si>
    <t>OF</t>
  </si>
  <si>
    <t xml:space="preserve"> no declarar ofv</t>
  </si>
  <si>
    <t>OFV Pago mensual</t>
  </si>
  <si>
    <t>77787781-K</t>
  </si>
  <si>
    <t>CAREGIVER347@GMAIL.COM</t>
  </si>
  <si>
    <t>56 9 6245 2785</t>
  </si>
  <si>
    <t>56 9 2695 3970</t>
  </si>
  <si>
    <t>56 9 3455 8940</t>
  </si>
  <si>
    <t>56 9 9141 5163</t>
  </si>
  <si>
    <t>56 9 8894 3152</t>
  </si>
  <si>
    <t>56 9 6860 7758</t>
  </si>
  <si>
    <t>56 9 6903 4127</t>
  </si>
  <si>
    <t>56 9 9842 0749</t>
  </si>
  <si>
    <t>56 9 6158 9674</t>
  </si>
  <si>
    <t>56 9 5692 9443</t>
  </si>
  <si>
    <t>COMPARALAB SPA</t>
  </si>
  <si>
    <t>78311828-9</t>
  </si>
  <si>
    <t>Vampiro05.</t>
  </si>
  <si>
    <t>Geraldinemattheus@gmail.com</t>
  </si>
  <si>
    <t>56 9 6275 9157</t>
  </si>
  <si>
    <t>GERALDINE FERNANDA MATTHEUS MUNOZ</t>
  </si>
  <si>
    <t>CARLOS FELIPE VASQUEZ CORTES</t>
  </si>
  <si>
    <t>16480535-2</t>
  </si>
  <si>
    <t>Geraldine0</t>
  </si>
  <si>
    <t>carlosvasquezc33@gmail.com</t>
  </si>
  <si>
    <t>56 9 6318 1360</t>
  </si>
  <si>
    <t>56 9 4239 3995</t>
  </si>
  <si>
    <t>COMERCIAL Y SERVICIOS DYNAMIC SPA</t>
  </si>
  <si>
    <t>carlos.arancibia.r@dynamicservices.cl</t>
  </si>
  <si>
    <t>15433645-1</t>
  </si>
  <si>
    <t>56 9 9272 1731</t>
  </si>
  <si>
    <t>CARLOS ALEJANDRO ARANCIBIA RIQUELME</t>
  </si>
  <si>
    <t xml:space="preserve">HESED GROUP SPA </t>
  </si>
  <si>
    <t>cliente nuevo pagado marzo</t>
  </si>
  <si>
    <t xml:space="preserve"> 10.549.048-8</t>
  </si>
  <si>
    <t>56 9 3456 2123</t>
  </si>
  <si>
    <t>Elizabeth Soza</t>
  </si>
  <si>
    <t>NOTIFICADO</t>
  </si>
  <si>
    <t>pago 186938 el 13-03</t>
  </si>
  <si>
    <t xml:space="preserve">declaro el </t>
  </si>
  <si>
    <t>POSTERGADO</t>
  </si>
  <si>
    <t xml:space="preserve">NO FACTURAR </t>
  </si>
  <si>
    <t>COBRAR MARZO</t>
  </si>
  <si>
    <t>DECLEAM SpA</t>
  </si>
  <si>
    <t>78089298-6</t>
  </si>
  <si>
    <t>D4c1e4m.</t>
  </si>
  <si>
    <t>DAVIDTOLEDO612@GMAIL.COM</t>
  </si>
  <si>
    <t>13828765-3</t>
  </si>
  <si>
    <t>56 9 9731 9560</t>
  </si>
  <si>
    <t>DAVID ANDRES TOLEDO SPENCER</t>
  </si>
  <si>
    <t>David1382</t>
  </si>
  <si>
    <t>tengo dos pagos de ellos uno 03/03 y el 10/03 por 72000 ambos. sera que pago un mes atrasado o hizo dos pagos</t>
  </si>
  <si>
    <t>PAGADO HASTA MARZO / CLAVE INCORRECTA</t>
  </si>
  <si>
    <r>
      <rPr>
        <rFont val="Arial"/>
        <color rgb="FF000000"/>
        <sz val="8.0"/>
        <u/>
      </rPr>
      <t>JLMONTERO.SPA@GMAIL.COM</t>
    </r>
  </si>
  <si>
    <t>BOLPECH CONFECCIONES SPA</t>
  </si>
  <si>
    <t>77105819-1</t>
  </si>
  <si>
    <t>CHAMBI5608</t>
  </si>
  <si>
    <t>tex.bolpech@gmail.com</t>
  </si>
  <si>
    <t>23227954-0</t>
  </si>
  <si>
    <t>56 9 7840 3706</t>
  </si>
  <si>
    <t>CESAR LUIS CHAMBILLA CONDORI</t>
  </si>
  <si>
    <t>Cesar25@</t>
  </si>
  <si>
    <t>de baja</t>
  </si>
  <si>
    <t>56 9 8297 3780</t>
  </si>
  <si>
    <t>pago $59.500 28-01</t>
  </si>
  <si>
    <t>CLAVE NALA</t>
  </si>
  <si>
    <t>DUBCE SPA</t>
  </si>
  <si>
    <t xml:space="preserve">paga el 27 </t>
  </si>
  <si>
    <t>78219837-8</t>
  </si>
  <si>
    <t>Dubce.2025</t>
  </si>
  <si>
    <t>contacto.dubce@gmail.com</t>
  </si>
  <si>
    <t>19878116-9</t>
  </si>
  <si>
    <t>56 9 3537 3380</t>
  </si>
  <si>
    <t>56 9 6319 3336</t>
  </si>
  <si>
    <t>F29 GUARDADO</t>
  </si>
  <si>
    <t>BOLP</t>
  </si>
  <si>
    <t>FACTURADO</t>
  </si>
  <si>
    <t>facturar</t>
  </si>
  <si>
    <t>pago en le banco esyado</t>
  </si>
  <si>
    <t>DEBE IVA</t>
  </si>
  <si>
    <t>cambipe en febrero a 30.000 + iva por tener solo compras</t>
  </si>
  <si>
    <t xml:space="preserve">TECNICOS A DOMICILIO SPA </t>
  </si>
  <si>
    <t>77889543-9</t>
  </si>
  <si>
    <t>TECNI2024</t>
  </si>
  <si>
    <t>MARCOSURTUBIA1156@GMAIL.COM</t>
  </si>
  <si>
    <t>20813492-2</t>
  </si>
  <si>
    <t>56 9 7392 0955</t>
  </si>
  <si>
    <t>CLAVE INCORRECTA</t>
  </si>
  <si>
    <t xml:space="preserve">MARCOS ZANDOR URTUBIA SAAVEDRA </t>
  </si>
  <si>
    <t>MARCOS2024</t>
  </si>
  <si>
    <t>56 9 6708 9566 / 56 9 7857 9320</t>
  </si>
  <si>
    <t>no facturar hasta marzo</t>
  </si>
  <si>
    <t>tiene que pagar 108.000 y queda listo hasta marzo</t>
  </si>
  <si>
    <t>hizo dos pagos en diciembre de 59.500</t>
  </si>
  <si>
    <t>9 90108727</t>
  </si>
  <si>
    <t>raamses</t>
  </si>
  <si>
    <t>FACTURAR</t>
  </si>
  <si>
    <t>cambio clave</t>
  </si>
  <si>
    <t>PAGO 37500 12-11-25</t>
  </si>
  <si>
    <t>56 949743407</t>
  </si>
  <si>
    <t>SIN MOVIMIENTO</t>
  </si>
  <si>
    <r>
      <rPr>
        <rFont val="Arial"/>
        <color rgb="FF000000"/>
        <sz val="8.0"/>
        <u/>
      </rPr>
      <t>JLMONTERO.SPA@GMAIL.COM</t>
    </r>
  </si>
  <si>
    <t>paga con multa $141.080</t>
  </si>
  <si>
    <t xml:space="preserve">DECLARO EL ANTES DE LA NOTIFICACION </t>
  </si>
  <si>
    <t>FREE HASTA QUE LO HABILITEMOS</t>
  </si>
  <si>
    <t xml:space="preserve">SEBASTIAN FELIPE CAMPOS ROJAS
</t>
  </si>
  <si>
    <t>PAGA EL FULL EN VERTICAL CAM, INCLUIMOS ESTA EMPRESA</t>
  </si>
  <si>
    <t>18499105-5</t>
  </si>
  <si>
    <t>Alonso2022</t>
  </si>
  <si>
    <t>empresaverticalcam@gmail.com</t>
  </si>
  <si>
    <t>sin movimiento</t>
  </si>
  <si>
    <t xml:space="preserve">paga los 22 </t>
  </si>
  <si>
    <t>PAGO $107.100 DEUDAS ANTIGUAS</t>
  </si>
  <si>
    <t>SPA SERVICIOS METAL MECANICOS FERNANDO AGUILAR BRITO SPA</t>
  </si>
  <si>
    <t>78244278-3</t>
  </si>
  <si>
    <t>Metal25@</t>
  </si>
  <si>
    <t>faguilarbrito@yahoo.es</t>
  </si>
  <si>
    <t>56 968273520</t>
  </si>
  <si>
    <t>declarado por el;</t>
  </si>
  <si>
    <t>HUMANAMENTE</t>
  </si>
  <si>
    <t>nota de credito listo factura 452</t>
  </si>
  <si>
    <t>78250822-9</t>
  </si>
  <si>
    <t>Flavia25!</t>
  </si>
  <si>
    <t>OLARIETAFLAVIA@GMAIL.COM</t>
  </si>
  <si>
    <t>56 9 7748 4018</t>
  </si>
  <si>
    <t>MUNDO KAWAI</t>
  </si>
  <si>
    <t>78253141-7</t>
  </si>
  <si>
    <t>Kawaii25@</t>
  </si>
  <si>
    <t>dgatica@gmail.com</t>
  </si>
  <si>
    <t>10716324-7</t>
  </si>
  <si>
    <t>declarado por el</t>
  </si>
  <si>
    <t>Pablo2025@</t>
  </si>
  <si>
    <t>pago 71400 10-02-26</t>
  </si>
  <si>
    <t>sin moviemiento</t>
  </si>
  <si>
    <t>ofv</t>
  </si>
  <si>
    <t>tiene mov</t>
  </si>
  <si>
    <t xml:space="preserve">CONSTRUCCIONES SÁNCHEZ Y LEPIN SPA  </t>
  </si>
  <si>
    <t>78292389-7</t>
  </si>
  <si>
    <t>Construcciones@25</t>
  </si>
  <si>
    <t>CLASAN_ROCA@HOTMAIL.COM</t>
  </si>
  <si>
    <t>15394726-0</t>
  </si>
  <si>
    <t>56 9 409 11021</t>
  </si>
  <si>
    <t xml:space="preserve">SERVITRANSMIN </t>
  </si>
  <si>
    <t>77.919.506-6</t>
  </si>
  <si>
    <t>016113Toto$</t>
  </si>
  <si>
    <t>Emejota.mt@gmail.com</t>
  </si>
  <si>
    <t xml:space="preserve">14167105-7 </t>
  </si>
  <si>
    <t>56 9 6817 7374</t>
  </si>
  <si>
    <t>MARÍA JOSÉ MONTENEGRO TAIVO</t>
  </si>
  <si>
    <t>016113Titi$</t>
  </si>
  <si>
    <t>sin movieminto</t>
  </si>
  <si>
    <t>FECHA TERMINO TAREA</t>
  </si>
  <si>
    <t>TAREAS VARIAS</t>
  </si>
  <si>
    <t>SOLICITUD</t>
  </si>
  <si>
    <t>TELEFONO</t>
  </si>
  <si>
    <t>ESTADO</t>
  </si>
  <si>
    <t>PRIORIDAD</t>
  </si>
  <si>
    <t>ORDEN</t>
  </si>
  <si>
    <t>SOLICITANTE</t>
  </si>
  <si>
    <t>COMENTARIO 2</t>
  </si>
  <si>
    <t>COMENTARIO 3</t>
  </si>
  <si>
    <t>COMENTARIO 4</t>
  </si>
  <si>
    <t xml:space="preserve">comentiario </t>
  </si>
  <si>
    <t>VERTICALCAM SPA</t>
  </si>
  <si>
    <t>78213655-0</t>
  </si>
  <si>
    <t>Vert.2025</t>
  </si>
  <si>
    <t>FINIQUITO DOS TRABAJADORES</t>
  </si>
  <si>
    <t>REALIZADO</t>
  </si>
  <si>
    <t>ALTA</t>
  </si>
  <si>
    <t>CAMBIAR RUT DE CONTRATANTE/ INFORMAR A PREVIRED</t>
  </si>
  <si>
    <t>SEBASTIAN CAMPOS</t>
  </si>
  <si>
    <t>FINIQUITOS NOTIFICADOS FALTA INFORMAR EN PREVIRED</t>
  </si>
  <si>
    <t>PAGO GIROS Y CONDONACIONES</t>
  </si>
  <si>
    <t>MEDIA</t>
  </si>
  <si>
    <t>INFORMADO QUE TIENE PLAZO HASTA EL 30 DE SEP PARA PAGAR EN EL BANCO</t>
  </si>
  <si>
    <t>CESAR CHAMBILLA</t>
  </si>
  <si>
    <t>HACER RENTAS 2021 AL 2025</t>
  </si>
  <si>
    <t>KARUAY SPA</t>
  </si>
  <si>
    <t>78060197-3</t>
  </si>
  <si>
    <t>Karuay*24</t>
  </si>
  <si>
    <t>FINIQUITO UN TRABAJADOR</t>
  </si>
  <si>
    <t>empresa sin conta sin estar inscrita en la dt por que contrato una formalizacion expres no se le cobra por el finiquito por que cuando accedi a hacerlo no me fije que no tienen conta</t>
  </si>
  <si>
    <t>SIN CONTA</t>
  </si>
  <si>
    <t>TIENE QUE MANDAR EL CONTRATO</t>
  </si>
  <si>
    <t>se le envio correo solicitando clave de la nueva socia tambien contrato por que parece que no esta en la dt si la otra socia no tiene acceso a la dt inscribir con la sesion de alexander</t>
  </si>
  <si>
    <t>DUDAS CARGA GETNET</t>
  </si>
  <si>
    <t>BAJA</t>
  </si>
  <si>
    <t>CONSULTO FECHA DE CARGA DE COMPRAS Y VENTAS EN SII</t>
  </si>
  <si>
    <t>LORETO VARGAS</t>
  </si>
  <si>
    <t>ESPACIO RECREARTE GUARDERIA Y AFTER SCHOOL SpA</t>
  </si>
  <si>
    <t>77995488-9</t>
  </si>
  <si>
    <t>Vane@2460</t>
  </si>
  <si>
    <t>BALANCE 2024</t>
  </si>
  <si>
    <t>SACAR BALANCE DE NUBOX Y ENVIARLO</t>
  </si>
  <si>
    <t>VANESA</t>
  </si>
  <si>
    <t>ENVIADO BALANCE 2024 Y ESTADO RESULTADO 2024</t>
  </si>
  <si>
    <t>CREACION DE EMPRESA</t>
  </si>
  <si>
    <t>URGENTE</t>
  </si>
  <si>
    <t>FIRMADO CON RUT, FALTA INICIO DE ACTIVIDADES</t>
  </si>
  <si>
    <t>TODO LISTO HASTA LA VERFICIACION SOLO FALTA QUE LO CONTACTEN DEL BANCO 11/11</t>
  </si>
  <si>
    <t>APABLAZA EXTINTORES LIMITADA</t>
  </si>
  <si>
    <t>56 9 3690 4334</t>
  </si>
  <si>
    <t>reenviar escritura</t>
  </si>
  <si>
    <t>ESCRITURA ENVIADA NUEVAMENTE 08/10</t>
  </si>
  <si>
    <t>ESCRITURA ENVIADA NUEVAMENTE 01-12</t>
  </si>
  <si>
    <t>SE LE HAN EVIADO CORREOS Y NO RESPONDEN 005/12</t>
  </si>
  <si>
    <t xml:space="preserve">29/12 no responde a la propuesta de escritura </t>
  </si>
  <si>
    <t>RECTIFICACION IVA/ me meti a revisar el iva y esta bien revisar termino de giro</t>
  </si>
  <si>
    <t>LLAMAR AL SII Y CONSULTAR/ TERMINO DE GIRO</t>
  </si>
  <si>
    <t>VF AUTORIZADA</t>
  </si>
  <si>
    <t>SARAOS SYSTEMS SPA</t>
  </si>
  <si>
    <t>VERIFICACION ACTIVIDADES</t>
  </si>
  <si>
    <t>SUBIR INFO AL SII</t>
  </si>
  <si>
    <t>CRISTIAN ARAOS</t>
  </si>
  <si>
    <t>se volvio a enviar el 24/09 con carta explicativa oc y cotizacion + factura de compra</t>
  </si>
  <si>
    <t>ARTEIMAGEN INVERSIONES LIMITADA</t>
  </si>
  <si>
    <t>76644241-2</t>
  </si>
  <si>
    <t>RECTIFICACION RENTA 2024</t>
  </si>
  <si>
    <t>VERIFICAR RENTA DE LOS SOCIOS/ QUIERE CONTRATAR CONTA</t>
  </si>
  <si>
    <t>ALEJANDRO GONZALEZ</t>
  </si>
  <si>
    <t>DJ DE RETIROS OBSERVADA ESTUDIAR</t>
  </si>
  <si>
    <t>se rectifico por tercera vez la dj de retiros, recordar que contrataron la renta tarde y tenian las dj en cero y el sii no se las proceso ahora quieren meter 80 mm de retiro y si hacen eso modifican el incentivo al ahorro y tendran que pagar mucho</t>
  </si>
  <si>
    <t>SERVICIOS JVA SPA</t>
  </si>
  <si>
    <t>77988461-9</t>
  </si>
  <si>
    <t>Sofia.2008</t>
  </si>
  <si>
    <t>PAGOS CON GIRO F29 PENDIENTE</t>
  </si>
  <si>
    <t>CLIENTE CON DEUDA REMOTO Y LE TUVE QUE DECLARAR MESES ANTERIORES CON GIROS Y GRATIS</t>
  </si>
  <si>
    <t>JORGE VARGAS</t>
  </si>
  <si>
    <t>RENTA PENDIENTE</t>
  </si>
  <si>
    <t>DECLARAR RENTA 2025</t>
  </si>
  <si>
    <t>tiene que pagar</t>
  </si>
  <si>
    <t>Energy26@</t>
  </si>
  <si>
    <t>camilo solo obtuvo el rut, no sacó clave sii. Avanzar</t>
  </si>
  <si>
    <t>falta inivio de actividades domiclio debe enviar contarto es de afuera</t>
  </si>
  <si>
    <t>no tiene las claves en el formulario de respuestas 08/11</t>
  </si>
  <si>
    <t>Envio de correo solicitando clave unica y clave tributaria 01/12</t>
  </si>
  <si>
    <t>SE LE VUELVE A REENVIAR CORREO 05/12</t>
  </si>
  <si>
    <t>rechazaron la vf por que el inmuebele cedido tiene mas de un propietario y no iba en el poder, se envia correo solictando nuevos datos el 19/01/26</t>
  </si>
  <si>
    <t>CARGAR NOMINA DE PREVIRED</t>
  </si>
  <si>
    <t>NOMINA PREVIRED ACTUALIZAR DOMICILIO Y TRAMITAAR LICENCIA MEDICA</t>
  </si>
  <si>
    <t>PABLO CEBALLOS</t>
  </si>
  <si>
    <t>COMERCIAL VIMG SPA</t>
  </si>
  <si>
    <t>CONSULTA GETNET</t>
  </si>
  <si>
    <t>REVISAR CORREO DE DAVID MANDO UN REQUERIMIENTO</t>
  </si>
  <si>
    <t>JOSE</t>
  </si>
  <si>
    <t>SERVICIOS METAL PRO SPA</t>
  </si>
  <si>
    <t>77870782-9</t>
  </si>
  <si>
    <t>NECESITA FACTURAR/ VF ENVIADA PERO VAN A PEDIR MAS DCTOS REVISAR CORREO DAVID</t>
  </si>
  <si>
    <t>JAVIER ENCINA</t>
  </si>
  <si>
    <t>AUTORIZADO</t>
  </si>
  <si>
    <t>ENVIO DOCUMENTOS HAY QUE SUBIRLOS ESTAN EN EL WSP</t>
  </si>
  <si>
    <t>SINDY ABALLAY</t>
  </si>
  <si>
    <t>VERIFICACION ENVIADA HICE UNA DESCRIPCION DEL NEGOCIO BKN</t>
  </si>
  <si>
    <t>ZAMORANO &amp; FERNANDEZ BELLEZA LIMITADA</t>
  </si>
  <si>
    <t>78281723-K</t>
  </si>
  <si>
    <t>Zamorano25@</t>
  </si>
  <si>
    <t xml:space="preserve">FORMALIZA TU PYME </t>
  </si>
  <si>
    <t>56 9 7578 8806</t>
  </si>
  <si>
    <t>zamorano.paulina@gmail.com</t>
  </si>
  <si>
    <t xml:space="preserve">PENDIENTE ESCRITURA, INICIO </t>
  </si>
  <si>
    <t>escritura firmada, falta que envie contrato arriendo 08/11</t>
  </si>
  <si>
    <t>INICIO DE ACTIVIDADES Y TODOS LOS TRAMITES REALIZADOS ANALAZARAN SI NECESITAN VF</t>
  </si>
  <si>
    <t>FELISA SPA</t>
  </si>
  <si>
    <t>77969384-8</t>
  </si>
  <si>
    <t>FELISA2024</t>
  </si>
  <si>
    <t>RECURSOS HUMANOS</t>
  </si>
  <si>
    <t>SOLICITUD F30-1 DT</t>
  </si>
  <si>
    <t>PETER</t>
  </si>
  <si>
    <t>SESION DE DOMICILIO</t>
  </si>
  <si>
    <t>QUIERE CONTRATAR CREACION</t>
  </si>
  <si>
    <t>CREACIÓN DE EMPRESA + OFV</t>
  </si>
  <si>
    <t>56 9 8276 3642</t>
  </si>
  <si>
    <t>30-10 ENVIAR ESCRITURA</t>
  </si>
  <si>
    <t>a la espera que apruebe escritura/ dijo que la revisar y repsonde dentro de la semana 12-11</t>
  </si>
  <si>
    <t>ATADO CON LA CLAVE DEL SII DEL RP LEGAL NO LA PUEDE RECUEPRAR</t>
  </si>
  <si>
    <t>Quiere dejar parado el inicio de actividades</t>
  </si>
  <si>
    <t>ESCRITURA FIRMADA, OFV VIRTUAL FIRMADA, FALTA EL INICIO DE ACTIVIDADES Y TODO LO DEMÁS</t>
  </si>
  <si>
    <t>inicio listo vf oedidia notificado falta inscribir isl caido 12--11</t>
  </si>
  <si>
    <t>se le envio certificado de verificacion de actividades 01/12</t>
  </si>
  <si>
    <t>EP CONSTRUVISION SPA</t>
  </si>
  <si>
    <t>78180361-8</t>
  </si>
  <si>
    <t>Constru25@</t>
  </si>
  <si>
    <t>INICIAR ACTIVIDADES</t>
  </si>
  <si>
    <t>9/11 CLIENTE ENVIÓ ORDEN DE COMPRA Y FACTURAS POR MAIL, MATIAS ENVIA A VICTOR CORREO CON ANTECEDENTES. PROCEDER CON VERIFICACIÓN DE ACTIVIDADES</t>
  </si>
  <si>
    <t>ESCARLETT ESTEVEZ</t>
  </si>
  <si>
    <t>VF SOLICITADA SE SUBIO CONTRATO Y CARTA EXPLICATIVA</t>
  </si>
  <si>
    <t>el sii solicito mas informacion acreditacion de herramientas y contrato de servicio, se le envia correo a cliente 28-09 solicitando informacion</t>
  </si>
  <si>
    <t>EL SII PIDIO FACTURAS 3 AL MENOS Y NO HAN HECHO NINGUNA COMPRA ULTIMA REVISION 13-10 VF RECHAZADA</t>
  </si>
  <si>
    <t>05-12 SE REVISA VF Y DICE QUE ESTA AUTORIZADO PERO EN LA CONSULTA DICE NO AUTORIZADO/ SE CONTACTA A CLIENTE Y DICE QIE ESYA TODO OK QUE SI PUEDE EMITIR FACTURAS</t>
  </si>
  <si>
    <t>MANDAR VF</t>
  </si>
  <si>
    <t>RICHARD KRAUS</t>
  </si>
  <si>
    <t>vf rechazada 29/12</t>
  </si>
  <si>
    <t>VF ENVIADA 26-01-26 DESPUES DE 3 RECHAZOS</t>
  </si>
  <si>
    <t>CONSTRUCTORA GARCIA</t>
  </si>
  <si>
    <t>78098715-4</t>
  </si>
  <si>
    <t>Garcia@25</t>
  </si>
  <si>
    <t>SE CAMBIO GIRO SE DEJO ACTIVO OTRAS ACTIVIDADES DE CONSTRUCCION</t>
  </si>
  <si>
    <t>YULIETH</t>
  </si>
  <si>
    <t>ENVIADA VF/ con fecha 30/09 se envian mas antecedentes solicitados por el sii se adjunta contrato de servicio enviado por el cliente media correo</t>
  </si>
  <si>
    <t>autorizado y notifCADO EL 22/10</t>
  </si>
  <si>
    <t>DRAFTALIS SPA</t>
  </si>
  <si>
    <t>78.214.047-7</t>
  </si>
  <si>
    <t>Dr@fta25</t>
  </si>
  <si>
    <t>PATENTE COMERCIAL</t>
  </si>
  <si>
    <t>GESTIONAR PATENTE</t>
  </si>
  <si>
    <t>HERRERA SPA</t>
  </si>
  <si>
    <t>78130647-9</t>
  </si>
  <si>
    <t>Herrer@25</t>
  </si>
  <si>
    <t>CAMBIO DE DOMICILIO A SERRANO</t>
  </si>
  <si>
    <t>SOLICITUD DE CAMBIO DE DOMICILIO DE SERRANO A PADRE MARIANO ENVIADA</t>
  </si>
  <si>
    <t>JOSUE SOTO HERRERA</t>
  </si>
  <si>
    <t>LE PIDIERON DECLARAR HERRAMIENTAS, ORDENES DE COMPRA, CONTRATO DE TRABAJO Y MAS! LE ENTREGAREMOS FORMATOS 13-10</t>
  </si>
  <si>
    <t>REUNION</t>
  </si>
  <si>
    <t>VERIFICACION DE ACTIVIDADES APROBADA SE ENVIA CORREO NOTIFICANDO Y PREGUNTANDO SI HAY DUDAS O PENDIENTES</t>
  </si>
  <si>
    <t>EXOVET</t>
  </si>
  <si>
    <t>TRAMITAR/ BUSCAR VIDEO DE COMO PASAR DE PATENTE PROVISORIA A DEFINITIVA EN SANTIAGO</t>
  </si>
  <si>
    <t>SERVICIOS JUAN JOSE ESPINOZA MACKENNA E.I.R.L.</t>
  </si>
  <si>
    <t>76614548-5</t>
  </si>
  <si>
    <t>HACER UNA FACTURA SEGUN CORREO/ CLAVE DEL CERIFICADO MALA Y TODOS LOS DIAS WEBEA SIENDO QUE NO NOS CORREPSONDE HACER FACTURAS, HE PERDIDO MUCHO TIEMPO CON EL</t>
  </si>
  <si>
    <t>VEHICULO/AMPLIAR GIRO</t>
  </si>
  <si>
    <t>HACER USOFRUCTO VEHICULO</t>
  </si>
  <si>
    <t>CAMBIO REGIMEN TRIBUTARIO</t>
  </si>
  <si>
    <t>HACER CAMBIO DE REGIMEN TRIBUTARIO DE RENTA PRESUNTA A 14 D</t>
  </si>
  <si>
    <t>RASMES ROJAS</t>
  </si>
  <si>
    <t>pali pali market spa</t>
  </si>
  <si>
    <t>FORMALIZA TU PYME + OFV</t>
  </si>
  <si>
    <t>SE ENVIA NUEVAMENTE VF 26-01-26 CLIENTE NO HA ENVIADO COTIZACIONES NI NADA23-10-25 FIRMADOA ESCRITURA, OFICINA VIRTUAL FIRMADA, VERIFICACIÓN DE RL APROBADA, FALTA INICIO DE ACTIVIDADES, VERIFICACIÓN DE ACTIVIADES, TRAMITES DIGITALES</t>
  </si>
  <si>
    <t>ESCRITURA ENVIADA</t>
  </si>
  <si>
    <t>FIRMAMOS 09/10</t>
  </si>
  <si>
    <t xml:space="preserve">8/11 VERIFICACIÓN RECHAZADA, SE SOLICITARON VIA MAIL ANTECEDENTES </t>
  </si>
  <si>
    <t>Solicitamos documentacion pendiente 01/12</t>
  </si>
  <si>
    <t>No responde los correos solicitando la documentación VF RECHAZADO 30/12</t>
  </si>
  <si>
    <t xml:space="preserve">M.A.V.A. CONSTRUCCIONES </t>
  </si>
  <si>
    <t>78.271.922-K</t>
  </si>
  <si>
    <t>CREACION DE EMPRESA + OFICINA VIRTUAL</t>
  </si>
  <si>
    <t>03/11 ESCRITURA OK, OFV FIRMADA, FALTA INICIO DE ACTIVIDADES Y TRAMITES DIGITALES</t>
  </si>
  <si>
    <t>CONSTANZA LEIVA</t>
  </si>
  <si>
    <t>INICIO LISTO FALTA VF ACTIVIDAD 08/11</t>
  </si>
  <si>
    <t>se le envio nuevntamente documentacion falatnte 01/12</t>
  </si>
  <si>
    <t>se nvio nuevo correo solicitando documentos 05/12</t>
  </si>
  <si>
    <t>Se le solcito documento y envio una factura 30-12</t>
  </si>
  <si>
    <t>SE ENVIA VF 26-01-26</t>
  </si>
  <si>
    <t>FINIQUITO LIQUIDACIONES</t>
  </si>
  <si>
    <t>CALCULO FINIQUITO Y REVISAR LIQUIDACIONES</t>
  </si>
  <si>
    <t>REGISTRO DIN</t>
  </si>
  <si>
    <t>REGISTRAR EN SII</t>
  </si>
  <si>
    <t>PROPIEDAD</t>
  </si>
  <si>
    <t>CONSULTAR A LA COTY SI ES POSBLE UNA VENTA FICCTIA A LA HIJA</t>
  </si>
  <si>
    <t>SR EDIFICACIONES SPA</t>
  </si>
  <si>
    <t>78272292-1</t>
  </si>
  <si>
    <t>56 9 8517 4237</t>
  </si>
  <si>
    <t>sr.edificacionesing@gmail.com</t>
  </si>
  <si>
    <t>clave sii mala24/10/2025. FALTA TODO DESDE EL INICIO DE ACTIVIDADES, ofv firmada</t>
  </si>
  <si>
    <t>INICIO DE ACTIVIDACDES REALIZADO TRAMITES DIGITALES OK SOLO FALTA VF DE ACT SE ENVIO CARTA EXPLICATIVA Y SE PIDEN ANTECEDENTES 10-11</t>
  </si>
  <si>
    <t xml:space="preserve">se le reenvia correo solicitando documentacion. 01/12 </t>
  </si>
  <si>
    <t xml:space="preserve">se le envio correo para solicitar documentacion vf rechazada </t>
  </si>
  <si>
    <t>se le envio correo para solicitar documentacion vf rechazada 29/12</t>
  </si>
  <si>
    <t>clave de sii no funciona y se le envio correo solicitando documentación y aun no responde 30-12</t>
  </si>
  <si>
    <t>Servicios Metal Mecánicos Fernando Aguilar Brito SPA</t>
  </si>
  <si>
    <t>TODO REALIZADO CLIENTE NOTIFICADO</t>
  </si>
  <si>
    <t>FERNADO AGUILAR</t>
  </si>
  <si>
    <t>SE ENVIA CEDULA ERUT DE CLAUDIO SILVA A PETICION DEL CLIENTE</t>
  </si>
  <si>
    <t>EMPRESA23</t>
  </si>
  <si>
    <t>SOLICITAR USO DE VEHICULO PERSONAL</t>
  </si>
  <si>
    <t>DEJO EL PADRON DEL VEHICULO EN LA OFICINA PARA HACER LA SOLICITUD</t>
  </si>
  <si>
    <t>PREVIRED</t>
  </si>
  <si>
    <t>REVISAR DESDE JUNIO A AGOSTO SI ESTA TODO PAGADO</t>
  </si>
  <si>
    <t>MODIFICACION SOCIEDAD</t>
  </si>
  <si>
    <t>HACER</t>
  </si>
  <si>
    <t xml:space="preserve">fv rechazada </t>
  </si>
  <si>
    <t>NUEVO CONTRATO OFV</t>
  </si>
  <si>
    <t>tiene la ofv vencida del 19-11-25</t>
  </si>
  <si>
    <t>MANDO DOCUMENTO POR CHAT DE WSP PARA DE ARRIENDO DE VEHICULO QUIERE COMPRAR CON FACTURA</t>
  </si>
  <si>
    <t>56 9 3729 9647 REVISAR CONTRATO PREVIRED QUIERE QUE LE DEJEN DE COBRAR</t>
  </si>
  <si>
    <t>POSTERGACION IVA</t>
  </si>
  <si>
    <t>SE POSTERGO EL PAGO DEL IVA Y SE NOTIFICO POR CORREO</t>
  </si>
  <si>
    <t>JOSE MARTINEZ</t>
  </si>
  <si>
    <t>XTI IA SPA</t>
  </si>
  <si>
    <t>Xti2025@</t>
  </si>
  <si>
    <t>DOCUMENTOS DE EMPRESA</t>
  </si>
  <si>
    <t>CLIENTE SOLICITA POR WSP DOCUMENTOS RELACIONADOS CON SU EMPRESA</t>
  </si>
  <si>
    <t>SALUL URIQUIETA</t>
  </si>
  <si>
    <t>SE LE ENVIA CORREO, DEBE FCATURAS</t>
  </si>
  <si>
    <t>LICENCIA MEDICA</t>
  </si>
  <si>
    <t>CONTACTARLO Y PEDIR LICENCIA MEDICA PARA TRAMITAR</t>
  </si>
  <si>
    <t>CLIENTE TIENE MAS TRABAJADORES DE LOS QUE CONTRATO NOTIFICAR QUE SU PLAN VA SUBIR</t>
  </si>
  <si>
    <t>asignacion maternal ips hacer retroactivo</t>
  </si>
  <si>
    <t>BYB SPA</t>
  </si>
  <si>
    <t>78160544-1</t>
  </si>
  <si>
    <t>0104.Bali</t>
  </si>
  <si>
    <t>VERIFICAR ACTIVIDADES</t>
  </si>
  <si>
    <t>56 9 9639 5605</t>
  </si>
  <si>
    <t>orlandobc.23@gmail.com</t>
  </si>
  <si>
    <t>hacer verificación de actividades + cesion de derechos</t>
  </si>
  <si>
    <t>cesion de domicilio enviado para firma 22/10</t>
  </si>
  <si>
    <t>FRUTAS GAVA SpA</t>
  </si>
  <si>
    <t>sin clave aún</t>
  </si>
  <si>
    <t>FULL EMPRENDEDOR + OFV</t>
  </si>
  <si>
    <t>JVALDERRAMAMOYA@HOTMAIL.COM</t>
  </si>
  <si>
    <t>SE ENVIA INICIO DE ACTIVIDADES 26-01-26 EN REVISIOON POR EL SII</t>
  </si>
  <si>
    <t xml:space="preserve">no funciona clave sii del socio </t>
  </si>
  <si>
    <t>no funciona cave del socio para iniciar actividades 30-12</t>
  </si>
  <si>
    <t>29/10 FALTA TODO DESDE EL INICIO DE ACTIVIDADES, OFICINA VIRTUAL FIRMADA</t>
  </si>
  <si>
    <t>CUENTA BANCO EMPRESA</t>
  </si>
  <si>
    <t>SOLICITAR CUENTA BANCO EMPRESA</t>
  </si>
  <si>
    <t>BEDOMAX</t>
  </si>
  <si>
    <t>78274127-6</t>
  </si>
  <si>
    <t>Bedomax25@</t>
  </si>
  <si>
    <t>56 9 5613 4306</t>
  </si>
  <si>
    <t>24/10/25 FALTA INICIO DE ACTIVIDADES Y TRAMITES DIGITALES . FIRMADA ESCRITURA Y OFV</t>
  </si>
  <si>
    <t>19/11/2025 verificado y tramites digitales ok</t>
  </si>
  <si>
    <t>AUTORIZADO EL 30-12</t>
  </si>
  <si>
    <t>KAAE SpA</t>
  </si>
  <si>
    <t>77923779-6</t>
  </si>
  <si>
    <t>alvarito0416</t>
  </si>
  <si>
    <t>BAJA SERVICIO</t>
  </si>
  <si>
    <t>SOLICITA DOCUMENTOS RELACIONADOS A SU EMPRESA Y SOLCIITA BAJA A CONTAR DE SEPTIEMBRE</t>
  </si>
  <si>
    <t>DEBE AGOSTO</t>
  </si>
  <si>
    <t>APROBADO</t>
  </si>
  <si>
    <t>JESUSTEAMA SPA</t>
  </si>
  <si>
    <t>78085291-7</t>
  </si>
  <si>
    <t>Gabriel.20</t>
  </si>
  <si>
    <t>VERIFICACION GOOGLE</t>
  </si>
  <si>
    <t>VOLVER A ENVIAR</t>
  </si>
  <si>
    <t>vf autorizada 29/12</t>
  </si>
  <si>
    <t>REGISTRO MARCA</t>
  </si>
  <si>
    <t>SUBIR</t>
  </si>
  <si>
    <t>Smarter SPA</t>
  </si>
  <si>
    <t>78233417-4</t>
  </si>
  <si>
    <t>Smart25@</t>
  </si>
  <si>
    <t>CREACION DE EMPRESA + OFV</t>
  </si>
  <si>
    <t>25/10 HAY UN ERROR, SE PUSO UN DOMICILIO DE ESTACION CENTRAL Y ES CON OFICINA VIRTUAL, ENVIÉ CONTRATO DE OFV. CUANDO APRUEBEN LA VERIFICACIÓN, CAMBIAR DOMICILIO Y CONTINUAR CON INICIO Y TRAMITES DIGITALES</t>
  </si>
  <si>
    <t>tramites digitales y domicilio listo, solo falta documentacion de la empresa para vf 05/12</t>
  </si>
  <si>
    <t>vf rechazada no envia documentacion</t>
  </si>
  <si>
    <t>19-01-26 se vuelve a subir vf</t>
  </si>
  <si>
    <t xml:space="preserve">ampliar el objeto de negocio a empresa de transporte de carga y también de pasajeros, sin dejar de lado lo de las remesas que ya está </t>
  </si>
  <si>
    <t>A ESPERA DE REPUESTA 05-01</t>
  </si>
  <si>
    <t>CONTACTAR</t>
  </si>
  <si>
    <t>JOYERIA SEBASTIAN BARRAZA E.I.R.L</t>
  </si>
  <si>
    <t>77882754-9</t>
  </si>
  <si>
    <t>JOYER2024</t>
  </si>
  <si>
    <t>NORMALIZACION</t>
  </si>
  <si>
    <t>para hacerlo tengo un correo que me envio matias 16/09nbuscarlo</t>
  </si>
  <si>
    <t>12 F29 VENCIDOS Y RENTA 2025</t>
  </si>
  <si>
    <t>SEBASTIAN BARRAZA</t>
  </si>
  <si>
    <t>VER ALTERNATIVAS PAGO CON GIRO TGR ETC</t>
  </si>
  <si>
    <t>VIVI POWER SPA</t>
  </si>
  <si>
    <t>78272354-5</t>
  </si>
  <si>
    <t>Vivi2025@</t>
  </si>
  <si>
    <t>56 9 3517 9905</t>
  </si>
  <si>
    <t>FIRMADO. FALTA TODO DESDE EL INICIO DE ACTIVIDADES, INCLUIDO OFICINA VIRTUAL</t>
  </si>
  <si>
    <t>VF RECHAZADA se le envio coreo aun no respone 30-12</t>
  </si>
  <si>
    <t>se le solicita nuevamente documentos por rechazo de verificacion de actividades 01/12</t>
  </si>
  <si>
    <t>se le volvio a enviar correo solicitando documentos 05/12</t>
  </si>
  <si>
    <t>NO PEDITA VF AUN SOLO DARA BOLETAS</t>
  </si>
  <si>
    <t>GOODSAFE SPA</t>
  </si>
  <si>
    <t>77698522-8</t>
  </si>
  <si>
    <t>Goodsafe23</t>
  </si>
  <si>
    <t>F29 VENCIDOS</t>
  </si>
  <si>
    <t>YA SE HIZO NORMALIZACION AL PARECER VERIFICAR SI CLIENTE ESTA NOTIFICADO</t>
  </si>
  <si>
    <t>CRUST</t>
  </si>
  <si>
    <t>77783212-3</t>
  </si>
  <si>
    <t>YA SE HIZO PERO</t>
  </si>
  <si>
    <t>FALTA QUE DECLARE RENTA 2023 Y 2024</t>
  </si>
  <si>
    <t>ANVLIK SPA</t>
  </si>
  <si>
    <t>78053933-K</t>
  </si>
  <si>
    <t>NOTIFICADO Y SE LE DIERON ALTERNATIVAS VERIFICAR SI YA LO HIZO</t>
  </si>
  <si>
    <t>AIMAR MARKET SPA</t>
  </si>
  <si>
    <t>HACER F29 VENCIDOS Y SOLICITAR CONDONACION DE MULTAS</t>
  </si>
  <si>
    <t>AGRICOLA JHON LEANDRO ULISES VALDERRAMA MOYA E.I.R.L.</t>
  </si>
  <si>
    <t>77119107-K</t>
  </si>
  <si>
    <t>CLAVE SII: John.2025</t>
  </si>
  <si>
    <t>AREGAR A PLANILLA DE TERMINO DE GIRO Y GESTIONAR</t>
  </si>
  <si>
    <t>AGREGAR A PLANILLA TERMINO DE GIRO</t>
  </si>
  <si>
    <t>GESTIONAR</t>
  </si>
  <si>
    <t>VARIEGAS VIÑA DEL MAR LTDA</t>
  </si>
  <si>
    <t>S&amp;S SPA</t>
  </si>
  <si>
    <t>78016691-6</t>
  </si>
  <si>
    <t>Yubitza01.</t>
  </si>
  <si>
    <t>AUDITORIA</t>
  </si>
  <si>
    <t>INFORME AUDITORIA INICIAL</t>
  </si>
  <si>
    <t>MINIMARKET MARIA SEMINARIO EIRL</t>
  </si>
  <si>
    <t>78051723-9</t>
  </si>
  <si>
    <t>Minimar24@</t>
  </si>
  <si>
    <t>DEVOLVER VALOR DE LA PATENTE</t>
  </si>
  <si>
    <t>SE DETERMINA QUE HAY QUE DEVOLVER $60.000 + IVA por concepto de patente, además hay que hacer la nota de credito correspondiente</t>
  </si>
  <si>
    <t>HUMANAMENTE SPA</t>
  </si>
  <si>
    <t>78.250.822-9</t>
  </si>
  <si>
    <t>Humana25@</t>
  </si>
  <si>
    <t>MANDAR ESCRITURA Y HACER TODO</t>
  </si>
  <si>
    <t>FLAVIA</t>
  </si>
  <si>
    <t>INICIO DE ACTIVIDADES REALIZADO VF ACTVIDAD PENDIENTE DE APROBACION, FALTA ISL QUE ESTABA MALO Y LA CUENTA DE BANCO YA PASARON 30 DIAS</t>
  </si>
  <si>
    <t>9/11 se solicitan más antecedentes por mail al cliente</t>
  </si>
  <si>
    <t>vf rechazada documentacion en correo / SOLO DARA BOLETAS POR AHORA</t>
  </si>
  <si>
    <t>LUBRICENTRO GALVEZ SPA</t>
  </si>
  <si>
    <t>78178209-2</t>
  </si>
  <si>
    <t>Lubri2025@</t>
  </si>
  <si>
    <t>HACER CARTA EXPLICATIVA Y CAMBIO DE DIRECCION</t>
  </si>
  <si>
    <t>ALEX GALVEZ</t>
  </si>
  <si>
    <t>SE AUTORIZO EL CAMBIO DE DIRECCION Y ESTAMOS A LA ESPERA DE LA VF ULTIMA REVISION 28/09</t>
  </si>
  <si>
    <t>SE ENVIARON NUEVOS ANTECEDENTES CARTA EXPLOCATIVA Y DJ DE HERRAMIENTAS</t>
  </si>
  <si>
    <t xml:space="preserve">9/11 se solicitan más antecedentes al cliente por mail </t>
  </si>
  <si>
    <t>se le envia verificacion de actividades 01/12</t>
  </si>
  <si>
    <t>KREALED SPA</t>
  </si>
  <si>
    <t>78217525-4</t>
  </si>
  <si>
    <t>Krealed25@</t>
  </si>
  <si>
    <t>9/11 se solicitan más antecedentes al cliente para verificar actividades</t>
  </si>
  <si>
    <t>VF ANULADOSE LE ENVIO CORREO SOLICITANDO DOCUMENTOS PERO AUN NADA 30-12</t>
  </si>
  <si>
    <t>se le envio nuevamente correo pidiendo documentos 05/12</t>
  </si>
  <si>
    <t>dia 19/01/26 se envia nuevamente la verificacion. de activiades y se envia correo pidiendo cotzaciones y mas</t>
  </si>
  <si>
    <t>LAVADO DE AUTOS SILES.G SpA</t>
  </si>
  <si>
    <t>78223809-4</t>
  </si>
  <si>
    <t>Lav@do25</t>
  </si>
  <si>
    <t>PAGINA WEB</t>
  </si>
  <si>
    <t>TERMINAR PAGINA WEB</t>
  </si>
  <si>
    <t>COTIZAR</t>
  </si>
  <si>
    <t>VIDAL SEGURIDAD LIMITADA</t>
  </si>
  <si>
    <t>78162855-7</t>
  </si>
  <si>
    <t>MODIFICAR SOCIEDAD</t>
  </si>
  <si>
    <t>PAGO UN PODER NOTARIAL DE USO DE INMUEBLE</t>
  </si>
  <si>
    <t>PEDRO VIDAL</t>
  </si>
  <si>
    <t>7/11/2025 SE ENVIÓ DOCUMENTO DE MOFICIACIÓN DE SOCIEDAD</t>
  </si>
  <si>
    <t>FORMALIZA TU PYME + OFV + CONTA GO + PATENTE COMERCIAL</t>
  </si>
  <si>
    <t>SE VUELVE A ENVIAR LA CEDULA PARA LA ACREDITACION. 06-10</t>
  </si>
  <si>
    <t>19/01  EN REVISIÓN SE ENCUENTRA LA VERFICIACIÓN RECHAZADA, SE SOLICITAN ANTECEDENTES POR MAIL</t>
  </si>
  <si>
    <t>se le envio nuevamente correo para solicitar mas documentos para vf 05/12</t>
  </si>
  <si>
    <t>Falta documentacion, aun no responde a correos 02/12</t>
  </si>
  <si>
    <t>VF ENVIADA 19-01-26</t>
  </si>
  <si>
    <t>ENTRETENIMIENTOS GIAN SPA</t>
  </si>
  <si>
    <t>78024673-1</t>
  </si>
  <si>
    <t>Entre.2024</t>
  </si>
  <si>
    <t>NOTA DE CREDITO</t>
  </si>
  <si>
    <t>Hacer nota de credito factura 2106 // LISTO 20-10-2025</t>
  </si>
  <si>
    <t>SOLICITAR VF</t>
  </si>
  <si>
    <t>VF autorizada 02/12</t>
  </si>
  <si>
    <t>se le envio por correo vf autorizada  05/12</t>
  </si>
  <si>
    <t>modificar escritura</t>
  </si>
  <si>
    <t>BIG PHILIA SPA</t>
  </si>
  <si>
    <t>78252479-8</t>
  </si>
  <si>
    <t>Big2025@</t>
  </si>
  <si>
    <t>CONTRATO ARRIENDO OFV ENVIADO 09-10</t>
  </si>
  <si>
    <t xml:space="preserve">clave sii mala del representante legal/ ya arreglola clave 17/10/ ya esta listo ok autorizado pra facturar </t>
  </si>
  <si>
    <t>MIGRACIÓN DE SERRANO A PROVI</t>
  </si>
  <si>
    <t>OK</t>
  </si>
  <si>
    <t>REVISAR FACTIBIIDAD/ ESTA EN SERRANO PERO TIENE VENCIDA LA OFV Y PARECE QUE ESTA BLOQUEADO</t>
  </si>
  <si>
    <t>CAMBIO DOMICILIO SOLICITADO POR 2DA VEZ 21-11</t>
  </si>
  <si>
    <t xml:space="preserve">MGC PROPIEDADES </t>
  </si>
  <si>
    <t>EL CLIENTE CONTRATÓ FORMALIZA TU PYME, LLENÓ EL FORMULARIO.  CONTRATÓ OFICINA VIRTUAL ESTPA FIRMADO</t>
  </si>
  <si>
    <t>MATIAS OLIVOS</t>
  </si>
  <si>
    <t>vf autorizada, ha que enviarla al corre o  02/12</t>
  </si>
  <si>
    <t>M Y V</t>
  </si>
  <si>
    <t>VOLVER A ENVIAR PIDIERON BALANCE RLI Y MAS</t>
  </si>
  <si>
    <t>ANTOJITOS FOOD SPA</t>
  </si>
  <si>
    <t>78054543-7</t>
  </si>
  <si>
    <t>Food2024@</t>
  </si>
  <si>
    <t>ACTUALIZACION DE DOMICILIO</t>
  </si>
  <si>
    <t>MANDAR CONTRATO DE PROPUESTA INCORPORAR MAQUINAS Y COSAS DE ARCHIVOS ADJUNTOS</t>
  </si>
  <si>
    <t>ALEXIS CARMONA</t>
  </si>
  <si>
    <t>CONTRATO SUBIDO AL SII PARA ACTUALIZACION DE DOMICILIO Y SE AGREGO UN GIRO</t>
  </si>
  <si>
    <t>SE ENVIO CONTARTO NUEVAMENTE POR QUE LO RECHAZAZON ENVIADO 30-09</t>
  </si>
  <si>
    <t>TIENE OFICINA VIRTUAL CON NOSOTROS</t>
  </si>
  <si>
    <t>JRGNeo SPA</t>
  </si>
  <si>
    <t>78255704-1</t>
  </si>
  <si>
    <t>Javier25@</t>
  </si>
  <si>
    <t xml:space="preserve">ESCRITURA FIRMADA HACER PODER DE CESION </t>
  </si>
  <si>
    <t>MATI NU</t>
  </si>
  <si>
    <t>CONTRATO USUFRUCTO ENVIADO PARA SER FIRMADO</t>
  </si>
  <si>
    <t>TODO LISTO, SOLO FALTA ISL QUE ESTABA CAIDO 13-10</t>
  </si>
  <si>
    <t>CAMBIO DE DOMICILIO</t>
  </si>
  <si>
    <t>CAMBIAR A PADRE MARIANO</t>
  </si>
  <si>
    <t>APROBADO Y VF APROBADA</t>
  </si>
  <si>
    <t>SYMMES GONZALEZ INVICTUS PUBLICIDAD LIMITADA</t>
  </si>
  <si>
    <t>78197978-3</t>
  </si>
  <si>
    <t xml:space="preserve">CONTRATO DE ARRIENDO OFV </t>
  </si>
  <si>
    <t>EL CONTRATO DE ARRIENDO DEBE VENCER EL 24-07-2026</t>
  </si>
  <si>
    <t>SE SUBE CONTRATO FALTA QUE CLIENTE LO FIRME</t>
  </si>
  <si>
    <t>SOLICITUD DE CAMBIO DOMICILIO ENVIADA 13-10</t>
  </si>
  <si>
    <t>CIVIL PRO SpA</t>
  </si>
  <si>
    <t>FECHA DE FIN DE CONTRATO 9/10/2026</t>
  </si>
  <si>
    <t>contrato subido el 10/10</t>
  </si>
  <si>
    <t>56 9 4039 4174</t>
  </si>
  <si>
    <t>CLIENTE RAMON LO DEJO TIRADO, HAY QUE VERIFICAR</t>
  </si>
  <si>
    <t>SE SUBE NUEVA VF 19-01-26</t>
  </si>
  <si>
    <t xml:space="preserve">Bobenrieth y asociados </t>
  </si>
  <si>
    <t>78286952-3</t>
  </si>
  <si>
    <t>Boben25@</t>
  </si>
  <si>
    <t>56 9 9998 0293</t>
  </si>
  <si>
    <t>Stephane.bobenrieth@gmail.com</t>
  </si>
  <si>
    <t>FALTA DEL INICIO DE ACTIVIDADES EN ADELANTE, OFV FIRMADA</t>
  </si>
  <si>
    <t>notificado solo falta verificacion de actividad 13-11</t>
  </si>
  <si>
    <t>Verficacion no autorizada, hay que pedir documentos 02/12</t>
  </si>
  <si>
    <t>se le evio correo idiendo documentos para vf 05/12</t>
  </si>
  <si>
    <t>SE ENVIA NUEVA VF 19-01-26</t>
  </si>
  <si>
    <t>MIDOU CLEANING SPA</t>
  </si>
  <si>
    <t>78185132-9</t>
  </si>
  <si>
    <t>Midou@3343</t>
  </si>
  <si>
    <t xml:space="preserve">INICIAR ACTIVIDADES, CLAVE SII NO SE QUE PASA CON EL CONTRATO </t>
  </si>
  <si>
    <t xml:space="preserve">FALTA CLAVE DEL SII DEL REPRESENTANTE PARA SOLICITAR CLAVE DEL SII Y ACREDITACION DEL RP LEGAL ANTE EL SII PERSONA EXTRANJERA </t>
  </si>
  <si>
    <t>SE INICIA ACTIVIDADES SE ENVIA CORREO CON LA INFO DE TRAMITES DIGITALES</t>
  </si>
  <si>
    <t>VOLVER A SUBIR F29</t>
  </si>
  <si>
    <t>CLIENTE NO PUDO PAGAR, HAY QUE VOLVER A SUBIR F29</t>
  </si>
  <si>
    <t>RECALCULAR PREVIRED</t>
  </si>
  <si>
    <t xml:space="preserve">EL CLIENTE NO PUDO PAGAR DEBIDO A QUE CAMILO ENVIÓ LA INFO A UN CORREO QUE NO CORRESPONDIA, SOLICITA RECALCULAR IMPUESTO </t>
  </si>
  <si>
    <t>MR PASTA</t>
  </si>
  <si>
    <t>FINIQUITO - CONTRATO NUEVO DE TRABAJO - AFC DIFERENCIA DE COTIZACION</t>
  </si>
  <si>
    <t xml:space="preserve">ESMEC </t>
  </si>
  <si>
    <t>TRAMITAR PATENTE EN PROVIDENCIA. SOLICITAR CERTIFICADO DE NO DEUDA</t>
  </si>
  <si>
    <t>REMUNERACIONES</t>
  </si>
  <si>
    <t>SUBIR PLANILLAS DE PREVIRED NUEVAMENTE POR QUE NO LAS PAGO DENTRO DEL PLAZO</t>
  </si>
  <si>
    <t>HACER NOTA DE CREDITO POR LAS FACTURAS EMITIDAS EN AGOSTO Y JULIO</t>
  </si>
  <si>
    <t>SINDY ACEVEDO Y ABALLAY LTDA</t>
  </si>
  <si>
    <t>FACTURAR Y NOTA DE CREDITO</t>
  </si>
  <si>
    <t>HACER FACTURA POR $40.000 + IVA y hacer nota de credito por la ultima factura que le emitimos</t>
  </si>
  <si>
    <t>77.783.212-3</t>
  </si>
  <si>
    <t>comenzar con termino de giro, a esta empresa la normalizamos</t>
  </si>
  <si>
    <t xml:space="preserve">DAMARIS SARMIENTO TRANSPORTES EIRL </t>
  </si>
  <si>
    <t>78146117-2</t>
  </si>
  <si>
    <t>Dama.2025</t>
  </si>
  <si>
    <t>DECIDIMOS CONJUNTAMENTE DAR DE BAJA ESTE SERVICIO</t>
  </si>
  <si>
    <t>78.016.691-6</t>
  </si>
  <si>
    <t>LIQUIDACIONES</t>
  </si>
  <si>
    <t>LIQUIDACIONES DE SUELDO</t>
  </si>
  <si>
    <t>ENVIAR LIQUIDACIONES DE SUELDO HOY 1/10/2025 PRIORIDAD MAXIMA, EL CLIENTE INDICA QUE ENVIÓ LA INFORMACIÓN VIA MAIL A VICTOR</t>
  </si>
  <si>
    <t>GRUPO CONSTRUCTOR G&amp;D</t>
  </si>
  <si>
    <t>Grupo2024@</t>
  </si>
  <si>
    <t>CONTRATOS</t>
  </si>
  <si>
    <t>REVISAR CONTRATOS DE TRABAJO</t>
  </si>
  <si>
    <t>DALTON COMENTO A MATIAS EN REUNIÓN QUE CAMILO CORRIA LA FECHA DE INICIO DE LOS CONTRATOS, REVISAR ESA SITUACIÓN. REVISAR ESA SITUACION IRREGULAR</t>
  </si>
  <si>
    <t>CREACIÓN DE EMPRESA EXPRESS</t>
  </si>
  <si>
    <t xml:space="preserve">PLAN EXPRESS </t>
  </si>
  <si>
    <t>REVISION 13-10 RESPUESTA SII 1) Adjuntar órdenes de compra con cliente con inicio de actividades, en razón a la(s) actividad(es) por los cuales requiere emitir facturas. 2) Acreditar compras de productos o insumos necesarios del giro en cantidades suficientes a razón de actividad(es) que desarrolla.</t>
  </si>
  <si>
    <t>9/11 se solicitan antecedentes para verificación</t>
  </si>
  <si>
    <t>aun no envia documentacion para creditar y fv rechazada</t>
  </si>
  <si>
    <t>se envia vf con los antecednetes que habia se creo carta explicatuca y se adjuntaron fcturas de compra 19-01-26</t>
  </si>
  <si>
    <t>CONTRATO DE TRABAJO</t>
  </si>
  <si>
    <t>REALIZAR CONTRATO DE TRABAJO</t>
  </si>
  <si>
    <t>EL CLIENTE SOLICITA QUE REALICEMOS UN CONTRATO DE TRABAJO, LLENÓ EL LINK</t>
  </si>
  <si>
    <t>REVISAR FACTURAS</t>
  </si>
  <si>
    <t>IMMELA COMPANY ESTABA 2 VECES EN LA PLANILLA DE CONTA, CON CONTA EXECUTIVE Y TERMINO DE GIRO, LE ESTABAMOS FACTURANDO, REVISAR SUS FACTURAS. HACER NOTA DE CREDITO A LA FACTURA N°1684 en adelante</t>
  </si>
  <si>
    <t>CONSTRUCTORA BRADASIC SPA</t>
  </si>
  <si>
    <t>78229588-8</t>
  </si>
  <si>
    <t xml:space="preserve">CREACION DE EMRPESA </t>
  </si>
  <si>
    <t>FULL EMPRENDEDOR + PODER NOTARIAL</t>
  </si>
  <si>
    <t xml:space="preserve">9/11 verificación rechazada, se piden más antecedentes </t>
  </si>
  <si>
    <t>aun no envia documentacion 02/12</t>
  </si>
  <si>
    <t>se le reenvio correo para pedir documentacion 05/12</t>
  </si>
  <si>
    <t>se revisa el sii y aun no hay funcionario asignado al 19-01-26</t>
  </si>
  <si>
    <t xml:space="preserve">CAMILO LE VENDIÓ LA RENTA EL 10 DE ABRIL 2025, POR ALGUNA RAZON NO SE REALIZÓ </t>
  </si>
  <si>
    <t>TUU</t>
  </si>
  <si>
    <t>FACTURAR SEGÚN EL MAIL</t>
  </si>
  <si>
    <t>TE REENVIÉ VICTOR UN MAIL DE TUU, DEBES FACTURAR SEGÚN LAS INSTRUCCIONES</t>
  </si>
  <si>
    <t>FACTURAR $10,000 + IVA PLAN EMPRENDEDOR PAGO PENDIENTE</t>
  </si>
  <si>
    <t>CONSULTORA CASTILLO SpA</t>
  </si>
  <si>
    <t>77970864-0</t>
  </si>
  <si>
    <t>CONSUL2024</t>
  </si>
  <si>
    <t>AMPLIAR GIRO</t>
  </si>
  <si>
    <t>9/11 SE SOLICITAN ANTECEDENTES AL CLIENTE POR MAIL, NUNCA SE SOLICITÓ EL GIRO DE INSTALACIONES ELECTRICAS</t>
  </si>
  <si>
    <t>Verficacion autorizada 02/12</t>
  </si>
  <si>
    <t>FACTURAR $20.000 + IVA POR AMPLIACIÓN DE GIRO</t>
  </si>
  <si>
    <t>FACTURACION</t>
  </si>
  <si>
    <t>FACTURAR $30.000 + IVA y hacer nota de credito por las ultimas 2 facturas nuestras</t>
  </si>
  <si>
    <t>hacer nota de credito por las ultimas 2 facturas nuestras</t>
  </si>
  <si>
    <t>aprobada 19-01-26</t>
  </si>
  <si>
    <t>vf no autorizadda, pedir documentos 02/12</t>
  </si>
  <si>
    <t>se le envio correo solicitando documentos 05/12</t>
  </si>
  <si>
    <t>OPTISOFT SOLUTIONS SpA</t>
  </si>
  <si>
    <t>78094821-3</t>
  </si>
  <si>
    <t>0Pt1s@ft25</t>
  </si>
  <si>
    <t>VF VERIFICAR</t>
  </si>
  <si>
    <t>vf no autorizadda, peidr documentos 02/12</t>
  </si>
  <si>
    <t>parece que hay que cambviar a padre mariano pero no se cuancdo le vence la ofv</t>
  </si>
  <si>
    <t xml:space="preserve">PATENTE COMERCIAL </t>
  </si>
  <si>
    <t xml:space="preserve">SCES CONSTRUCTORA </t>
  </si>
  <si>
    <t>ENVIAR DEUDA QUE TIENEN CON SII</t>
  </si>
  <si>
    <t>EMPRESA EXTERNA</t>
  </si>
  <si>
    <t>9/11 se eliminan giros 7, se solicita giro de apoyo y se solicitan antecedentes al cliente por mail</t>
  </si>
  <si>
    <t>no a enviado la documentacion soicitada 02/12</t>
  </si>
  <si>
    <t>se  le envio correo solicitando documentacion vf 05/12</t>
  </si>
  <si>
    <t>vf enviada 19-01-26</t>
  </si>
  <si>
    <t>INGRESADO POR MATIAS EN PLANILLA TERMINO DE GIRO</t>
  </si>
  <si>
    <t>SOLICITAR A LA DT BENEFICIO ZONA EXTREMA PARA LA EMPRESA DESDE OCTUBRE 2024</t>
  </si>
  <si>
    <t>AVERIGUAR COMO SE HACE ESO Y SOLICITAR LA ZONA EXTREMA `17 % PARA LA EMPRESA</t>
  </si>
  <si>
    <t>FABRICA EMPANADAS LA PERLA SPA</t>
  </si>
  <si>
    <t>TRANSFORMAR DE SPA A EIRL</t>
  </si>
  <si>
    <t xml:space="preserve">EL CLIENTE QUIERE CAMBIAR DE EIRL A SPA MODIFICANDO SOLO LA RAZON SOCIAL, EL RESTO SE MANTIENE. LA DATA ESTÁ EN MODIFICACIÓN DE SOCIEDADES </t>
  </si>
  <si>
    <t xml:space="preserve">15-10 se firmó la modificación, pendiente la actualización de datos </t>
  </si>
  <si>
    <t>MUNDO KAWAII SPA</t>
  </si>
  <si>
    <t>9/11 SE SOLICITAN MÁS ANTECEDENTES AL CLIENTE POR MAIL</t>
  </si>
  <si>
    <t>fv no autoriada, aun no envia documentacion solicitada 02/12</t>
  </si>
  <si>
    <t>solo da boletas no quiere vf aun</t>
  </si>
  <si>
    <t>WENDI ARTEAGA SERVICIOS E.I.R.L</t>
  </si>
  <si>
    <t>77975503-7</t>
  </si>
  <si>
    <t>WENDI2024</t>
  </si>
  <si>
    <t>FECHA DE FIN DE CONTRATO JULIO 2026</t>
  </si>
  <si>
    <t>MARIO PEREZ COMERCIALIZADORA E.I.R.L.</t>
  </si>
  <si>
    <t>15/10 contrato firmado por el cliente, pendiente de subir</t>
  </si>
  <si>
    <t>MUPAV SOLUCIONES INTEGRALES LIMITADA</t>
  </si>
  <si>
    <t>78042721-3</t>
  </si>
  <si>
    <t>Mupav7804@</t>
  </si>
  <si>
    <t>FPAVEZG009@GMAIL.COM</t>
  </si>
  <si>
    <t>HACER VF  / solicirar giro OTRAS INSTALACIONES PARA OBRAS DE CONSTRUCCIÓN</t>
  </si>
  <si>
    <t>FELIPE PAVEZ</t>
  </si>
  <si>
    <t>9/11 se solicitan antecedentes por mail</t>
  </si>
  <si>
    <t>aun no responde a la docuentacion pedidda 02/12</t>
  </si>
  <si>
    <t>PELUQUERIA YOSMAYRA JAVIER E.I.R.L.</t>
  </si>
  <si>
    <t>CLAVE NO FUNCIONA</t>
  </si>
  <si>
    <t>SEGUN LO QUE HAY EN GESTION LE PIDIERON DCTOS PARA VF ACT PERO NUNCA MANDO NADA AHORA INTENTO INGRESAR CON LA CLAVE Y NO FUNCIONA 13-10</t>
  </si>
  <si>
    <t>9/11 se solicita la clave sii via mail</t>
  </si>
  <si>
    <t>no responde ni envia clave sii 02/12</t>
  </si>
  <si>
    <t>BANQUETERIA ALFREDO ANTIVO E.I.R.L.</t>
  </si>
  <si>
    <t>78237598-9</t>
  </si>
  <si>
    <t>Banque25@</t>
  </si>
  <si>
    <t>56 9 6400 7387</t>
  </si>
  <si>
    <t>ok</t>
  </si>
  <si>
    <t>verificación lista</t>
  </si>
  <si>
    <t>PATENTE PROVIDENCIA OFV</t>
  </si>
  <si>
    <t>EMPRESA LISTA, SOLO FALTA VF ACT CLIENTE NOTIFICADO ENVIADO DCTOS TIPO VF 14-11</t>
  </si>
  <si>
    <t>VERIFICACIÓN APROBADA</t>
  </si>
  <si>
    <t>F30 Y F31</t>
  </si>
  <si>
    <t xml:space="preserve">envie f30 falta f30-1 no se si tuvieron despidos pregunté </t>
  </si>
  <si>
    <t>DMC CONSTRUCCIONES SPA</t>
  </si>
  <si>
    <t>77991406-2</t>
  </si>
  <si>
    <t>Dmc2024@</t>
  </si>
  <si>
    <t>15-10-25 SUBIDO, PENDIENTE DE FIRMA POR EL CLIENTE</t>
  </si>
  <si>
    <t>ASVAD SPA</t>
  </si>
  <si>
    <t>77945065-1</t>
  </si>
  <si>
    <t>ASVAD2024</t>
  </si>
  <si>
    <t>15-10-25 contrato firmado por cliente, subir al sii pendiente</t>
  </si>
  <si>
    <t>13/10  VERIFICAR ACTIVIDADES</t>
  </si>
  <si>
    <t>FOLIOS</t>
  </si>
  <si>
    <t>13/10 SOLICITAR FOLIOS</t>
  </si>
  <si>
    <t>PAULO TORRES COMERCIALIZADORA E.I.R.L.</t>
  </si>
  <si>
    <t>77918090-5</t>
  </si>
  <si>
    <t>873PatA1</t>
  </si>
  <si>
    <t>13/10 ENVIAR DOCUMENTO DE MODIFICACIÓN AL MENOS, ES UNA MODIFICACIÓN DE OBJETO DE NEGOCIO DE UNA EIRL</t>
  </si>
  <si>
    <t xml:space="preserve">AGRICOLA JHON LEANDRO ULISES VALDERRAMA MOYA E.I.R.L. </t>
  </si>
  <si>
    <t>77.119.107-K</t>
  </si>
  <si>
    <t>EMITIR FACTURA</t>
  </si>
  <si>
    <t>CUOTA NUMERO 2, OCTUBRE VALOR BRUTO = $246.528</t>
  </si>
  <si>
    <t>UP INVEST SERVICIOS INMOVILIARIOS</t>
  </si>
  <si>
    <t>77562991-6</t>
  </si>
  <si>
    <t>UPINVEST22</t>
  </si>
  <si>
    <t>NOTA DE CREDITO FACUTRA 1937</t>
  </si>
  <si>
    <t>REPARACIONES Y SERVICIOS DIESEL JL</t>
  </si>
  <si>
    <t>78212068-9</t>
  </si>
  <si>
    <t>Jl12345.2025</t>
  </si>
  <si>
    <t>VERIFICACION DE ACTIVIDADES</t>
  </si>
  <si>
    <t>56 9 8918 6028</t>
  </si>
  <si>
    <t>SOLICITUD ENVIADA 01-10</t>
  </si>
  <si>
    <t>ULTIMA REVISION 13-10 LE ENVIAN CORREO A CLIENTE PIDIENDO MAS DOCUMENTOS</t>
  </si>
  <si>
    <t>8/11 SE ENVIA CORREO SOLICITANDO MÁS ANTECEDENTES</t>
  </si>
  <si>
    <t>VF ENVIADA 19-01-26 OTRA VEZ</t>
  </si>
  <si>
    <t>ACT DE CINEMATOGRAFÍA RADIO Y TV Y OTRAS ACT DE ENTRETENIMIENTO ETIENNE ANDRE BOBENRIETH CAÑAS E.I.R.L.</t>
  </si>
  <si>
    <t>76742285-7</t>
  </si>
  <si>
    <t>Etienne25#</t>
  </si>
  <si>
    <t xml:space="preserve">wn del reallity, tiene una empresa creada hay que hacerla facturar si o si. Contrató ofv con nosotros </t>
  </si>
  <si>
    <t>realizado el 22/10 y notificado</t>
  </si>
  <si>
    <t>5/11 MATIAS ENVIA VERIFICACIÓN DE ACTIVIDADES</t>
  </si>
  <si>
    <t>KARINA UNDURRAGA</t>
  </si>
  <si>
    <t>VF falta documentacion 02/12</t>
  </si>
  <si>
    <t>FALTA MODIFICAR LA SOCIEDAD, LA TAREA ESTÁ EN UN TICKET AQUI</t>
  </si>
  <si>
    <t>FALTA QUE CLIENTE FIRME CONTRATO DE ARRIENDO 10/10</t>
  </si>
  <si>
    <t>se envia correo el 21-10 solicitando copia de cedula del rep legal</t>
  </si>
  <si>
    <t>7/11 se envia verificación de RL</t>
  </si>
  <si>
    <t>todo ok</t>
  </si>
  <si>
    <t xml:space="preserve">SIN RUT </t>
  </si>
  <si>
    <t>rgatranspacificosur@gmail.com</t>
  </si>
  <si>
    <t>21/11 ESCRITURA FIRMADA, FALTA INICIO DE ACTIVIDADES, VERIFICACIONES Y TRAMITES DIGITALES - envió correo con contrato de oficina virtual el 20 de noviembre al vsv9</t>
  </si>
  <si>
    <t>sin clave sii</t>
  </si>
  <si>
    <t>: ESPERANDO aprobación de inicio e actividades 30-12</t>
  </si>
  <si>
    <t>FAEMAQ RENTAL LTDA</t>
  </si>
  <si>
    <t>ENVIAR ESCRITURA HOY</t>
  </si>
  <si>
    <t>ESCRITURA ENVIADA con modificacion solicitada 08/10</t>
  </si>
  <si>
    <t>esta todo ok 13-10 solo falta ISL y mercado publico caidos en empresa1dia</t>
  </si>
  <si>
    <t xml:space="preserve">TODO OK. LISTO </t>
  </si>
  <si>
    <t>SERVICIOS LAS VERTIENTES SpA</t>
  </si>
  <si>
    <t>EL VA FIRMAR CONTACTAR Y DECIR QUE EN 30 DIAS DESAPFRECE</t>
  </si>
  <si>
    <t>falta clave sii socio se envia correo 19-01-26</t>
  </si>
  <si>
    <t>TORRES ELECTRICIDAD LIMITADA</t>
  </si>
  <si>
    <t>77990401-6</t>
  </si>
  <si>
    <t>Torres@2</t>
  </si>
  <si>
    <t>CAMBIO DE DOMICILIO Y SESION DE DOMICILIO</t>
  </si>
  <si>
    <t>56 9 4122 2577</t>
  </si>
  <si>
    <t>stefani.vergara.77@gmail.com</t>
  </si>
  <si>
    <t>enviar sesion de derecho y modificar el domicilio tributario</t>
  </si>
  <si>
    <t>ARPIN SPA</t>
  </si>
  <si>
    <t>77914633-2</t>
  </si>
  <si>
    <t>ARPIN2024</t>
  </si>
  <si>
    <t>MIGRAR DE SERRANO A PADRE MARIANO</t>
  </si>
  <si>
    <t>56 9 3737 5295</t>
  </si>
  <si>
    <t>24/10/25 LISTO</t>
  </si>
  <si>
    <t>LEFRANCOIS MINIMARKET Y BOTILLERIA</t>
  </si>
  <si>
    <t>77988342-6</t>
  </si>
  <si>
    <t>LEFRANCO24</t>
  </si>
  <si>
    <t>ACTUALIZAR DATOS SII</t>
  </si>
  <si>
    <t>56 9 3540 8336</t>
  </si>
  <si>
    <t>Hay que actualizar datos del sii, camilo mando un correo con la modificación con asunto "Finalización de Modificación y Traspaso de Sociedad – LEFRANCOIS MINIMARKET Y BOTILLERIA SpA" pero parece que no actualizó los datos en el SII. Solo samus debe ser representante legal y unico dueño de la empresa</t>
  </si>
  <si>
    <t>vovlieron a rechazar el cambio</t>
  </si>
  <si>
    <t>Eesingenieria spa</t>
  </si>
  <si>
    <t>76506053-2</t>
  </si>
  <si>
    <t>CUENTA BANCARIA USA</t>
  </si>
  <si>
    <t>OBTENER CUENTA BANCO EMPRESA USA</t>
  </si>
  <si>
    <t>56 9 6320 0000</t>
  </si>
  <si>
    <t>Fgonzalez@eesingenieria.cl</t>
  </si>
  <si>
    <t>29/10 Hay un ticket en asana asignado a victor con los datos de contacto del cliente y el pasaporte</t>
  </si>
  <si>
    <t>CUENTA ABIERTA EN MERCURY BANK Y QUIERE CERRAR LA PERSONAL DE SWH</t>
  </si>
  <si>
    <t>contrato pendiente de firma</t>
  </si>
  <si>
    <t>PATENTE OFV PROVI</t>
  </si>
  <si>
    <t>SOLICITAR PATENTE</t>
  </si>
  <si>
    <t xml:space="preserve">CLVE SII SOCIO NO FUCNIONA </t>
  </si>
  <si>
    <t>VP SERVICIOS SPA</t>
  </si>
  <si>
    <t>78.228.608-0</t>
  </si>
  <si>
    <t>Servi2025@</t>
  </si>
  <si>
    <t>REVISAR CUENTA DE BANCO</t>
  </si>
  <si>
    <t>06/10 FALTA VERIFICAR COMO REPRESENTANTE DE LA EMPRESA, NO DEJO CLAVE UNICA NI DEL SII DEBE ENVIAR CEDULA POR AMBOS LADOS</t>
  </si>
  <si>
    <t>esta listo le falta solo la cuenta de banco</t>
  </si>
  <si>
    <t>DAISYKTBPA@GMAIL.COM</t>
  </si>
  <si>
    <t>firmada escritura</t>
  </si>
  <si>
    <t>TREPAVERDE SpA</t>
  </si>
  <si>
    <t>Trepa25@</t>
  </si>
  <si>
    <t>full emprendedor + ofv</t>
  </si>
  <si>
    <t>firmada la escritura  y oficina virtual</t>
  </si>
  <si>
    <t>05-01 PENDIENTE DE ACREDITACION EN SII</t>
  </si>
  <si>
    <t>COMERCIALIZADORA A&amp;R LTDA</t>
  </si>
  <si>
    <t>VERIFICACIÓN DE ACTIVIDADES</t>
  </si>
  <si>
    <t>ALEJANDROPEREZ170293@LIVE.COM</t>
  </si>
  <si>
    <t>11/11 SE TRASLADÓ OFV DE SERRANO A PADRE MARIANO, AL SOLICITAR LA VERIFICACIÓN ESTA SALIÓ RECHAZADA</t>
  </si>
  <si>
    <t>aprobada la verifciación</t>
  </si>
  <si>
    <t>full emprendedor</t>
  </si>
  <si>
    <t>GVARAPROYECTOS@GMAIL.COM</t>
  </si>
  <si>
    <t>12/11 pendiente envio de propuesta de escritura</t>
  </si>
  <si>
    <t>DEBE ENVIAR DOCUMENTOS PARA VF</t>
  </si>
  <si>
    <t>05-01 SOLICITUD DE VERIFICIACION EN SII ENVIADA</t>
  </si>
  <si>
    <t>3 F29 VENCIDOS</t>
  </si>
  <si>
    <t xml:space="preserve">El cliente tiene 3 f29 vencidos, hay que solicitar condonación de multa y declarar </t>
  </si>
  <si>
    <t>DEJE LA CAGA POR QUE PERDI EL REMANENTE QUE TENIA</t>
  </si>
  <si>
    <t>renta como persona natural con problemas</t>
  </si>
  <si>
    <t>El cliente tiene como persona natural problemas con su renta rut:12923933-6 clave: Romeo1975</t>
  </si>
  <si>
    <t>SUBI PETICION ADMINISTRATIVA 15-12</t>
  </si>
  <si>
    <t>PULITREK SPA</t>
  </si>
  <si>
    <t>77.965.332-3</t>
  </si>
  <si>
    <t>Itza2022@</t>
  </si>
  <si>
    <t>VERIFICACIÓN + OFV</t>
  </si>
  <si>
    <t>construccionesdiazw@gmail.com</t>
  </si>
  <si>
    <t>empresa creada con rut, hay que hacer la verificación de actividades</t>
  </si>
  <si>
    <t>docuentacion pediente para fv 02/12</t>
  </si>
  <si>
    <t>SERVICIOS OVIEDO SpA</t>
  </si>
  <si>
    <t>78011665-K</t>
  </si>
  <si>
    <t>Ovi.2024</t>
  </si>
  <si>
    <t>migramos oficina y piden verificar / solicitar folios</t>
  </si>
  <si>
    <t>vf no autoizada solicitar documentos 02/12</t>
  </si>
  <si>
    <t>SE HIZO UNA MODIFICACION DE SOCIEDAD SE EL SII PIDIO CAMBIAR EL GIRO PIDIO MUCHOS PAPELES SOLO PARA LA ACTUALIZACION DEL GIRO Y EN ESO ESTAMOS PARA LUEGO PEDIR LA VF POR EL NUEVO GIRO</t>
  </si>
  <si>
    <t>TRANSPORTE MOISES PEREZ E.I.R.L.</t>
  </si>
  <si>
    <t>77949365-2</t>
  </si>
  <si>
    <t>TRANPORT24</t>
  </si>
  <si>
    <t>vf pendiente acreditacion 02/12</t>
  </si>
  <si>
    <t xml:space="preserve">VF AUTORIZADO </t>
  </si>
  <si>
    <t>SOLICITAR CONDONACIÓN DE MULTAS</t>
  </si>
  <si>
    <t>no realizó retiros</t>
  </si>
  <si>
    <t>CONDONACIÓN DE MULTAS</t>
  </si>
  <si>
    <t>SE DEBE HACER PAGO CON GIRO Y SOLICITAR CONDONACIÓN DE MULTAS</t>
  </si>
  <si>
    <t>MOHR PROYECTOS Y ADMINISTRACION SpA</t>
  </si>
  <si>
    <t>78195622-8</t>
  </si>
  <si>
    <t>Gunther.20</t>
  </si>
  <si>
    <t>F29 IMPUGNADO</t>
  </si>
  <si>
    <t>LA EMPRESA TIENE UN F29 IMPUGNADO DE AGOSTO 2025</t>
  </si>
  <si>
    <t>E.I VENTANAS</t>
  </si>
  <si>
    <t>full emprendedor + OFV</t>
  </si>
  <si>
    <t>esta todo listo y notificado</t>
  </si>
  <si>
    <t>Grupo Turisto</t>
  </si>
  <si>
    <t>78317119-8</t>
  </si>
  <si>
    <t>Turisto26@</t>
  </si>
  <si>
    <t>FORMALIZA TU PYME</t>
  </si>
  <si>
    <t>AUTORIZADO EN SII</t>
  </si>
  <si>
    <t>todo listo hasta la vf cliente notificado</t>
  </si>
  <si>
    <t xml:space="preserve">NEUTRALFOOD </t>
  </si>
  <si>
    <t>78309165-8</t>
  </si>
  <si>
    <t>Neutral25@</t>
  </si>
  <si>
    <t>56 9 3063 9315</t>
  </si>
  <si>
    <t>COFREMARCIAL36@GMAIL.COM</t>
  </si>
  <si>
    <t>SERVICIOS APV SPA</t>
  </si>
  <si>
    <t>77988329-9</t>
  </si>
  <si>
    <t>Amaluna17@</t>
  </si>
  <si>
    <t xml:space="preserve">AGOSTO Y SEPTIEMBRE A PAGO CON GIRO </t>
  </si>
  <si>
    <t>cliente no apruba la escritura desde 17/12 07/01 sele reenvia correo</t>
  </si>
  <si>
    <t>SERVICIO MEDICO INTEGRAL DOMICILIARIO FDEZ BLANCO SPASERVICIO MEDICO INTEGRAL DOMICILIARIO FDEZ BLANCO SPA</t>
  </si>
  <si>
    <t>78.071.958-3</t>
  </si>
  <si>
    <t>Servi2024@</t>
  </si>
  <si>
    <t>modificar sociedad</t>
  </si>
  <si>
    <t>56 9 3961 7119</t>
  </si>
  <si>
    <t>Modificación razon social. Cambiar a " SERVICIO MEDICO INTEGRAL DOMICILIARIO BLANCO SpA. " // Sacar a la socia:  DANIELA FERNANDEZ DARAVINA // Modificar el objeto de negocio; La sociedad tendrá por objeto la comercialización, compra, venta, importación, exportación, distribución, consignación, representación y corretaje de toda clase de equipos, artículos, insumos, productos, materiales y accesorios de uso médico, ortopédico, clínico, hospitalario, de rehabilitación, odontológico, de cuidado personal, de seguridad y otros bienes afines o complementarios, ya sea al por mayor o al por menor, comprendiendo expresamente todas las actividades relacionadas con la venta de insumos y artículos de salud debidamente autorizados. Asimismo, la sociedad podrá dedicarse al arriendo, renta, concesión, subarriendo y leasing de los bienes señalados, incluyendo equipos, dispositivos, herramientas y maquinaria médica, ortopédica y tecnológica. Formará también parte de su objeto la prestación de servicios técnicos vinculados a la instalación, reparación, mantenimiento preventivo y correctivo, calibración, revisión y puesta en marcha de equipos médicos, ortopédicos y maquinaria tecnológica, así como cualquier tipo de servicio de soporte técnico y asistencia especializada en esta materia. La sociedad podrá igualmente dedicarse a la prestación de servicios de asistencia, cuidado, apoyo, atención, acompañamiento y hospitalización domiciliaria de pacientes, personas con discapacidad, personas con movilidad reducida y adultos mayores, tanto en domicilios particulares como en residencias, clínicas, centros de día o establecimientos de salud. Para ello podrá proveer personal técnico y profesional calificado, incluyendo técnicos en enfermería, cuidadores, paramédicos, kinesiólogos, terapeutas, enfermeras y otros profesionales o técnicos del área de la salud debidamente acreditados. Además, la sociedad podrá prestar servicios de consultoría, asesoría profesional, capacitación, formación, instrucción técnica y programas de entrenamiento en materias relacionadas con salud, higiene, ortopedia, gestión de calidad, administración, comercialización, operación de equipos médicos, cumplimiento regulatorio y gestión empresarial, así como en todas aquellas áreas conexas o complementarias a sus actividades principales. Finalmente, la sociedad podrá realizar cualquier otra actividad económica lícita que los socios acuerden y que se relacione directa o indirectamente con los giros antes descritos, o que resulte necesaria, útil, complementaria o conducente al mejor desarrollo y aprovechamiento de su objeto social.</t>
  </si>
  <si>
    <t>PLAN B HOBBIES SpA</t>
  </si>
  <si>
    <t xml:space="preserve"> 78307091-k</t>
  </si>
  <si>
    <t>Mecanica-1992</t>
  </si>
  <si>
    <t>oficina virtual inicio de actividades, verificación y tramites digitales</t>
  </si>
  <si>
    <t>56 9 8265 1603</t>
  </si>
  <si>
    <t>CAMXZERO@GMAIL.COM</t>
  </si>
  <si>
    <t>Oficina virtual firmada</t>
  </si>
  <si>
    <t>todo realizado solo falta gestionar cuenta de banco</t>
  </si>
  <si>
    <t>verificación</t>
  </si>
  <si>
    <t>verificación pendiente</t>
  </si>
  <si>
    <t>CLAVE SII NO FUNCIONA</t>
  </si>
  <si>
    <t>llenó formulario de rrhh</t>
  </si>
  <si>
    <t>BRANA IMPORTACION SPA</t>
  </si>
  <si>
    <t>78319488-0</t>
  </si>
  <si>
    <t>NO TIENE AÚN</t>
  </si>
  <si>
    <t>creación, domicilio cedido</t>
  </si>
  <si>
    <t>56 9 9127 1520</t>
  </si>
  <si>
    <t>ariasedgar357@gmail.com</t>
  </si>
  <si>
    <t xml:space="preserve">CLAVE TRIBUTRIA SOCIO NO FUNCIONA </t>
  </si>
  <si>
    <t>VERIFICACION DEL REPRESENTANTE LEGAL EXTRANJERO ENVIADA 07-01</t>
  </si>
  <si>
    <t>TERAMED SPA</t>
  </si>
  <si>
    <t>78317222-4</t>
  </si>
  <si>
    <t>Teramed26@</t>
  </si>
  <si>
    <t>formaliza tu pyme</t>
  </si>
  <si>
    <t>56 9 3271 5454</t>
  </si>
  <si>
    <t>teramed.salud@gmail.com</t>
  </si>
  <si>
    <t>firmada escritura y cesion de derecho 3541 - 549</t>
  </si>
  <si>
    <t>SE SOLICITO VF REPRESENTANTE LEGAL 24/12/ AL 07/01 SIN RESPUESTA</t>
  </si>
  <si>
    <t xml:space="preserve">7 contratos </t>
  </si>
  <si>
    <t>VANESA_ANDREA20@HOTMAIL.COM</t>
  </si>
  <si>
    <t>envió un excel con los 7 trabajadores por contrato, matias lo reenvió a victor por mail</t>
  </si>
  <si>
    <t>Libro de accionistas</t>
  </si>
  <si>
    <t>apertura libro de accionistas</t>
  </si>
  <si>
    <t>Fay Inversiones inmobiliarias SPA</t>
  </si>
  <si>
    <t>modificación anita maria veas</t>
  </si>
  <si>
    <t>llenó formulario</t>
  </si>
  <si>
    <t>Incluye realización de rentas, f29 y condonación de multas e intereses</t>
  </si>
  <si>
    <t>comenzar con los f29, rentas y condonaciones. Indicar cuanto tiene que pagar finalmente y hacer termino de giro</t>
  </si>
  <si>
    <t>PEQUEÑOS EXPLORADORES</t>
  </si>
  <si>
    <t>78.367.676-1</t>
  </si>
  <si>
    <t>disolución de sociedad</t>
  </si>
  <si>
    <t>la clienta no realizó inicio de actividades y quiere disolver la sociedad</t>
  </si>
  <si>
    <t>TERMINO DE GIRO / pago la renta 2025 tambien</t>
  </si>
  <si>
    <t>MEDICALNEX Y ASOCIADOS SPA</t>
  </si>
  <si>
    <t>78367248-0</t>
  </si>
  <si>
    <t>NO TIENE</t>
  </si>
  <si>
    <t>FALTA INICIO DE ACTIVIDADES, VERIFICACIONES Y TRAMITES DIGITALES</t>
  </si>
  <si>
    <t>MUNDO PCB</t>
  </si>
  <si>
    <t>YOVANKA MATULIC ENSEÑANZA EIRL</t>
  </si>
  <si>
    <t>78334402-5</t>
  </si>
  <si>
    <t>FORSEND</t>
  </si>
  <si>
    <t>78.366.807-6</t>
  </si>
  <si>
    <t>Forsend26@</t>
  </si>
  <si>
    <t>HAY QUE HACER DISOLUCIÓN DE SOCIEDAD</t>
  </si>
  <si>
    <t>DISOLVER SOCIEDAD</t>
  </si>
  <si>
    <t>REPOSTERIA ROSMA.</t>
  </si>
  <si>
    <t>78.371.905-3</t>
  </si>
  <si>
    <t>rectifciar renta</t>
  </si>
  <si>
    <t>CASTINOX SPA</t>
  </si>
  <si>
    <t>Empresa</t>
  </si>
  <si>
    <t>Rut</t>
  </si>
  <si>
    <t>Estado</t>
  </si>
  <si>
    <t>Representante Legal</t>
  </si>
  <si>
    <t>Clave Muni</t>
  </si>
  <si>
    <t>MUNICIPALIDAD</t>
  </si>
  <si>
    <t>CONSTRUCCIONES SÁNCHEZ Y LEPIN</t>
  </si>
  <si>
    <t xml:space="preserve">SMARTER SPA </t>
  </si>
  <si>
    <t xml:space="preserve">TREPAVERDE  </t>
  </si>
  <si>
    <t>SOCIEDAD ADMINISTRADORA DE EDIFICIOS M.V.M SPA</t>
  </si>
  <si>
    <t>NO CLIENTE</t>
  </si>
  <si>
    <t>SR CONSTRUCCION Y PROYECTO SPA</t>
  </si>
  <si>
    <t>INICIO</t>
  </si>
  <si>
    <t>FINAL</t>
  </si>
  <si>
    <t>OBSERVACIONES</t>
  </si>
  <si>
    <t>DIAS DE VENCIMIENTO</t>
  </si>
  <si>
    <t>OFICINA</t>
  </si>
  <si>
    <t>PATENTE EN SERRANO</t>
  </si>
  <si>
    <t>PADRE MARIANO</t>
  </si>
  <si>
    <t>SIN PATENTE</t>
  </si>
  <si>
    <t>JHIDALGO@ITECHSOLUTIONS.CL</t>
  </si>
  <si>
    <t>NOTIFICADO POR MAIL</t>
  </si>
  <si>
    <t xml:space="preserve">SERRANO </t>
  </si>
  <si>
    <t>VENCIDO</t>
  </si>
  <si>
    <t>CON PATENTE</t>
  </si>
  <si>
    <t>PEREZJUANF94@GMAIL.COM</t>
  </si>
  <si>
    <t>MCORVALAN@MCBCONSULTORES.CL</t>
  </si>
  <si>
    <t>YVALDEZOLIVO@GMAIL.COM</t>
  </si>
  <si>
    <t>ALEXANDERABERMUDEZB@HOTMAIL.COM</t>
  </si>
  <si>
    <t>ALVARITOBOHORQUEZ@GMAIL.COM</t>
  </si>
  <si>
    <t>JONNYJOS90@GMAIL.COM</t>
  </si>
  <si>
    <t>CONTRATO ENVIADO</t>
  </si>
  <si>
    <t>MIGRAR</t>
  </si>
  <si>
    <t>TRANSFELISA@GMAIL.COM</t>
  </si>
  <si>
    <t>CAROLINA.VIDELA@HOTMAIL.COM</t>
  </si>
  <si>
    <t>SOLUCIONES GPD</t>
  </si>
  <si>
    <t>GPD.HOUSE24@GMAIL.COM</t>
  </si>
  <si>
    <t>77871682-8</t>
  </si>
  <si>
    <t>SOLUCION23</t>
  </si>
  <si>
    <t>HESPINOZABAEZA@GMAIL.COM</t>
  </si>
  <si>
    <t>J.JARAKERN@GMAIL.COM</t>
  </si>
  <si>
    <t>FERNANDOFERRUZOLA9@GMAIL.COM</t>
  </si>
  <si>
    <t>VENTAS@APRENDIZAJEACTIVO.CL</t>
  </si>
  <si>
    <t>Cami.5193</t>
  </si>
  <si>
    <t>JSALCEDO840@GMAIL.COM</t>
  </si>
  <si>
    <t>AMABLEJOSEAMADO@GMAIL.COM</t>
  </si>
  <si>
    <t>LEONARDO JORQUERA SERVICIOS EIRL</t>
  </si>
  <si>
    <t>LJORQUERA.MARCOAN@GMAIL.COM</t>
  </si>
  <si>
    <t>78031001-4</t>
  </si>
  <si>
    <t>Leo.2024</t>
  </si>
  <si>
    <t>DANIEL ZUÑIGA PUBLICIDAD E.I.R.L.</t>
  </si>
  <si>
    <t>77931711-0</t>
  </si>
  <si>
    <t>DANIEL2024</t>
  </si>
  <si>
    <t>DALTON.MARIN@GYDCONSTRUCTORA.COM</t>
  </si>
  <si>
    <t>DAVIDMAITA623@GMAIL.COM</t>
  </si>
  <si>
    <t>GONZALEZJORGE20@GMAIL.COM</t>
  </si>
  <si>
    <t>CONSTRUCTORA Y HOJALATERIA BOHORQUEZ</t>
  </si>
  <si>
    <t>ALBERTOBOHORQUEZ211106@GMAIL.COM</t>
  </si>
  <si>
    <t>78116825-4</t>
  </si>
  <si>
    <t>Kaae0416.</t>
  </si>
  <si>
    <t xml:space="preserve">JOSE MIGUEL DIAZ SERVICIOS EIRL </t>
  </si>
  <si>
    <t>JOSE.DIAZ.CABRERA30@GMAIL.COM</t>
  </si>
  <si>
    <t>78020204-1</t>
  </si>
  <si>
    <t>Jose.2024</t>
  </si>
  <si>
    <t>ELECPROENERGY</t>
  </si>
  <si>
    <t>JUNIORJBG2@GMAIL.COM</t>
  </si>
  <si>
    <t>77913619-1</t>
  </si>
  <si>
    <t>ELECTRO24</t>
  </si>
  <si>
    <t>JOSUEHERRERASOTO66@GMAIL.COM</t>
  </si>
  <si>
    <t>FILMATICA1970@GMAIL.COM</t>
  </si>
  <si>
    <t>ANGELICA.GUTIERREZ.SILVA@GMAIL.COM</t>
  </si>
  <si>
    <t>JLMONTERO.SPA@GMAIL.COM</t>
  </si>
  <si>
    <t>JEANISMAILLERICHE@GMAIL.COM</t>
  </si>
  <si>
    <t xml:space="preserve"> MYMTRAVELS2025@GMAIL.COM</t>
  </si>
  <si>
    <t>SYMMES GONZALEZ PUBLICIDAD INVICTUS LIMITADA</t>
  </si>
  <si>
    <t>BRYANSYMMESG@GMAIL.COM</t>
  </si>
  <si>
    <t>Inv1c25@</t>
  </si>
  <si>
    <t>FREDDY GONZALEZ SERVICIOS EIRL</t>
  </si>
  <si>
    <t>FGAAUTOMOTRIZ@GMAIL.COM</t>
  </si>
  <si>
    <t>78196536-7</t>
  </si>
  <si>
    <t>S3rvi25@</t>
  </si>
  <si>
    <t>TABITAVIVANCO4@GMAIL.COM</t>
  </si>
  <si>
    <t xml:space="preserve">M.A.V.A CONSTURCCIONES SPA </t>
  </si>
  <si>
    <t>MARCELOVARGAS0606@GMAIL.COM</t>
  </si>
  <si>
    <t xml:space="preserve">78271922-K        </t>
  </si>
  <si>
    <t xml:space="preserve"> ORLANDOALZAMORA591420@GMAIL.COM   </t>
  </si>
  <si>
    <t>TALO19@GMAIL.COM</t>
  </si>
  <si>
    <t xml:space="preserve">78271993-9 </t>
  </si>
  <si>
    <t>YOOJIN9431@GMAIL.COM</t>
  </si>
  <si>
    <t xml:space="preserve">EN PROCESO </t>
  </si>
  <si>
    <t xml:space="preserve">MUNDO KAWAII SPA </t>
  </si>
  <si>
    <t xml:space="preserve">DGATICA@GMAIL.COM </t>
  </si>
  <si>
    <t xml:space="preserve">VLADYINCA@GMAIL.COM </t>
  </si>
  <si>
    <t xml:space="preserve">78248387-0 </t>
  </si>
  <si>
    <t>SMARTER SPA</t>
  </si>
  <si>
    <t>SMARTERBOTCL@GMAIL.COM</t>
  </si>
  <si>
    <t>VP SERVICIOS SpA</t>
  </si>
  <si>
    <t>LEO.IVVA@GMAIL.CO</t>
  </si>
  <si>
    <t>78228608-0</t>
  </si>
  <si>
    <t>GERARDO LAGOS PUBLICIDAD</t>
  </si>
  <si>
    <t>LAVADO DE AUTOS SILES.G</t>
  </si>
  <si>
    <t>LAVADODEAUTOSADOMICILIOSILES.G@GMAIL.COM</t>
  </si>
  <si>
    <t xml:space="preserve">COMERCIALIZADORA SABAOT SPA </t>
  </si>
  <si>
    <t>SAFATLIKUNAIZEH@GMAIL.COM</t>
  </si>
  <si>
    <t>78168566-6</t>
  </si>
  <si>
    <t>CIVIL PRO SPA</t>
  </si>
  <si>
    <t>DAMARIS SARMIENTO TRANSPORTES EIRL</t>
  </si>
  <si>
    <t>NO QUISO PAGAR UNA CONTA, ASÍ QUE NO LA MEO MÁS A LA QLIA</t>
  </si>
  <si>
    <t>MOONSTYLEECHILE@GMAIL.COM</t>
  </si>
  <si>
    <t>WENDI ARTEAGA SERVICIOS E.I.R.L.</t>
  </si>
  <si>
    <t>ARTEAGAOLIVARWENDI@GMAIL.COM</t>
  </si>
  <si>
    <t>S-AGONZALEZ@HOTMAIL.COM</t>
  </si>
  <si>
    <t>INVERSIONES Y SERVICIOS C&amp;M</t>
  </si>
  <si>
    <t>MARIIAJM216@GMAIL.COM</t>
  </si>
  <si>
    <t>78033568-8</t>
  </si>
  <si>
    <t>InverC&amp;M24</t>
  </si>
  <si>
    <t>PROPIETARIO FELIZ</t>
  </si>
  <si>
    <t>ABONICHC@GMAIL.COM</t>
  </si>
  <si>
    <t>78002706-1</t>
  </si>
  <si>
    <t xml:space="preserve">CAREGIVER SPA  </t>
  </si>
  <si>
    <t>MIGRADO</t>
  </si>
  <si>
    <t>BEDOMAX@GMAIL.COM</t>
  </si>
  <si>
    <t>SR.EDIFICACIONESING@GMAIL.COM</t>
  </si>
  <si>
    <t>AGUA PURIFICADA PIA FIGUEROA EIRL</t>
  </si>
  <si>
    <t>ERICK_FIGUEROA2012@HOTMAIL.COM</t>
  </si>
  <si>
    <t>77951875-2</t>
  </si>
  <si>
    <t>Erick.007</t>
  </si>
  <si>
    <t>SEELE SPA</t>
  </si>
  <si>
    <t>JOSEDANIEL.KRAUSE@GMAIL.COM</t>
  </si>
  <si>
    <t>77945096-1</t>
  </si>
  <si>
    <t>SEELE2024</t>
  </si>
  <si>
    <t>INGENIERIA Y SERVICIOS ATEK</t>
  </si>
  <si>
    <t>ATEK.SPA@GMAIL.COM</t>
  </si>
  <si>
    <t>77852414-7</t>
  </si>
  <si>
    <t>ATEK2023</t>
  </si>
  <si>
    <t>GRUPO LAMB SpA</t>
  </si>
  <si>
    <t>GRUPOLAMB.CL@GMAIL.COM</t>
  </si>
  <si>
    <t>77947905-6</t>
  </si>
  <si>
    <t>GRUPO2024</t>
  </si>
  <si>
    <t>YELLOW BRIDGE SPA</t>
  </si>
  <si>
    <t>DSCHAFFNER@YELLOWBRIDGE.CL</t>
  </si>
  <si>
    <t>77945154-2</t>
  </si>
  <si>
    <t>SERGIO2024</t>
  </si>
  <si>
    <t>EPESTRUCTURASWELDING@GMAIL.COM</t>
  </si>
  <si>
    <t>PEZTRO SPA</t>
  </si>
  <si>
    <t>SOTE.MONO@GMAIL.COM E</t>
  </si>
  <si>
    <t>78225339-5</t>
  </si>
  <si>
    <t>JCAESTRUCTURAS@HOTMAIL.COM</t>
  </si>
  <si>
    <t>DIEGO BAPTISTA TRANSPORTES E.I.R.L.</t>
  </si>
  <si>
    <t>DSALASBAPTISTA@GMAIL.COM</t>
  </si>
  <si>
    <t>78215599-7</t>
  </si>
  <si>
    <t>B@ptista25</t>
  </si>
  <si>
    <t>MAXIME@DRAFTALIS.CO</t>
  </si>
  <si>
    <t>78214047-7</t>
  </si>
  <si>
    <t>PATENTE PROVI OK</t>
  </si>
  <si>
    <t xml:space="preserve">HUMANAMENTE SpA </t>
  </si>
  <si>
    <t xml:space="preserve">OLARIETAFLAVIA@GMAIL.COM </t>
  </si>
  <si>
    <t xml:space="preserve">BIG PHILIA </t>
  </si>
  <si>
    <t>RICHARDPARADAL.BP@GMAIL.COM</t>
  </si>
  <si>
    <t xml:space="preserve">DMC CONSTRUCCIONES SPA </t>
  </si>
  <si>
    <t>JAVIERAMORENOSALVO1274@GMAIL.CO</t>
  </si>
  <si>
    <t>STEPHANE.BOBENRIETH@GMAIL.COM</t>
  </si>
  <si>
    <t>CE_CIMORALES@HOTMAIL.CO</t>
  </si>
  <si>
    <t xml:space="preserve">BOBENRIETH Y ASOCIADOS </t>
  </si>
  <si>
    <t>FALTA RUT</t>
  </si>
  <si>
    <t>PROTOCOLOS TECNICOS LOGISTICOS 121 SPA</t>
  </si>
  <si>
    <t>KEVINMUNOZ3190@GMAIL.COM</t>
  </si>
  <si>
    <t>77756551-6</t>
  </si>
  <si>
    <t>LOGISTICA1</t>
  </si>
  <si>
    <t>SKILLGAMER SPA</t>
  </si>
  <si>
    <t>DGONZALEZ@SKILLGAMER.CL</t>
  </si>
  <si>
    <t>77986432-4</t>
  </si>
  <si>
    <t>Dago225740</t>
  </si>
  <si>
    <t>TECNICOS A DOMICILIO SPA</t>
  </si>
  <si>
    <t>SAYCO SPA</t>
  </si>
  <si>
    <t>SAYCO2785@GMAIL.COM</t>
  </si>
  <si>
    <t>77944933-5</t>
  </si>
  <si>
    <t>SAYCO2024</t>
  </si>
  <si>
    <t>TRANSPORTES MOISES E.I.R.L</t>
  </si>
  <si>
    <t>YEIKOPEREZ01@GMAIL.COM</t>
  </si>
  <si>
    <t>ANTONIA SPA</t>
  </si>
  <si>
    <t>GASALYC1975@GMAIL.COM</t>
  </si>
  <si>
    <t>78058567-6</t>
  </si>
  <si>
    <t>@Zulmota24</t>
  </si>
  <si>
    <t>FIGUEROA CONSTRUCCIONES Y SERVICIOS MULTIPLES LTDA</t>
  </si>
  <si>
    <t>ESTEBANFIGUEROA905@GMAIL.COM</t>
  </si>
  <si>
    <t>77976284-K</t>
  </si>
  <si>
    <t>FIGUE2024</t>
  </si>
  <si>
    <t>PRINTOOL S.P.A</t>
  </si>
  <si>
    <t>M.OCARANZAJIMENEZ@GMAIL.COM</t>
  </si>
  <si>
    <t>78084264-4</t>
  </si>
  <si>
    <t>Print@@l25</t>
  </si>
  <si>
    <t>MOVITIERRA.RQ SPA</t>
  </si>
  <si>
    <t>AARONVALENTINO777@GMAIL.COM</t>
  </si>
  <si>
    <t>77797868-3</t>
  </si>
  <si>
    <t>Valentino3</t>
  </si>
  <si>
    <t>GRUPO  PUYEHUE</t>
  </si>
  <si>
    <t>AMARANTA08@HOTMAIL.COM</t>
  </si>
  <si>
    <t>77802051-3</t>
  </si>
  <si>
    <t>vsvcons608</t>
  </si>
  <si>
    <t>SERVICIOS RICETA</t>
  </si>
  <si>
    <t>TAPIAMACARENA423@GMAIL.COM</t>
  </si>
  <si>
    <t>RICETA2023</t>
  </si>
  <si>
    <t>ANKURI INGENIERÍA E INVERSIONES SPA</t>
  </si>
  <si>
    <t>OSCAR.BADILLA.AGUILERA@GMAIL.COM</t>
  </si>
  <si>
    <t>77882088-9</t>
  </si>
  <si>
    <t>Ankuri2024</t>
  </si>
  <si>
    <t>PA-PAU PAPELERIA</t>
  </si>
  <si>
    <t>PAULACORTES181@HOTMAIL.COM</t>
  </si>
  <si>
    <t>77866939-0</t>
  </si>
  <si>
    <t>SWEET &amp; CHIC SPA</t>
  </si>
  <si>
    <t>CONTRERASJOANAC@GMAIL.COM</t>
  </si>
  <si>
    <t>HODGERS CONSULTING AND TECHNOLOGY</t>
  </si>
  <si>
    <t>JOSEPHHODGERS162@GMAIL.COM</t>
  </si>
  <si>
    <t>77917668-1</t>
  </si>
  <si>
    <t>HODGERS24</t>
  </si>
  <si>
    <t>GRUPO TECNOCIELO</t>
  </si>
  <si>
    <t>CONTACTO@TECNOCIELO.CL</t>
  </si>
  <si>
    <t>77924936-0</t>
  </si>
  <si>
    <t>GABNETWORK SOLUCIONES COMERCIALES SPA</t>
  </si>
  <si>
    <t>GABNETWORK.CC@GMAIL.COM</t>
  </si>
  <si>
    <t>77884494-K</t>
  </si>
  <si>
    <t>Kalybb1988</t>
  </si>
  <si>
    <t>TCG HUB SPA</t>
  </si>
  <si>
    <t>ISITORRESR@GMAIL.COM</t>
  </si>
  <si>
    <t>JDS TECNICOS SPA</t>
  </si>
  <si>
    <t>JOHANNAFLORES2112@GMAIL.COM</t>
  </si>
  <si>
    <t>77976494-K</t>
  </si>
  <si>
    <t>JDS2024</t>
  </si>
  <si>
    <t>MIGDONIO MONTALVO ALIMENTOS EIRL</t>
  </si>
  <si>
    <t>MIGDONIOEGOAVIL@GMAIL.COM</t>
  </si>
  <si>
    <t>77981163-8</t>
  </si>
  <si>
    <t>Migdo24@</t>
  </si>
  <si>
    <t>AC DEPORTE SPA</t>
  </si>
  <si>
    <t>ALE.CHAVARRIA.S@GMAIL.COM</t>
  </si>
  <si>
    <t>78075222-K</t>
  </si>
  <si>
    <t>Acd.2024</t>
  </si>
  <si>
    <t>AVANCE TECH</t>
  </si>
  <si>
    <t>GUILLERMOVALDESERICK@GMAIL.COM</t>
  </si>
  <si>
    <t>78100576-2</t>
  </si>
  <si>
    <t>Avance@25</t>
  </si>
  <si>
    <t>POR VENCER</t>
  </si>
  <si>
    <t>CLIMATIZACION LUIS PALOMERA EIRL</t>
  </si>
  <si>
    <t>PIPEACONDICIONADO@GMAIL.COM</t>
  </si>
  <si>
    <t>78062881-2</t>
  </si>
  <si>
    <t>Clima2024@</t>
  </si>
  <si>
    <t>PRODUCTORA CASTILLO Y MONTERO</t>
  </si>
  <si>
    <t>PABLO.CASTILLOASTORGA@GMAIL.COM</t>
  </si>
  <si>
    <t>77767589-3</t>
  </si>
  <si>
    <t>Chupeta11</t>
  </si>
  <si>
    <t>COMPRA Y VENTA AUTOMOTORA GM</t>
  </si>
  <si>
    <t>ESTETICARMORALES@GMAIL.COM</t>
  </si>
  <si>
    <t>77775905-1</t>
  </si>
  <si>
    <t>GMSPA2023</t>
  </si>
  <si>
    <t>KPRINT</t>
  </si>
  <si>
    <t>ELY_MEDEL26@HOTMAIL.COM</t>
  </si>
  <si>
    <t>77779541-4</t>
  </si>
  <si>
    <t>Elymedel23</t>
  </si>
  <si>
    <t>GANESHA TRANSVIP SPA</t>
  </si>
  <si>
    <t>ARZOLAYH@HOTMAIL.COM</t>
  </si>
  <si>
    <t>77782092-3</t>
  </si>
  <si>
    <t>GANESHA23</t>
  </si>
  <si>
    <t>MFBECERRAYA@GMAIL.COM</t>
  </si>
  <si>
    <t>FULLCOMERCIALIZADORA SPA</t>
  </si>
  <si>
    <t>NIKOLASBRITODIAZ5337@GMAIL.COM</t>
  </si>
  <si>
    <t>77784094-0</t>
  </si>
  <si>
    <t>FULL2023</t>
  </si>
  <si>
    <t>ENTRETENCIONES JUPA</t>
  </si>
  <si>
    <t>NICOLASIGNACIOJEDA@GMAIL.COM</t>
  </si>
  <si>
    <t>77782403-1</t>
  </si>
  <si>
    <t>JUPA2023</t>
  </si>
  <si>
    <t>JONATHAN FELPE PALMA OPASO GAS E .I.R.L</t>
  </si>
  <si>
    <t>FELIPE.PALMA363@GMAIL.COM</t>
  </si>
  <si>
    <t>77780082-5</t>
  </si>
  <si>
    <t>yonathan19</t>
  </si>
  <si>
    <t>VENTA Y COMPRA DE INSUMOS AGRICOLAS</t>
  </si>
  <si>
    <t>JAVIER_012007@HOTMAIL.COM</t>
  </si>
  <si>
    <t>77786103-4</t>
  </si>
  <si>
    <t>AGRICOLA23</t>
  </si>
  <si>
    <t>LAVORO AGRICOLA SPA</t>
  </si>
  <si>
    <t>JLH.LEIVA@GMAIL.COM</t>
  </si>
  <si>
    <t>77788422-0</t>
  </si>
  <si>
    <t>LAVORO23</t>
  </si>
  <si>
    <t>FRANCISCO RIQUELME QUEVEDO</t>
  </si>
  <si>
    <t>FRANCISCORIQUELME91@GMAIL.COM</t>
  </si>
  <si>
    <t>77791612-2</t>
  </si>
  <si>
    <t>LABOTI33</t>
  </si>
  <si>
    <t>CRD SOLUCIONES DIESEL</t>
  </si>
  <si>
    <t>CRD.SOLUCIONESDIESEL@GMAIL.COM</t>
  </si>
  <si>
    <t>77797283-9</t>
  </si>
  <si>
    <t>CRDSOL23</t>
  </si>
  <si>
    <t>JM ÁLVAREZ</t>
  </si>
  <si>
    <t>JALVABEN@GMAIL.COM</t>
  </si>
  <si>
    <t>77797849-7</t>
  </si>
  <si>
    <t>ALVAREZ23</t>
  </si>
  <si>
    <t>INVERSIONES IFVR SPA</t>
  </si>
  <si>
    <t>ILEANYVILLALOBOL@GMAIL.COM</t>
  </si>
  <si>
    <t>77795943-3</t>
  </si>
  <si>
    <t>IFVR2023</t>
  </si>
  <si>
    <t>COMERCIALIZADORA VALENZUELA LTDA</t>
  </si>
  <si>
    <t>CLAUDUMONDT@GMAIL.COM</t>
  </si>
  <si>
    <t>77805739-5</t>
  </si>
  <si>
    <t>COMER2023</t>
  </si>
  <si>
    <t>AGUA YA</t>
  </si>
  <si>
    <t>AFUENBURGOS@GMAIL.COM</t>
  </si>
  <si>
    <t>AIMARMARKETSPA@GMAIL.COM</t>
  </si>
  <si>
    <t>enviar contrato pendiente</t>
  </si>
  <si>
    <t>CONSTRULOG SPA</t>
  </si>
  <si>
    <t>JP.MONTECINOM@GMAIL.COM</t>
  </si>
  <si>
    <t>77803476-K</t>
  </si>
  <si>
    <t>CONSTRU23</t>
  </si>
  <si>
    <t>WEBLINESHOP E-COMMERCE</t>
  </si>
  <si>
    <t>JOHNATAN.GAJARDO123@GMAIL.COM</t>
  </si>
  <si>
    <t>77805771-9</t>
  </si>
  <si>
    <t>WEBLINE23</t>
  </si>
  <si>
    <t>SERVICIOS AUTOMOTRICES FM SPA</t>
  </si>
  <si>
    <t>FRANCISCO.ME.ORTIZ@GMAIL.COM</t>
  </si>
  <si>
    <t>77814584-7</t>
  </si>
  <si>
    <t>AUTOMOT23</t>
  </si>
  <si>
    <t>CASTILLO TOOLS CHILE</t>
  </si>
  <si>
    <t>CASTILLOTOOLSCHILE@GMAIL.COM</t>
  </si>
  <si>
    <t>77925798-3</t>
  </si>
  <si>
    <t>TOOLS2024</t>
  </si>
  <si>
    <t>TRANSPORTES CRISTOPHER VÁSQUEZ</t>
  </si>
  <si>
    <t>CHRISTOPHERFELIPEVASQUEZPOBLE@GMAIL.COM</t>
  </si>
  <si>
    <t>77817779-K</t>
  </si>
  <si>
    <t>TRANSPOR23</t>
  </si>
  <si>
    <t>XIKENMEDIA PRODUCCIONES AUDIOVISUALES</t>
  </si>
  <si>
    <t>OLARA@XIKENMEDIA.CL</t>
  </si>
  <si>
    <t>77820915-2</t>
  </si>
  <si>
    <t>XIKEN2023</t>
  </si>
  <si>
    <t>CRYSTAL SANDS SPA</t>
  </si>
  <si>
    <t>YGORAYEB@OUTLOOK.COM</t>
  </si>
  <si>
    <t>77819535-6</t>
  </si>
  <si>
    <t>CRYS2023</t>
  </si>
  <si>
    <t>TRANSPORTE Y TURISMO EIRL</t>
  </si>
  <si>
    <t>PVALDEBENITOURRA@YAHOO.ES</t>
  </si>
  <si>
    <t>77820812-1</t>
  </si>
  <si>
    <t>TRANS2023</t>
  </si>
  <si>
    <t>DIPAS INOX</t>
  </si>
  <si>
    <t>DIPASINOX@GMAIL.COM</t>
  </si>
  <si>
    <t>77821973-5</t>
  </si>
  <si>
    <t>DIPAS2023</t>
  </si>
  <si>
    <t>SPAZZIO SMART</t>
  </si>
  <si>
    <t>MARIANGELAABREUM@GMAIL.COM</t>
  </si>
  <si>
    <t>77841037-0</t>
  </si>
  <si>
    <t>SPAZZIO23</t>
  </si>
  <si>
    <t>KUPPAL INGENIERÍA Y SERVICIOS</t>
  </si>
  <si>
    <t>EDO.LUCO@GMAIL.COM</t>
  </si>
  <si>
    <t>77832666-3</t>
  </si>
  <si>
    <t>KUPPAL2023</t>
  </si>
  <si>
    <t>CONSTRUCTORA M4 CHILE</t>
  </si>
  <si>
    <t>LUIS.MEJIAS.XD@GMAIL.COM</t>
  </si>
  <si>
    <t>77834386-K</t>
  </si>
  <si>
    <t>CONSTR2023</t>
  </si>
  <si>
    <t>DOUBLE CHECK QUALITY</t>
  </si>
  <si>
    <t>MATIASALVAREZELN@GMAIL.COM</t>
  </si>
  <si>
    <t>77836025-K</t>
  </si>
  <si>
    <t>GUZMAN&amp;GUZAMAN SPA</t>
  </si>
  <si>
    <t>ERNSTEDSONGUZMAN@GMAIL.COM</t>
  </si>
  <si>
    <t>77833869-6</t>
  </si>
  <si>
    <t>GUZMAN23</t>
  </si>
  <si>
    <t>DISTRIBUIDORA RIALTO SPA</t>
  </si>
  <si>
    <t>LEOGZM81@GMAIL.COM</t>
  </si>
  <si>
    <t>77841278-0</t>
  </si>
  <si>
    <t>RIALTO2023</t>
  </si>
  <si>
    <t>LARA Y RIQUELME IMPORTADORA LTDA</t>
  </si>
  <si>
    <t>DANILARA1988@GMAIL.COM</t>
  </si>
  <si>
    <t>77838255-5</t>
  </si>
  <si>
    <t>LARA2023</t>
  </si>
  <si>
    <t>COMERCIALIZADORA FRANCISCO ZUÑIGA EIRL</t>
  </si>
  <si>
    <t>ZUNIGAFRANCISCO197@GMAIL.COM</t>
  </si>
  <si>
    <t>77841356-6</t>
  </si>
  <si>
    <t>INVERSIONES AGUILA REAL SPA</t>
  </si>
  <si>
    <t>OSCARROGO@GMAIL.COM</t>
  </si>
  <si>
    <t>77845038-0</t>
  </si>
  <si>
    <t>or139216</t>
  </si>
  <si>
    <t>NEXOSNAT-SPA</t>
  </si>
  <si>
    <t>NEXOPORT@GMAIL.COM</t>
  </si>
  <si>
    <t>77848111-1</t>
  </si>
  <si>
    <t>NEXO2023</t>
  </si>
  <si>
    <t>CONSTRUCCIÓN</t>
  </si>
  <si>
    <t>ECHEVERRIASTEVE925@GMAIL.COM</t>
  </si>
  <si>
    <t>77852698-0</t>
  </si>
  <si>
    <t>CONTRU2023</t>
  </si>
  <si>
    <t>SUPLEMENTOS CDR SPA</t>
  </si>
  <si>
    <t>SUPLEMENTOSCDR@GMAIL.COM</t>
  </si>
  <si>
    <t>77855369-4</t>
  </si>
  <si>
    <t>SUPLEM2023</t>
  </si>
  <si>
    <t>VICENTE VARGAS INVERSIONES 360 E.I.R.L.</t>
  </si>
  <si>
    <t>VICENTEENRIQUEVR@GMAIL.COM</t>
  </si>
  <si>
    <t>77856754-7</t>
  </si>
  <si>
    <t>INVER2023</t>
  </si>
  <si>
    <t>ABURTO &amp; CONTRERAS CONSULTORES LTDA</t>
  </si>
  <si>
    <t>FELIPE.ABURTOV@GMAIL.COM</t>
  </si>
  <si>
    <t>77862385-4</t>
  </si>
  <si>
    <t>CONSUL2023</t>
  </si>
  <si>
    <t>LINERPACK CHILE SPA</t>
  </si>
  <si>
    <t>FGONZALEZ@LINERPACK.CL</t>
  </si>
  <si>
    <t>77860822-7</t>
  </si>
  <si>
    <t>LINE2023</t>
  </si>
  <si>
    <t>INDO ASESORIAS LTDA</t>
  </si>
  <si>
    <t>INDOMONIK@GMAIL.COM</t>
  </si>
  <si>
    <t>77872968-7</t>
  </si>
  <si>
    <t>INDO2023</t>
  </si>
  <si>
    <t>PRODUCCIONES G Y B</t>
  </si>
  <si>
    <t>DINOEVENTOS1@GMAIL.COM</t>
  </si>
  <si>
    <t>77877565-4</t>
  </si>
  <si>
    <t>V1a9r7s4</t>
  </si>
  <si>
    <t>C&amp;J SERVICIOS Y ASESORÍAS DE MANTENIMIENTO Y MONTAJE</t>
  </si>
  <si>
    <t>PABLO.CAVIERES.S@GMAIL.COM</t>
  </si>
  <si>
    <t>AYD CONSULTORIA</t>
  </si>
  <si>
    <t>CEARAYAG@GMAIL.COM</t>
  </si>
  <si>
    <t>77905064-5</t>
  </si>
  <si>
    <t>GLOBAL SEGURIDAD ELECTRÓNICA</t>
  </si>
  <si>
    <t>CARLOS.HIDALGO@GLOBALSE.CL</t>
  </si>
  <si>
    <t>77910532-6</t>
  </si>
  <si>
    <t>GLOBAL2024</t>
  </si>
  <si>
    <t>MULTISERVICES R&amp;T SPA</t>
  </si>
  <si>
    <t>RORUIZME@GMAIL.COM</t>
  </si>
  <si>
    <t>77923383-9</t>
  </si>
  <si>
    <t>VECO2024</t>
  </si>
  <si>
    <t>AMFED</t>
  </si>
  <si>
    <t>FELIPETOBAR85@GMAIL.COM</t>
  </si>
  <si>
    <t>77930025-0</t>
  </si>
  <si>
    <t>AMFED2024</t>
  </si>
  <si>
    <t>ASEO INTEGRALES SPA</t>
  </si>
  <si>
    <t>DLEHMANN@UC.CL</t>
  </si>
  <si>
    <t>77924914-K</t>
  </si>
  <si>
    <t>ASEO2024</t>
  </si>
  <si>
    <t>CONTRATO PENDIENTE</t>
  </si>
  <si>
    <t>FOREXCHANGE SPA</t>
  </si>
  <si>
    <t>ISAI.MH92@GMAIL.COM</t>
  </si>
  <si>
    <t>77936328-7</t>
  </si>
  <si>
    <t>ACREDITANDO</t>
  </si>
  <si>
    <t>SERGIO LIENAN SERVICIOS ELECTRONICOS EIRL</t>
  </si>
  <si>
    <t>SERGIO@ETB.CL / VICTOR</t>
  </si>
  <si>
    <t>77942537-1</t>
  </si>
  <si>
    <t>SPEAR COMERCIALIZADORA LTDA</t>
  </si>
  <si>
    <t>ODRA6@HOTMAIL.COM</t>
  </si>
  <si>
    <t>77947247-7</t>
  </si>
  <si>
    <t>SPEAR2024</t>
  </si>
  <si>
    <t>NOVILLO ROJO SPA</t>
  </si>
  <si>
    <t>RFERRADA@ASADOSYSANDWICH.CL</t>
  </si>
  <si>
    <t>77962383-1</t>
  </si>
  <si>
    <t>NOVILLO24</t>
  </si>
  <si>
    <t>SAAVEDRA &amp; ALVARADO LIMPIEZA LTDA</t>
  </si>
  <si>
    <t>INFO@HIDROLIMPIEZAFULL.CL</t>
  </si>
  <si>
    <t>77960159-5</t>
  </si>
  <si>
    <t>LIMP2024</t>
  </si>
  <si>
    <t>VIALTAMIRA SPA</t>
  </si>
  <si>
    <t>VIALTAMIRA@GMAIL.COM</t>
  </si>
  <si>
    <t>77973297-5</t>
  </si>
  <si>
    <t>VIAL2024</t>
  </si>
  <si>
    <t>EALT SPA</t>
  </si>
  <si>
    <t>EXPEDICIONTIERRA@GMAIL.COM</t>
  </si>
  <si>
    <t>77966765-0</t>
  </si>
  <si>
    <t>EALT2024</t>
  </si>
  <si>
    <t>JOYAS JIMENEZ Y SALGADO LTDA.</t>
  </si>
  <si>
    <t>IG.SALGADO.GON@GMAIL.COM</t>
  </si>
  <si>
    <t>77966764-2</t>
  </si>
  <si>
    <t>Anais2023</t>
  </si>
  <si>
    <t>CONSTRUCCIONES GARCIA SPA</t>
  </si>
  <si>
    <t>JHONJJ2142@GMAIL.COM</t>
  </si>
  <si>
    <t>77965804-K</t>
  </si>
  <si>
    <t>GARCIA2024</t>
  </si>
  <si>
    <t>J.C IMPORTACIONES SPA</t>
  </si>
  <si>
    <t>CHARLIVARGAS16@GMAIL.COM</t>
  </si>
  <si>
    <t>77969502-6</t>
  </si>
  <si>
    <t>CONSULTORA CASTILLO SPA</t>
  </si>
  <si>
    <t>LCGELEC@GMAIL.COM</t>
  </si>
  <si>
    <t>FALLARU SPA</t>
  </si>
  <si>
    <t>LLMCESAR31@GMAIL.COM</t>
  </si>
  <si>
    <t>77970736-9</t>
  </si>
  <si>
    <t>FALLARU24</t>
  </si>
  <si>
    <t>SERVICIOS ARCADIA SPA</t>
  </si>
  <si>
    <t>ARCADIA.FSERV@GMAIL.COM</t>
  </si>
  <si>
    <t>77970808-K</t>
  </si>
  <si>
    <t>SANDRA COLIL SERVICIOS E.I.R.L</t>
  </si>
  <si>
    <t>GISSELAMARTIN14@GMAIL.COM</t>
  </si>
  <si>
    <t>77974858-8</t>
  </si>
  <si>
    <t>SANDRA2024</t>
  </si>
  <si>
    <t>FUNCIONAL TRAINING</t>
  </si>
  <si>
    <t>INFO@FTRAIN.CL</t>
  </si>
  <si>
    <t>77978868-7</t>
  </si>
  <si>
    <t>ROSA2024</t>
  </si>
  <si>
    <t>YURI LOPEZ SERVICIOS EIRL</t>
  </si>
  <si>
    <t>YURILOPEZ2711@GMAIL.COM</t>
  </si>
  <si>
    <t>77977939-4</t>
  </si>
  <si>
    <t>Aldahir200</t>
  </si>
  <si>
    <t>PENDIENTE CLAVE SII</t>
  </si>
  <si>
    <t>TRANSPORT GRACE SPA</t>
  </si>
  <si>
    <t>SOLYNDU@GMAIL.COM</t>
  </si>
  <si>
    <t>77982944-8</t>
  </si>
  <si>
    <t>TGRACE24</t>
  </si>
  <si>
    <t>RICHARD PARADA PRODUCCIONES E.I.R.L</t>
  </si>
  <si>
    <t>77983607-K</t>
  </si>
  <si>
    <t>RICHARD24</t>
  </si>
  <si>
    <t>NORTECNO SPA</t>
  </si>
  <si>
    <t>NORTECNO.ING@GMAIL.COM</t>
  </si>
  <si>
    <t>NORTECNO24</t>
  </si>
  <si>
    <t>JORGEVARGASARROYO105@GMAIL.COM</t>
  </si>
  <si>
    <t>TORRES ELECTRICIDAD LTDA.</t>
  </si>
  <si>
    <t>ALEXANDRA.TORRES.GARCES@GMAIL.COM</t>
  </si>
  <si>
    <t>NESTOR ESPINOZA SERVICIOS E.I.R.L.</t>
  </si>
  <si>
    <t>NESTORESPINOZAORTIZ9@GMAIL.COM</t>
  </si>
  <si>
    <t>77996073-0</t>
  </si>
  <si>
    <t>Nestor24@</t>
  </si>
  <si>
    <t>esperando clave sii, la cambió</t>
  </si>
  <si>
    <t>WORLD EXPRESS SPA</t>
  </si>
  <si>
    <t>FABIANBEDOYABANC@GMAIL.COM</t>
  </si>
  <si>
    <t>78003892-6</t>
  </si>
  <si>
    <t>World.2025</t>
  </si>
  <si>
    <t>LMO SERVICIOS SPA</t>
  </si>
  <si>
    <t>STRUKPROSPA@GMAIL.COM</t>
  </si>
  <si>
    <t>78001527-6</t>
  </si>
  <si>
    <t>Lmo2025!</t>
  </si>
  <si>
    <t>JOAO HERNANDEZ SERVICIOS E.I.R.L</t>
  </si>
  <si>
    <t>JOAOHERNANDEZ.F@GMAIL.COM</t>
  </si>
  <si>
    <t>78001199-8</t>
  </si>
  <si>
    <t>Joao@2024</t>
  </si>
  <si>
    <t>TECNO CAR SPA</t>
  </si>
  <si>
    <t>SALAZARMAHOLIS96@GMAIL.COM</t>
  </si>
  <si>
    <t>78017538-9</t>
  </si>
  <si>
    <t>Tecno.2024</t>
  </si>
  <si>
    <t>SERVICIOS OVIEDO SPA</t>
  </si>
  <si>
    <t>EVEOVIEDO.1986@GMAIL.COM</t>
  </si>
  <si>
    <t>CONSTANZA ALARCON SERVICIOS E.I.R.L.</t>
  </si>
  <si>
    <t>MANICOSCONSTRUCCIONES@GMAIL.COM</t>
  </si>
  <si>
    <t>78013204-3</t>
  </si>
  <si>
    <t>Constanz@2</t>
  </si>
  <si>
    <t>contrato pendiente</t>
  </si>
  <si>
    <t>FACTOR PEHUEN SERVICIOS INTEGRALES</t>
  </si>
  <si>
    <t>PROTALCHILE@GMAIL.COM</t>
  </si>
  <si>
    <t>78016759-9</t>
  </si>
  <si>
    <t>Pehuen24!</t>
  </si>
  <si>
    <t>NÓMADECULTO ESTUDIO CREATIVO SPA</t>
  </si>
  <si>
    <t>ESTEBANROSALESMORANDE@GMAIL.COM</t>
  </si>
  <si>
    <t>78020327-7</t>
  </si>
  <si>
    <t>Erosales1!</t>
  </si>
  <si>
    <t>RENOVARÁ EL 24 DE NOVIEMBRE</t>
  </si>
  <si>
    <t>APCIS. SPA</t>
  </si>
  <si>
    <t>SAYENSANDOVAL@GMAIL.COM</t>
  </si>
  <si>
    <t>78030917-2</t>
  </si>
  <si>
    <t>Apic.2024</t>
  </si>
  <si>
    <t>SERVIAGRO AC SPA</t>
  </si>
  <si>
    <t>CONDORIROSALIA798@GMAIL.COM</t>
  </si>
  <si>
    <t>78020107-K</t>
  </si>
  <si>
    <t>Rosi@96.co</t>
  </si>
  <si>
    <t>CLEANMAX</t>
  </si>
  <si>
    <t>78076284-5</t>
  </si>
  <si>
    <t>Clean.2024</t>
  </si>
  <si>
    <t>MANUEL CORREA SERVICIOS EIRL</t>
  </si>
  <si>
    <t>HAZTUMARCAIMPRESIONES@GMAIL.COM</t>
  </si>
  <si>
    <t>78053916-K</t>
  </si>
  <si>
    <t>Mcorrea24!</t>
  </si>
  <si>
    <t>ECORMAN SPA</t>
  </si>
  <si>
    <t>ECORREA@PROMETCO.CL</t>
  </si>
  <si>
    <t>78029997-5</t>
  </si>
  <si>
    <t>Ecor.2024</t>
  </si>
  <si>
    <t>PENDIENTE CONTRATO</t>
  </si>
  <si>
    <t>DATA FIX SPA</t>
  </si>
  <si>
    <t>JOSE.VARGAS@DATAFIX.CL</t>
  </si>
  <si>
    <t>78032183-0</t>
  </si>
  <si>
    <t>Data2024@</t>
  </si>
  <si>
    <t>SOULISS SPA</t>
  </si>
  <si>
    <t>SOULISS.TIENDAOFICIAL@GMAIL.COM</t>
  </si>
  <si>
    <t>78037921-9</t>
  </si>
  <si>
    <t>Souliss24@</t>
  </si>
  <si>
    <t>ANDES SPA</t>
  </si>
  <si>
    <t>GISELAPEREZGALVEZ@GMAIL.COM</t>
  </si>
  <si>
    <t>78054683-2</t>
  </si>
  <si>
    <t>@Ndes2024</t>
  </si>
  <si>
    <t>pendiente de firma</t>
  </si>
  <si>
    <t>COMERCIALIZADORA DE EMBALAJES P&amp;K</t>
  </si>
  <si>
    <t>PAMELAHH30@GMAIL.COM</t>
  </si>
  <si>
    <t>78073295-4</t>
  </si>
  <si>
    <t>EmbaP&amp;K24</t>
  </si>
  <si>
    <t>pagó en febrero 2026 renovación hay que migrar</t>
  </si>
  <si>
    <t>LUIS MORENO ENTRENAMIENTOS PERSONALIZADOS E.I.R.L</t>
  </si>
  <si>
    <t>LUISMORENO2424@GMAIL.COM</t>
  </si>
  <si>
    <t>78076234-9</t>
  </si>
  <si>
    <t>Luis2024@</t>
  </si>
  <si>
    <t>JESÚSTEAMA SPA</t>
  </si>
  <si>
    <t>CONTACTOCASAFUGAS@GMAIL.COM</t>
  </si>
  <si>
    <t>J3susl@v24</t>
  </si>
  <si>
    <t>OCARANZA SERVICIOS SPA</t>
  </si>
  <si>
    <t>78084526-0</t>
  </si>
  <si>
    <t>Ocara24@</t>
  </si>
  <si>
    <t>HI POWER SPA</t>
  </si>
  <si>
    <t>HVEGAG@GMAIL.COM</t>
  </si>
  <si>
    <t>78087075-3</t>
  </si>
  <si>
    <t>Power24@</t>
  </si>
  <si>
    <t>OPTISOFT SOLUTIONS SPA</t>
  </si>
  <si>
    <t>JCROJAS.VA@GMAIL.COM</t>
  </si>
  <si>
    <t>SIXTO SANCHEZ TRANSPORTES EIRL</t>
  </si>
  <si>
    <t>FRANCISCO75053267@GMAIL.COM</t>
  </si>
  <si>
    <t>78109717-9</t>
  </si>
  <si>
    <t>Sixt@2025</t>
  </si>
  <si>
    <t>SERRANO</t>
  </si>
  <si>
    <t>GRUPO SR SPA</t>
  </si>
  <si>
    <t>SCARLETRUIZQ@HOTMAIL.COM</t>
  </si>
  <si>
    <t>78112233-5</t>
  </si>
  <si>
    <t>Grupo.2025</t>
  </si>
  <si>
    <t>CORHEX GLOBAL</t>
  </si>
  <si>
    <t>RAYMEDINA24@GMAIL.COM</t>
  </si>
  <si>
    <t>78121108-7</t>
  </si>
  <si>
    <t>Corhex25@</t>
  </si>
  <si>
    <t>IMPACTO DEPORTIVO ASESORIA EDUCACIONAL SPA</t>
  </si>
  <si>
    <t>C.A.V.M.EVENTOS@GMAIL.COM</t>
  </si>
  <si>
    <t>78128578-1</t>
  </si>
  <si>
    <t>Impac25@</t>
  </si>
  <si>
    <t>AYV INVERSIONES</t>
  </si>
  <si>
    <t>NUTRINUTRIR</t>
  </si>
  <si>
    <t>NATALIA.LEDEZMA318@GMAIL.COM</t>
  </si>
  <si>
    <t>77767996-1</t>
  </si>
  <si>
    <t>YULI2023</t>
  </si>
  <si>
    <t>ASESORÍA INMOBILIARIA</t>
  </si>
  <si>
    <t>PATRICIOLEALMOLINA@GMAIL.COM</t>
  </si>
  <si>
    <t>77770479-6</t>
  </si>
  <si>
    <t>ASESORIA23</t>
  </si>
  <si>
    <t>SERVITECA ANDRÉS PEÑA SPA</t>
  </si>
  <si>
    <t>RAPP80S@OUTLOOK.ES</t>
  </si>
  <si>
    <t>77776723-2</t>
  </si>
  <si>
    <t>SERVITECA2</t>
  </si>
  <si>
    <t>AMARENA SPA</t>
  </si>
  <si>
    <t>CLAUDIAESPEJOB2000@GMAIL.COM</t>
  </si>
  <si>
    <t>77781208-4</t>
  </si>
  <si>
    <t>AMARENA23</t>
  </si>
  <si>
    <t>LCD CHILE STORE</t>
  </si>
  <si>
    <t>KJIMENEZBARBOZA@GMAIL.COM</t>
  </si>
  <si>
    <t>77792926-7</t>
  </si>
  <si>
    <t>LCDCHILE23</t>
  </si>
  <si>
    <t>CONSTRUCCIONES AVELLOS LTDA</t>
  </si>
  <si>
    <t>R.AVELLOCANALES@GMAIL.COM</t>
  </si>
  <si>
    <t>77803573-1</t>
  </si>
  <si>
    <t>AVELLOS23</t>
  </si>
  <si>
    <t>MANTENCIÓNES ELECTRICAS</t>
  </si>
  <si>
    <t>SERGIO.TORRES.RETAMALES@GMAIL.COM</t>
  </si>
  <si>
    <t>77814849-8</t>
  </si>
  <si>
    <t>MANTEN2023</t>
  </si>
  <si>
    <t>JOYERIA SEBASTIAN BARRAZA</t>
  </si>
  <si>
    <t>SEBASTIANBARRAZA442@GMAIL.COM</t>
  </si>
  <si>
    <t>ASLB INGENIERÍA SPA</t>
  </si>
  <si>
    <t>INGENIERIA.ASLB@YAHOO.COM</t>
  </si>
  <si>
    <t>77884675-6</t>
  </si>
  <si>
    <t>ASLB2024</t>
  </si>
  <si>
    <t>NCEA INGENIERÍA Y CONSTRUCCIÓN</t>
  </si>
  <si>
    <t>NELSONCEA@GMAIL.COM</t>
  </si>
  <si>
    <t>77886213-1</t>
  </si>
  <si>
    <t>CONSTRU24</t>
  </si>
  <si>
    <t>TRANSPORTES D&amp;C SPA</t>
  </si>
  <si>
    <t>FCOLOMBA2206@GMAIL.COM</t>
  </si>
  <si>
    <t>77892165-0</t>
  </si>
  <si>
    <t>COMERCIALIZADORA ESTARTUS SPA</t>
  </si>
  <si>
    <t>comercialestartusspa@gmail.com</t>
  </si>
  <si>
    <t>77898235-8</t>
  </si>
  <si>
    <t>ESTARTUS24</t>
  </si>
  <si>
    <t>COMERCIALIZADORA Y MANTENCIONES GASTON SPA</t>
  </si>
  <si>
    <t>JORGEGASTON8@GMAIL.COM</t>
  </si>
  <si>
    <t>77898183-1</t>
  </si>
  <si>
    <t>MANTEN2024</t>
  </si>
  <si>
    <t>CONTRATO ENVIADO PENDIENTE DE FIRMA</t>
  </si>
  <si>
    <t>LA VETERINARIA DE PIRQUE DRA. PALOMA</t>
  </si>
  <si>
    <t>MARTINEZ.MEDVET@GMAIL.COM</t>
  </si>
  <si>
    <t>77899419-4</t>
  </si>
  <si>
    <t>VETERI2024</t>
  </si>
  <si>
    <t>SERVICIOSY COMERCIALIZADORA DIEDROTT SPA SPA C</t>
  </si>
  <si>
    <t>DIEDROTT@GMAIL.COM</t>
  </si>
  <si>
    <t>77902556-K</t>
  </si>
  <si>
    <t>IMPORTADORA L&amp;P</t>
  </si>
  <si>
    <t>LAGOSCHRIS20@GMAIL.COM</t>
  </si>
  <si>
    <t>77901667-6</t>
  </si>
  <si>
    <t>IMPOR2024</t>
  </si>
  <si>
    <t>CONSULTORA KISCHNER SPA</t>
  </si>
  <si>
    <t>CEVK0728@GMAIL.COM</t>
  </si>
  <si>
    <t>77904509-9</t>
  </si>
  <si>
    <t>CONSTRUCCIONES Y REMODELACIONES S.V. SPA</t>
  </si>
  <si>
    <t>SEFERVILLAR23@GMAIL.COM</t>
  </si>
  <si>
    <t>CONSTRU08</t>
  </si>
  <si>
    <t>COMERCIALIZADORA DURAN SPA</t>
  </si>
  <si>
    <t>JORGEXC.34@GMAIL.COM</t>
  </si>
  <si>
    <t>77906142-6</t>
  </si>
  <si>
    <t>DURAN2024</t>
  </si>
  <si>
    <t>M &amp;V SERVICIOS INTEGRALES</t>
  </si>
  <si>
    <t>ALEJO.MORETTY1301@GMAIL.COM</t>
  </si>
  <si>
    <t>S&amp;R SERVICIOS INTEGRALES SPA</t>
  </si>
  <si>
    <t>INVERSIONESSANDREALUBO77@GMAIL.COM</t>
  </si>
  <si>
    <t>77930194-K</t>
  </si>
  <si>
    <t>LAVACAR AGUILERA SPA</t>
  </si>
  <si>
    <t>ANDRESMUNOZ0819@GMAIL.COM</t>
  </si>
  <si>
    <t>77936454-2</t>
  </si>
  <si>
    <t>LAVACAR24</t>
  </si>
  <si>
    <t>TRANSPORTES MIJARES SPA</t>
  </si>
  <si>
    <t>NELSONMIJARES24@GMAIL.COM</t>
  </si>
  <si>
    <t>77937615-K</t>
  </si>
  <si>
    <t>MIJARES24</t>
  </si>
  <si>
    <t>AZULMOTA SPA</t>
  </si>
  <si>
    <t>77940191-K</t>
  </si>
  <si>
    <t>MEDIA TARGET &amp; DATA TREND SPA</t>
  </si>
  <si>
    <t>CONTACTO@DATATREND.CL</t>
  </si>
  <si>
    <t>77998883-K</t>
  </si>
  <si>
    <t>P@ula121172</t>
  </si>
  <si>
    <t>FERNANDEZ &amp; PINO TRANSPORTES LTDA</t>
  </si>
  <si>
    <t>ITALOCUATRO@YAHOO.ES</t>
  </si>
  <si>
    <t>78024971-4</t>
  </si>
  <si>
    <t>FeryPin24@</t>
  </si>
  <si>
    <t>JLT MAQUINARIAS</t>
  </si>
  <si>
    <t>MAQUINARIAS.JLT@GMAIL.COM</t>
  </si>
  <si>
    <t>COMERCIAL MOSA SPA</t>
  </si>
  <si>
    <t>MUEBLESCLINICOSCHILE@GMAIL.COM</t>
  </si>
  <si>
    <t>78023412-1</t>
  </si>
  <si>
    <t>CMosa24@</t>
  </si>
  <si>
    <t>GLOBAL HAI LOGISTICS</t>
  </si>
  <si>
    <t>PARADA.ALICIA@GMAIL.COM</t>
  </si>
  <si>
    <t>78057373-2</t>
  </si>
  <si>
    <t>Hai.2024</t>
  </si>
  <si>
    <t>SCP</t>
  </si>
  <si>
    <t>VENTASSCP2024@GMAIL.COM</t>
  </si>
  <si>
    <t>78058139-5</t>
  </si>
  <si>
    <t>ScP2024@</t>
  </si>
  <si>
    <t>CAMILA ARAVENA SERVICIOS MÉDICOS EIRL</t>
  </si>
  <si>
    <t>C.ARAVENA@LIVE.COM</t>
  </si>
  <si>
    <t>78060867-6</t>
  </si>
  <si>
    <t>Camila24@</t>
  </si>
  <si>
    <t>VISIÓN ARTE CONSTRUCTORA</t>
  </si>
  <si>
    <t>CONEXIÓN ACADEMY</t>
  </si>
  <si>
    <t>GALLEGOSAUGERF@GMAIL.COM</t>
  </si>
  <si>
    <t>78078392-3</t>
  </si>
  <si>
    <t>Tomy1995#</t>
  </si>
  <si>
    <t>BOBENRIETH Y ASOCIADOS</t>
  </si>
  <si>
    <t>NO TIENE AUN</t>
  </si>
  <si>
    <t xml:space="preserve">CONSTRUCCIONES SÁNCHEZY LEPIN SpA </t>
  </si>
  <si>
    <t>77965332-3</t>
  </si>
  <si>
    <t>PLAN B HOBBIES SPA</t>
  </si>
  <si>
    <t>78307091-k</t>
  </si>
  <si>
    <t xml:space="preserve">ILUMINA VENTANAS SpA </t>
  </si>
  <si>
    <t>MAURILOPEZX25@GMAIL.CO</t>
  </si>
  <si>
    <t>DEVFLOW SpA</t>
  </si>
  <si>
    <t>DAISYKTBPA@GMAIL.CO</t>
  </si>
  <si>
    <t>78134009-K</t>
  </si>
  <si>
    <t>CONTACTO</t>
  </si>
  <si>
    <t>SERVICIO</t>
  </si>
  <si>
    <t>TOTAL BRUTO</t>
  </si>
  <si>
    <t>VALOR CUOTA BRUTO</t>
  </si>
  <si>
    <t># CUOTAS</t>
  </si>
  <si>
    <t>NOTAS</t>
  </si>
  <si>
    <t>FACTURA 1</t>
  </si>
  <si>
    <t xml:space="preserve">FACTURA 2 </t>
  </si>
  <si>
    <t>FACTURA 3</t>
  </si>
  <si>
    <t>FACTURA 4</t>
  </si>
  <si>
    <t>FACTURA 5</t>
  </si>
  <si>
    <t>FACTURA 6</t>
  </si>
  <si>
    <t>TERMINO DE GIRO + NORMALIZACIÓN</t>
  </si>
  <si>
    <t>FACTURA PENDIENTE</t>
  </si>
  <si>
    <t>OCTUBRE</t>
  </si>
  <si>
    <t>NOVIEMBRE</t>
  </si>
  <si>
    <t>miarte</t>
  </si>
  <si>
    <t xml:space="preserve">PAGÓ 150.000 EN EFECTIVO / FALTAN </t>
  </si>
  <si>
    <t>OCTUBRE $140.400</t>
  </si>
  <si>
    <t xml:space="preserve">TERMINO DE GIRO </t>
  </si>
  <si>
    <t>HARMONY MENTE CORAZON</t>
  </si>
  <si>
    <t>PAGARA EN NOVIEMBRE</t>
  </si>
  <si>
    <t>A&amp;L SOLUCIONES</t>
  </si>
  <si>
    <t>OFICINA VIRTUA</t>
  </si>
  <si>
    <t>OPERACIÓN RENTA</t>
  </si>
  <si>
    <t>ABRIL</t>
  </si>
  <si>
    <t>ABRIL / 74375</t>
  </si>
  <si>
    <t>73750 / ABRIL</t>
  </si>
  <si>
    <t>61979 / abril</t>
  </si>
  <si>
    <t>61979 / mayo</t>
  </si>
  <si>
    <t>46485 / 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</si>
</sst>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m/d/yyyy h:mm:ss"/>
    <numFmt numFmtId="165" formatCode="&quot;$&quot;#,##0"/>
    <numFmt numFmtId="166" formatCode="&quot;$&quot;#,##0.00"/>
    <numFmt numFmtId="167" formatCode="#,##0.00&quot;$&quot;"/>
    <numFmt numFmtId="168" formatCode="[$$]#,##0"/>
    <numFmt numFmtId="169" formatCode="d/MM/yyyy"/>
    <numFmt numFmtId="170" formatCode="d-m-yy"/>
    <numFmt numFmtId="171" formatCode="dd-mm-yy"/>
    <numFmt numFmtId="172" formatCode="d-m-yyyy"/>
    <numFmt numFmtId="173" formatCode="dd-mm-yyyy"/>
    <numFmt numFmtId="174" formatCode="d/m/yyyy"/>
    <numFmt numFmtId="175" formatCode="d-m"/>
    <numFmt numFmtId="176" formatCode="dd-mm"/>
    <numFmt numFmtId="177" formatCode="&quot; &quot;dd&quot;/&quot;mm&quot;/&quot;yyyy"/>
    <numFmt numFmtId="178" formatCode="dd/mm/yyyy"/>
    <numFmt numFmtId="179" formatCode="m/d/yyyy"/>
    <numFmt numFmtId="180" formatCode="mm/dd/yyyy"/>
    <numFmt numFmtId="181" formatCode="mmmm yyyy"/>
  </numFmts>
  <fonts count="42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b/>
      <sz val="8.0"/>
      <color rgb="FFFFFFFF"/>
      <name val="Arial"/>
    </font>
    <font>
      <sz val="8.0"/>
      <color theme="1"/>
      <name val="Arial"/>
    </font>
    <font>
      <sz val="8.0"/>
      <color rgb="FF222222"/>
      <name val="Arial"/>
    </font>
    <font>
      <b/>
      <sz val="8.0"/>
      <color theme="1"/>
      <name val="Arial"/>
    </font>
    <font>
      <b/>
      <sz val="7.0"/>
      <color rgb="FF222222"/>
      <name val="Arial"/>
    </font>
    <font>
      <b/>
      <sz val="8.0"/>
      <color theme="1"/>
      <name val="Comic Sans MS"/>
    </font>
    <font>
      <b/>
      <sz val="8.0"/>
      <color rgb="FF222222"/>
      <name val="Arial"/>
    </font>
    <font>
      <b/>
      <sz val="8.0"/>
      <color rgb="FF3C4043"/>
      <name val="Roboto"/>
    </font>
    <font>
      <u/>
      <sz val="8.0"/>
      <color rgb="FF0000FF"/>
      <name val="Arial"/>
    </font>
    <font>
      <b/>
      <sz val="8.0"/>
      <color rgb="FF000000"/>
      <name val="Arial"/>
    </font>
    <font>
      <sz val="8.0"/>
      <color rgb="FF333333"/>
      <name val="Arial"/>
    </font>
    <font>
      <color theme="1"/>
      <name val="Arial"/>
    </font>
    <font>
      <u/>
      <sz val="8.0"/>
      <color rgb="FF0000FF"/>
      <name val="Arial"/>
    </font>
    <font>
      <sz val="11.0"/>
      <color rgb="FF222222"/>
      <name val="Arial"/>
    </font>
    <font>
      <sz val="9.0"/>
      <color theme="1"/>
      <name val="Red Hat Display"/>
    </font>
    <font>
      <sz val="9.0"/>
      <color rgb="FF333333"/>
      <name val="Red Hat Display"/>
    </font>
    <font>
      <b/>
      <sz val="8.0"/>
      <color theme="1"/>
      <name val="Roboto"/>
    </font>
    <font>
      <b/>
      <sz val="8.0"/>
      <color rgb="FF1C639E"/>
      <name val="Arial"/>
    </font>
    <font>
      <sz val="8.0"/>
      <color rgb="FFFFFFFF"/>
      <name val="Arial"/>
    </font>
    <font>
      <b/>
      <color rgb="FFFFFFFF"/>
      <name val="Arial"/>
    </font>
    <font>
      <u/>
      <color rgb="FF0000FF"/>
      <name val="Arial"/>
    </font>
    <font>
      <i/>
      <sz val="8.0"/>
      <color theme="1"/>
      <name val="Arial"/>
    </font>
    <font>
      <color rgb="FF000000"/>
      <name val="Arial"/>
    </font>
    <font>
      <sz val="8.0"/>
      <color rgb="FF706F6F"/>
      <name val="Helvetica Neue"/>
    </font>
    <font>
      <sz val="9.0"/>
      <color rgb="FF333333"/>
      <name val="Arial"/>
    </font>
    <font>
      <b/>
      <color theme="1"/>
      <name val="Calibri"/>
    </font>
    <font>
      <b/>
      <color theme="1"/>
      <name val="Arial"/>
    </font>
    <font>
      <color theme="1"/>
      <name val="Calibri"/>
    </font>
    <font>
      <sz val="12.0"/>
      <color theme="1"/>
      <name val="Aptos"/>
    </font>
    <font>
      <sz val="11.0"/>
      <color theme="1"/>
      <name val="Roboto"/>
    </font>
    <font>
      <color rgb="FF1F1F1F"/>
      <name val="Arial"/>
    </font>
    <font>
      <sz val="11.0"/>
      <color theme="1"/>
      <name val="Calibri"/>
    </font>
    <font>
      <sz val="8.0"/>
      <color theme="1"/>
      <name val="Roboto"/>
    </font>
    <font>
      <u/>
      <color theme="1"/>
      <name val="Calibri"/>
    </font>
    <font>
      <sz val="9.0"/>
      <color theme="1"/>
      <name val="Arial"/>
    </font>
    <font>
      <sz val="11.0"/>
      <color rgb="FF333333"/>
      <name val="Arial"/>
    </font>
    <font>
      <sz val="11.0"/>
      <color theme="1"/>
      <name val="Arial"/>
    </font>
    <font>
      <b/>
      <sz val="8.0"/>
      <color rgb="FFFFFFFF"/>
      <name val="Times New Roman"/>
    </font>
    <font>
      <color theme="1"/>
      <name val="Sans-seri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56082"/>
        <bgColor rgb="FF156082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BBBBBB"/>
      </bottom>
    </border>
    <border>
      <right style="thick">
        <color rgb="FF000000"/>
      </right>
    </border>
    <border>
      <right style="thin">
        <color rgb="FFBBBBBB"/>
      </right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1" fillId="4" fontId="3" numFmtId="0" xfId="0" applyAlignment="1" applyBorder="1" applyFill="1" applyFont="1">
      <alignment horizontal="center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4" fontId="3" numFmtId="165" xfId="0" applyAlignment="1" applyBorder="1" applyFont="1" applyNumberFormat="1">
      <alignment horizontal="center" readingOrder="0" shrinkToFit="0" wrapText="1"/>
    </xf>
    <xf borderId="2" fillId="2" fontId="4" numFmtId="0" xfId="0" applyAlignment="1" applyBorder="1" applyFont="1">
      <alignment vertical="bottom"/>
    </xf>
    <xf borderId="2" fillId="2" fontId="4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2" fillId="2" fontId="5" numFmtId="168" xfId="0" applyAlignment="1" applyBorder="1" applyFont="1" applyNumberFormat="1">
      <alignment horizontal="center" readingOrder="0" vertical="bottom"/>
    </xf>
    <xf borderId="2" fillId="2" fontId="4" numFmtId="0" xfId="0" applyAlignment="1" applyBorder="1" applyFont="1">
      <alignment horizontal="center" readingOrder="0" vertical="bottom"/>
    </xf>
    <xf borderId="2" fillId="2" fontId="4" numFmtId="165" xfId="0" applyAlignment="1" applyBorder="1" applyFont="1" applyNumberFormat="1">
      <alignment horizontal="center" readingOrder="0" vertical="bottom"/>
    </xf>
    <xf borderId="2" fillId="2" fontId="4" numFmtId="165" xfId="0" applyAlignment="1" applyBorder="1" applyFont="1" applyNumberFormat="1">
      <alignment horizontal="center" vertical="bottom"/>
    </xf>
    <xf borderId="2" fillId="5" fontId="4" numFmtId="0" xfId="0" applyAlignment="1" applyBorder="1" applyFill="1" applyFont="1">
      <alignment vertical="bottom"/>
    </xf>
    <xf borderId="2" fillId="5" fontId="4" numFmtId="0" xfId="0" applyAlignment="1" applyBorder="1" applyFont="1">
      <alignment horizontal="center" shrinkToFit="0" wrapText="1"/>
    </xf>
    <xf borderId="2" fillId="5" fontId="4" numFmtId="0" xfId="0" applyAlignment="1" applyBorder="1" applyFont="1">
      <alignment horizontal="center" vertical="bottom"/>
    </xf>
    <xf borderId="2" fillId="5" fontId="5" numFmtId="168" xfId="0" applyAlignment="1" applyBorder="1" applyFont="1" applyNumberFormat="1">
      <alignment horizontal="center" readingOrder="0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165" xfId="0" applyAlignment="1" applyBorder="1" applyFont="1" applyNumberFormat="1">
      <alignment horizontal="center" readingOrder="0" vertical="bottom"/>
    </xf>
    <xf borderId="0" fillId="5" fontId="1" numFmtId="0" xfId="0" applyFont="1"/>
    <xf borderId="2" fillId="2" fontId="6" numFmtId="0" xfId="0" applyAlignment="1" applyBorder="1" applyFont="1">
      <alignment vertical="bottom"/>
    </xf>
    <xf borderId="2" fillId="3" fontId="7" numFmtId="168" xfId="0" applyAlignment="1" applyBorder="1" applyFont="1" applyNumberFormat="1">
      <alignment horizontal="center" readingOrder="0" vertical="bottom"/>
    </xf>
    <xf borderId="2" fillId="5" fontId="8" numFmtId="0" xfId="0" applyAlignment="1" applyBorder="1" applyFont="1">
      <alignment vertical="bottom"/>
    </xf>
    <xf borderId="2" fillId="5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3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vertical="bottom"/>
    </xf>
    <xf borderId="2" fillId="3" fontId="5" numFmtId="168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2" fillId="2" fontId="9" numFmtId="168" xfId="0" applyAlignment="1" applyBorder="1" applyFont="1" applyNumberFormat="1">
      <alignment horizontal="center" readingOrder="0" vertical="bottom"/>
    </xf>
    <xf borderId="2" fillId="2" fontId="10" numFmtId="0" xfId="0" applyAlignment="1" applyBorder="1" applyFont="1">
      <alignment horizontal="center" vertical="bottom"/>
    </xf>
    <xf borderId="2" fillId="0" fontId="4" numFmtId="0" xfId="0" applyAlignment="1" applyBorder="1" applyFont="1">
      <alignment vertical="bottom"/>
    </xf>
    <xf borderId="2" fillId="2" fontId="11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readingOrder="0"/>
    </xf>
    <xf borderId="2" fillId="2" fontId="4" numFmtId="168" xfId="0" applyAlignment="1" applyBorder="1" applyFont="1" applyNumberFormat="1">
      <alignment horizontal="center" readingOrder="0" shrinkToFit="0" wrapText="1"/>
    </xf>
    <xf borderId="3" fillId="3" fontId="13" numFmtId="0" xfId="0" applyAlignment="1" applyBorder="1" applyFont="1">
      <alignment horizontal="center" vertical="bottom"/>
    </xf>
    <xf borderId="3" fillId="2" fontId="13" numFmtId="0" xfId="0" applyAlignment="1" applyBorder="1" applyFont="1">
      <alignment horizontal="center" vertical="bottom"/>
    </xf>
    <xf borderId="2" fillId="3" fontId="13" numFmtId="0" xfId="0" applyAlignment="1" applyBorder="1" applyFont="1">
      <alignment horizontal="center" vertical="bottom"/>
    </xf>
    <xf borderId="2" fillId="2" fontId="13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vertical="bottom"/>
    </xf>
    <xf borderId="2" fillId="3" fontId="4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wrapText="1"/>
    </xf>
    <xf borderId="2" fillId="2" fontId="5" numFmtId="168" xfId="0" applyAlignment="1" applyBorder="1" applyFont="1" applyNumberFormat="1">
      <alignment readingOrder="0" vertical="bottom"/>
    </xf>
    <xf borderId="2" fillId="2" fontId="4" numFmtId="0" xfId="0" applyAlignment="1" applyBorder="1" applyFont="1">
      <alignment shrinkToFit="0" wrapText="1"/>
    </xf>
    <xf borderId="2" fillId="2" fontId="4" numFmtId="0" xfId="0" applyAlignment="1" applyBorder="1" applyFont="1">
      <alignment readingOrder="0" vertical="bottom"/>
    </xf>
    <xf borderId="2" fillId="2" fontId="14" numFmtId="0" xfId="0" applyAlignment="1" applyBorder="1" applyFont="1">
      <alignment vertical="bottom"/>
    </xf>
    <xf borderId="0" fillId="2" fontId="4" numFmtId="0" xfId="0" applyAlignment="1" applyFont="1">
      <alignment horizontal="center" shrinkToFit="0" wrapText="1"/>
    </xf>
    <xf borderId="2" fillId="2" fontId="15" numFmtId="0" xfId="0" applyAlignment="1" applyBorder="1" applyFont="1">
      <alignment readingOrder="0" vertical="bottom"/>
    </xf>
    <xf borderId="2" fillId="3" fontId="14" numFmtId="0" xfId="0" applyAlignment="1" applyBorder="1" applyFont="1">
      <alignment vertical="bottom"/>
    </xf>
    <xf borderId="2" fillId="0" fontId="4" numFmtId="0" xfId="0" applyAlignment="1" applyBorder="1" applyFont="1">
      <alignment horizontal="center" readingOrder="0" vertical="bottom"/>
    </xf>
    <xf borderId="2" fillId="2" fontId="14" numFmtId="0" xfId="0" applyAlignment="1" applyBorder="1" applyFont="1">
      <alignment readingOrder="0" vertical="bottom"/>
    </xf>
    <xf borderId="0" fillId="3" fontId="16" numFmtId="0" xfId="0" applyAlignment="1" applyFont="1">
      <alignment vertical="bottom"/>
    </xf>
    <xf borderId="0" fillId="3" fontId="14" numFmtId="0" xfId="0" applyAlignment="1" applyFont="1">
      <alignment vertical="bottom"/>
    </xf>
    <xf borderId="2" fillId="6" fontId="4" numFmtId="0" xfId="0" applyAlignment="1" applyBorder="1" applyFill="1" applyFont="1">
      <alignment vertical="bottom"/>
    </xf>
    <xf borderId="2" fillId="6" fontId="4" numFmtId="0" xfId="0" applyAlignment="1" applyBorder="1" applyFont="1">
      <alignment horizontal="center" shrinkToFit="0" wrapText="1"/>
    </xf>
    <xf borderId="2" fillId="6" fontId="6" numFmtId="0" xfId="0" applyAlignment="1" applyBorder="1" applyFont="1">
      <alignment horizontal="center" vertical="bottom"/>
    </xf>
    <xf borderId="2" fillId="6" fontId="5" numFmtId="168" xfId="0" applyAlignment="1" applyBorder="1" applyFont="1" applyNumberFormat="1">
      <alignment horizontal="center" readingOrder="0" vertical="bottom"/>
    </xf>
    <xf borderId="2" fillId="6" fontId="6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2" fillId="0" fontId="4" numFmtId="165" xfId="0" applyAlignment="1" applyBorder="1" applyFont="1" applyNumberFormat="1">
      <alignment horizontal="center" readingOrder="0" vertical="bottom"/>
    </xf>
    <xf borderId="0" fillId="2" fontId="14" numFmtId="0" xfId="0" applyAlignment="1" applyFont="1">
      <alignment vertical="bottom"/>
    </xf>
    <xf borderId="0" fillId="5" fontId="17" numFmtId="0" xfId="0" applyAlignment="1" applyFont="1">
      <alignment horizontal="center" vertical="bottom"/>
    </xf>
    <xf borderId="2" fillId="5" fontId="14" numFmtId="0" xfId="0" applyAlignment="1" applyBorder="1" applyFont="1">
      <alignment vertical="bottom"/>
    </xf>
    <xf borderId="0" fillId="5" fontId="18" numFmtId="0" xfId="0" applyAlignment="1" applyFont="1">
      <alignment vertical="bottom"/>
    </xf>
    <xf borderId="2" fillId="2" fontId="6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0" fillId="2" fontId="18" numFmtId="0" xfId="0" applyAlignment="1" applyFont="1">
      <alignment horizontal="center" vertical="bottom"/>
    </xf>
    <xf borderId="2" fillId="2" fontId="4" numFmtId="168" xfId="0" applyAlignment="1" applyBorder="1" applyFont="1" applyNumberFormat="1">
      <alignment horizontal="center" shrinkToFit="0" wrapText="1"/>
    </xf>
    <xf borderId="0" fillId="2" fontId="19" numFmtId="0" xfId="0" applyAlignment="1" applyFont="1">
      <alignment horizontal="center" vertical="bottom"/>
    </xf>
    <xf borderId="2" fillId="3" fontId="4" numFmtId="168" xfId="0" applyAlignment="1" applyBorder="1" applyFont="1" applyNumberFormat="1">
      <alignment horizontal="center" shrinkToFit="0" wrapText="1"/>
    </xf>
    <xf borderId="2" fillId="3" fontId="4" numFmtId="168" xfId="0" applyAlignment="1" applyBorder="1" applyFont="1" applyNumberFormat="1">
      <alignment horizontal="center" readingOrder="0" shrinkToFit="0" wrapText="1"/>
    </xf>
    <xf borderId="0" fillId="2" fontId="20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2" fillId="2" fontId="14" numFmtId="168" xfId="0" applyAlignment="1" applyBorder="1" applyFont="1" applyNumberFormat="1">
      <alignment readingOrder="0" vertical="bottom"/>
    </xf>
    <xf borderId="2" fillId="2" fontId="14" numFmtId="3" xfId="0" applyAlignment="1" applyBorder="1" applyFont="1" applyNumberFormat="1">
      <alignment readingOrder="0" vertical="bottom"/>
    </xf>
    <xf borderId="2" fillId="2" fontId="14" numFmtId="168" xfId="0" applyAlignment="1" applyBorder="1" applyFont="1" applyNumberFormat="1">
      <alignment readingOrder="0"/>
    </xf>
    <xf borderId="2" fillId="7" fontId="14" numFmtId="0" xfId="0" applyAlignment="1" applyBorder="1" applyFill="1" applyFont="1">
      <alignment readingOrder="0" vertical="bottom"/>
    </xf>
    <xf borderId="2" fillId="7" fontId="4" numFmtId="0" xfId="0" applyAlignment="1" applyBorder="1" applyFont="1">
      <alignment horizontal="center" shrinkToFit="0" wrapText="1"/>
    </xf>
    <xf borderId="0" fillId="7" fontId="1" numFmtId="0" xfId="0" applyFont="1"/>
    <xf borderId="2" fillId="7" fontId="4" numFmtId="168" xfId="0" applyAlignment="1" applyBorder="1" applyFont="1" applyNumberFormat="1">
      <alignment horizontal="center" readingOrder="0" shrinkToFit="0" wrapText="1"/>
    </xf>
    <xf borderId="2" fillId="7" fontId="4" numFmtId="0" xfId="0" applyAlignment="1" applyBorder="1" applyFont="1">
      <alignment horizontal="center" readingOrder="0" vertical="bottom"/>
    </xf>
    <xf borderId="2" fillId="7" fontId="4" numFmtId="165" xfId="0" applyAlignment="1" applyBorder="1" applyFont="1" applyNumberFormat="1">
      <alignment horizontal="center" readingOrder="0" vertical="bottom"/>
    </xf>
    <xf borderId="2" fillId="2" fontId="14" numFmtId="168" xfId="0" applyBorder="1" applyFont="1" applyNumberFormat="1"/>
    <xf borderId="2" fillId="0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vertical="bottom"/>
    </xf>
    <xf borderId="2" fillId="2" fontId="14" numFmtId="0" xfId="0" applyBorder="1" applyFont="1"/>
    <xf borderId="0" fillId="2" fontId="1" numFmtId="0" xfId="0" applyAlignment="1" applyFont="1">
      <alignment readingOrder="0"/>
    </xf>
    <xf borderId="2" fillId="2" fontId="14" numFmtId="165" xfId="0" applyAlignment="1" applyBorder="1" applyFont="1" applyNumberFormat="1">
      <alignment vertical="bottom"/>
    </xf>
    <xf borderId="0" fillId="8" fontId="1" numFmtId="0" xfId="0" applyFill="1" applyFont="1"/>
    <xf borderId="0" fillId="0" fontId="1" numFmtId="165" xfId="0" applyFont="1" applyNumberFormat="1"/>
    <xf borderId="0" fillId="4" fontId="21" numFmtId="0" xfId="0" applyAlignment="1" applyFont="1">
      <alignment horizontal="center" shrinkToFit="0" wrapText="1"/>
    </xf>
    <xf borderId="1" fillId="4" fontId="3" numFmtId="3" xfId="0" applyAlignment="1" applyBorder="1" applyFont="1" applyNumberFormat="1">
      <alignment horizontal="center" shrinkToFit="0" wrapText="1"/>
    </xf>
    <xf borderId="1" fillId="4" fontId="3" numFmtId="168" xfId="0" applyAlignment="1" applyBorder="1" applyFont="1" applyNumberFormat="1">
      <alignment horizontal="center" shrinkToFit="0" wrapText="1"/>
    </xf>
    <xf borderId="1" fillId="9" fontId="3" numFmtId="0" xfId="0" applyAlignment="1" applyBorder="1" applyFill="1" applyFon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4" fontId="22" numFmtId="0" xfId="0" applyAlignment="1" applyFont="1">
      <alignment readingOrder="0"/>
    </xf>
    <xf borderId="2" fillId="2" fontId="14" numFmtId="3" xfId="0" applyBorder="1" applyFont="1" applyNumberFormat="1"/>
    <xf borderId="0" fillId="2" fontId="4" numFmtId="0" xfId="0" applyAlignment="1" applyFont="1">
      <alignment horizontal="center" vertical="bottom"/>
    </xf>
    <xf borderId="2" fillId="2" fontId="4" numFmtId="169" xfId="0" applyAlignment="1" applyBorder="1" applyFont="1" applyNumberFormat="1">
      <alignment horizontal="center" vertical="bottom"/>
    </xf>
    <xf borderId="0" fillId="2" fontId="23" numFmtId="0" xfId="0" applyAlignment="1" applyFont="1">
      <alignment vertical="bottom"/>
    </xf>
    <xf borderId="0" fillId="2" fontId="14" numFmtId="165" xfId="0" applyAlignment="1" applyFont="1" applyNumberFormat="1">
      <alignment readingOrder="0" vertical="bottom"/>
    </xf>
    <xf borderId="0" fillId="2" fontId="14" numFmtId="165" xfId="0" applyAlignment="1" applyFont="1" applyNumberFormat="1">
      <alignment vertical="bottom"/>
    </xf>
    <xf borderId="2" fillId="2" fontId="24" numFmtId="168" xfId="0" applyAlignment="1" applyBorder="1" applyFont="1" applyNumberFormat="1">
      <alignment horizontal="center" shrinkToFit="0" wrapText="1"/>
    </xf>
    <xf borderId="2" fillId="2" fontId="14" numFmtId="170" xfId="0" applyAlignment="1" applyBorder="1" applyFont="1" applyNumberFormat="1">
      <alignment vertical="bottom"/>
    </xf>
    <xf borderId="0" fillId="9" fontId="4" numFmtId="0" xfId="0" applyAlignment="1" applyFont="1">
      <alignment vertical="bottom"/>
    </xf>
    <xf borderId="2" fillId="2" fontId="4" numFmtId="171" xfId="0" applyAlignment="1" applyBorder="1" applyFont="1" applyNumberFormat="1">
      <alignment horizontal="center" readingOrder="0" vertical="bottom"/>
    </xf>
    <xf borderId="2" fillId="2" fontId="14" numFmtId="171" xfId="0" applyAlignment="1" applyBorder="1" applyFont="1" applyNumberFormat="1">
      <alignment readingOrder="0" vertical="bottom"/>
    </xf>
    <xf borderId="2" fillId="2" fontId="4" numFmtId="3" xfId="0" applyAlignment="1" applyBorder="1" applyFont="1" applyNumberFormat="1">
      <alignment horizontal="center" readingOrder="0" shrinkToFit="0" wrapText="1"/>
    </xf>
    <xf borderId="2" fillId="2" fontId="14" numFmtId="171" xfId="0" applyAlignment="1" applyBorder="1" applyFont="1" applyNumberFormat="1">
      <alignment vertical="bottom"/>
    </xf>
    <xf borderId="2" fillId="2" fontId="14" numFmtId="170" xfId="0" applyAlignment="1" applyBorder="1" applyFont="1" applyNumberFormat="1">
      <alignment readingOrder="0" vertical="bottom"/>
    </xf>
    <xf borderId="2" fillId="2" fontId="4" numFmtId="170" xfId="0" applyAlignment="1" applyBorder="1" applyFont="1" applyNumberFormat="1">
      <alignment horizontal="center" readingOrder="0" vertical="bottom"/>
    </xf>
    <xf borderId="2" fillId="2" fontId="8" numFmtId="0" xfId="0" applyAlignment="1" applyBorder="1" applyFont="1">
      <alignment vertical="bottom"/>
    </xf>
    <xf borderId="2" fillId="2" fontId="4" numFmtId="171" xfId="0" applyAlignment="1" applyBorder="1" applyFont="1" applyNumberFormat="1">
      <alignment horizontal="center" vertical="bottom"/>
    </xf>
    <xf borderId="2" fillId="2" fontId="4" numFmtId="3" xfId="0" applyAlignment="1" applyBorder="1" applyFont="1" applyNumberFormat="1">
      <alignment horizontal="center" shrinkToFit="0" wrapText="1"/>
    </xf>
    <xf borderId="2" fillId="2" fontId="4" numFmtId="170" xfId="0" applyAlignment="1" applyBorder="1" applyFont="1" applyNumberFormat="1">
      <alignment horizontal="center" vertical="bottom"/>
    </xf>
    <xf borderId="2" fillId="2" fontId="14" numFmtId="3" xfId="0" applyAlignment="1" applyBorder="1" applyFont="1" applyNumberFormat="1">
      <alignment vertical="bottom"/>
    </xf>
    <xf borderId="0" fillId="2" fontId="14" numFmtId="3" xfId="0" applyAlignment="1" applyFont="1" applyNumberFormat="1">
      <alignment vertical="bottom"/>
    </xf>
    <xf borderId="2" fillId="9" fontId="4" numFmtId="169" xfId="0" applyAlignment="1" applyBorder="1" applyFont="1" applyNumberFormat="1">
      <alignment horizontal="center" vertical="bottom"/>
    </xf>
    <xf borderId="2" fillId="9" fontId="4" numFmtId="171" xfId="0" applyAlignment="1" applyBorder="1" applyFont="1" applyNumberFormat="1">
      <alignment horizontal="center" readingOrder="0" vertical="bottom"/>
    </xf>
    <xf borderId="2" fillId="9" fontId="4" numFmtId="170" xfId="0" applyAlignment="1" applyBorder="1" applyFont="1" applyNumberFormat="1">
      <alignment horizontal="center" readingOrder="0" vertical="bottom"/>
    </xf>
    <xf borderId="2" fillId="2" fontId="14" numFmtId="3" xfId="0" applyAlignment="1" applyBorder="1" applyFont="1" applyNumberFormat="1">
      <alignment readingOrder="0"/>
    </xf>
    <xf borderId="2" fillId="9" fontId="4" numFmtId="0" xfId="0" applyAlignment="1" applyBorder="1" applyFont="1">
      <alignment horizontal="center" readingOrder="0" vertical="bottom"/>
    </xf>
    <xf borderId="0" fillId="2" fontId="14" numFmtId="0" xfId="0" applyAlignment="1" applyFont="1">
      <alignment readingOrder="0" vertical="bottom"/>
    </xf>
    <xf borderId="2" fillId="9" fontId="14" numFmtId="171" xfId="0" applyAlignment="1" applyBorder="1" applyFont="1" applyNumberFormat="1">
      <alignment readingOrder="0" vertical="bottom"/>
    </xf>
    <xf borderId="2" fillId="0" fontId="14" numFmtId="168" xfId="0" applyAlignment="1" applyBorder="1" applyFont="1" applyNumberFormat="1">
      <alignment vertical="bottom"/>
    </xf>
    <xf borderId="2" fillId="2" fontId="14" numFmtId="168" xfId="0" applyAlignment="1" applyBorder="1" applyFont="1" applyNumberFormat="1">
      <alignment vertical="bottom"/>
    </xf>
    <xf borderId="0" fillId="2" fontId="14" numFmtId="168" xfId="0" applyAlignment="1" applyFont="1" applyNumberFormat="1">
      <alignment vertical="bottom"/>
    </xf>
    <xf borderId="2" fillId="9" fontId="4" numFmtId="0" xfId="0" applyAlignment="1" applyBorder="1" applyFont="1">
      <alignment horizontal="center" vertical="bottom"/>
    </xf>
    <xf borderId="2" fillId="2" fontId="5" numFmtId="171" xfId="0" applyAlignment="1" applyBorder="1" applyFont="1" applyNumberFormat="1">
      <alignment horizontal="center" readingOrder="0" vertical="bottom"/>
    </xf>
    <xf borderId="2" fillId="0" fontId="4" numFmtId="168" xfId="0" applyAlignment="1" applyBorder="1" applyFont="1" applyNumberFormat="1">
      <alignment horizontal="center" shrinkToFit="0" wrapText="1"/>
    </xf>
    <xf borderId="2" fillId="2" fontId="13" numFmtId="0" xfId="0" applyAlignment="1" applyBorder="1" applyFont="1">
      <alignment horizontal="center" vertical="bottom"/>
    </xf>
    <xf borderId="2" fillId="0" fontId="14" numFmtId="3" xfId="0" applyBorder="1" applyFont="1" applyNumberFormat="1"/>
    <xf borderId="2" fillId="0" fontId="14" numFmtId="168" xfId="0" applyAlignment="1" applyBorder="1" applyFont="1" applyNumberFormat="1">
      <alignment readingOrder="0"/>
    </xf>
    <xf borderId="2" fillId="0" fontId="4" numFmtId="0" xfId="0" applyAlignment="1" applyBorder="1" applyFont="1">
      <alignment horizontal="center" shrinkToFit="0" wrapText="1"/>
    </xf>
    <xf borderId="2" fillId="0" fontId="4" numFmtId="171" xfId="0" applyAlignment="1" applyBorder="1" applyFont="1" applyNumberFormat="1">
      <alignment horizontal="center" vertical="bottom"/>
    </xf>
    <xf borderId="2" fillId="0" fontId="24" numFmtId="168" xfId="0" applyAlignment="1" applyBorder="1" applyFont="1" applyNumberFormat="1">
      <alignment horizontal="center" shrinkToFit="0" wrapText="1"/>
    </xf>
    <xf borderId="2" fillId="3" fontId="5" numFmtId="171" xfId="0" applyAlignment="1" applyBorder="1" applyFont="1" applyNumberFormat="1">
      <alignment horizontal="center" readingOrder="0" vertical="bottom"/>
    </xf>
    <xf borderId="2" fillId="2" fontId="4" numFmtId="168" xfId="0" applyAlignment="1" applyBorder="1" applyFont="1" applyNumberFormat="1">
      <alignment horizontal="center" vertical="bottom"/>
    </xf>
    <xf borderId="0" fillId="2" fontId="16" numFmtId="0" xfId="0" applyAlignment="1" applyFont="1">
      <alignment vertical="bottom"/>
    </xf>
    <xf borderId="2" fillId="6" fontId="14" numFmtId="3" xfId="0" applyBorder="1" applyFont="1" applyNumberFormat="1"/>
    <xf borderId="2" fillId="6" fontId="14" numFmtId="0" xfId="0" applyAlignment="1" applyBorder="1" applyFont="1">
      <alignment vertical="bottom"/>
    </xf>
    <xf borderId="2" fillId="6" fontId="4" numFmtId="168" xfId="0" applyAlignment="1" applyBorder="1" applyFont="1" applyNumberFormat="1">
      <alignment horizontal="center" shrinkToFit="0" wrapText="1"/>
    </xf>
    <xf borderId="2" fillId="6" fontId="14" numFmtId="168" xfId="0" applyAlignment="1" applyBorder="1" applyFont="1" applyNumberFormat="1">
      <alignment readingOrder="0"/>
    </xf>
    <xf borderId="2" fillId="6" fontId="4" numFmtId="0" xfId="0" applyAlignment="1" applyBorder="1" applyFont="1">
      <alignment horizontal="center" readingOrder="0" vertical="bottom"/>
    </xf>
    <xf borderId="2" fillId="6" fontId="4" numFmtId="171" xfId="0" applyAlignment="1" applyBorder="1" applyFont="1" applyNumberFormat="1">
      <alignment horizontal="center" readingOrder="0" vertical="bottom"/>
    </xf>
    <xf borderId="0" fillId="6" fontId="14" numFmtId="0" xfId="0" applyAlignment="1" applyFont="1">
      <alignment vertical="bottom"/>
    </xf>
    <xf borderId="2" fillId="9" fontId="14" numFmtId="170" xfId="0" applyAlignment="1" applyBorder="1" applyFont="1" applyNumberFormat="1">
      <alignment vertical="bottom"/>
    </xf>
    <xf borderId="2" fillId="2" fontId="4" numFmtId="168" xfId="0" applyAlignment="1" applyBorder="1" applyFont="1" applyNumberFormat="1">
      <alignment horizontal="center" readingOrder="0" vertical="bottom"/>
    </xf>
    <xf borderId="0" fillId="2" fontId="5" numFmtId="168" xfId="0" applyAlignment="1" applyFont="1" applyNumberFormat="1">
      <alignment horizontal="center" vertical="bottom"/>
    </xf>
    <xf borderId="0" fillId="2" fontId="14" numFmtId="168" xfId="0" applyFont="1" applyNumberFormat="1"/>
    <xf borderId="2" fillId="2" fontId="14" numFmtId="169" xfId="0" applyAlignment="1" applyBorder="1" applyFont="1" applyNumberFormat="1">
      <alignment vertical="bottom"/>
    </xf>
    <xf borderId="2" fillId="9" fontId="14" numFmtId="169" xfId="0" applyAlignment="1" applyBorder="1" applyFont="1" applyNumberFormat="1">
      <alignment vertical="bottom"/>
    </xf>
    <xf borderId="0" fillId="2" fontId="18" numFmtId="0" xfId="0" applyAlignment="1" applyFont="1">
      <alignment horizontal="right" vertical="bottom"/>
    </xf>
    <xf borderId="0" fillId="2" fontId="4" numFmtId="168" xfId="0" applyAlignment="1" applyFont="1" applyNumberFormat="1">
      <alignment horizontal="center" readingOrder="0" shrinkToFit="0" wrapText="1"/>
    </xf>
    <xf borderId="2" fillId="2" fontId="4" numFmtId="3" xfId="0" applyAlignment="1" applyBorder="1" applyFont="1" applyNumberFormat="1">
      <alignment horizontal="center" readingOrder="0" vertical="bottom"/>
    </xf>
    <xf borderId="0" fillId="2" fontId="25" numFmtId="0" xfId="0" applyAlignment="1" applyFont="1">
      <alignment readingOrder="0" vertical="bottom"/>
    </xf>
    <xf borderId="2" fillId="2" fontId="4" numFmtId="3" xfId="0" applyAlignment="1" applyBorder="1" applyFont="1" applyNumberFormat="1">
      <alignment horizontal="center" vertical="bottom"/>
    </xf>
    <xf borderId="2" fillId="2" fontId="4" numFmtId="172" xfId="0" applyAlignment="1" applyBorder="1" applyFont="1" applyNumberFormat="1">
      <alignment horizontal="center" readingOrder="0" vertical="bottom"/>
    </xf>
    <xf borderId="0" fillId="3" fontId="4" numFmtId="0" xfId="0" applyAlignment="1" applyFont="1">
      <alignment vertical="bottom"/>
    </xf>
    <xf borderId="2" fillId="3" fontId="4" numFmtId="3" xfId="0" applyAlignment="1" applyBorder="1" applyFont="1" applyNumberFormat="1">
      <alignment horizontal="center" vertical="bottom"/>
    </xf>
    <xf borderId="2" fillId="3" fontId="4" numFmtId="168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horizontal="center" readingOrder="0" vertical="bottom"/>
    </xf>
    <xf borderId="2" fillId="3" fontId="14" numFmtId="168" xfId="0" applyBorder="1" applyFont="1" applyNumberFormat="1"/>
    <xf borderId="2" fillId="3" fontId="14" numFmtId="170" xfId="0" applyAlignment="1" applyBorder="1" applyFont="1" applyNumberFormat="1">
      <alignment vertical="bottom"/>
    </xf>
    <xf borderId="2" fillId="2" fontId="24" numFmtId="0" xfId="0" applyAlignment="1" applyBorder="1" applyFont="1">
      <alignment horizontal="center" readingOrder="0" vertical="bottom"/>
    </xf>
    <xf borderId="2" fillId="2" fontId="5" numFmtId="168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  <xf borderId="2" fillId="2" fontId="14" numFmtId="173" xfId="0" applyAlignment="1" applyBorder="1" applyFont="1" applyNumberFormat="1">
      <alignment readingOrder="0" vertical="bottom"/>
    </xf>
    <xf borderId="2" fillId="2" fontId="14" numFmtId="0" xfId="0" applyAlignment="1" applyBorder="1" applyFont="1">
      <alignment readingOrder="0"/>
    </xf>
    <xf borderId="0" fillId="2" fontId="1" numFmtId="0" xfId="0" applyFont="1"/>
    <xf borderId="2" fillId="3" fontId="14" numFmtId="3" xfId="0" applyBorder="1" applyFont="1" applyNumberFormat="1"/>
    <xf borderId="0" fillId="3" fontId="14" numFmtId="165" xfId="0" applyAlignment="1" applyFont="1" applyNumberFormat="1">
      <alignment readingOrder="0" vertical="bottom"/>
    </xf>
    <xf borderId="2" fillId="3" fontId="4" numFmtId="169" xfId="0" applyAlignment="1" applyBorder="1" applyFont="1" applyNumberFormat="1">
      <alignment horizontal="center" vertical="bottom"/>
    </xf>
    <xf borderId="2" fillId="3" fontId="14" numFmtId="0" xfId="0" applyAlignment="1" applyBorder="1" applyFont="1">
      <alignment readingOrder="0" vertical="bottom"/>
    </xf>
    <xf borderId="0" fillId="10" fontId="26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2" fillId="5" fontId="14" numFmtId="3" xfId="0" applyAlignment="1" applyBorder="1" applyFont="1" applyNumberFormat="1">
      <alignment vertical="bottom"/>
    </xf>
    <xf borderId="2" fillId="5" fontId="4" numFmtId="168" xfId="0" applyAlignment="1" applyBorder="1" applyFont="1" applyNumberFormat="1">
      <alignment horizontal="center" vertical="bottom"/>
    </xf>
    <xf borderId="2" fillId="5" fontId="4" numFmtId="168" xfId="0" applyAlignment="1" applyBorder="1" applyFont="1" applyNumberFormat="1">
      <alignment horizontal="center" readingOrder="0" shrinkToFit="0" wrapText="1"/>
    </xf>
    <xf borderId="2" fillId="5" fontId="14" numFmtId="168" xfId="0" applyBorder="1" applyFont="1" applyNumberFormat="1"/>
    <xf borderId="2" fillId="5" fontId="14" numFmtId="0" xfId="0" applyAlignment="1" applyBorder="1" applyFont="1">
      <alignment readingOrder="0" vertical="bottom"/>
    </xf>
    <xf borderId="2" fillId="5" fontId="4" numFmtId="169" xfId="0" applyAlignment="1" applyBorder="1" applyFont="1" applyNumberFormat="1">
      <alignment horizontal="center" vertical="bottom"/>
    </xf>
    <xf borderId="2" fillId="5" fontId="4" numFmtId="170" xfId="0" applyAlignment="1" applyBorder="1" applyFont="1" applyNumberFormat="1">
      <alignment horizontal="center" vertical="bottom"/>
    </xf>
    <xf borderId="0" fillId="5" fontId="14" numFmtId="0" xfId="0" applyAlignment="1" applyFont="1">
      <alignment vertical="bottom"/>
    </xf>
    <xf borderId="2" fillId="3" fontId="14" numFmtId="3" xfId="0" applyAlignment="1" applyBorder="1" applyFont="1" applyNumberFormat="1">
      <alignment vertical="bottom"/>
    </xf>
    <xf borderId="0" fillId="3" fontId="18" numFmtId="0" xfId="0" applyAlignment="1" applyFont="1">
      <alignment horizontal="center" vertical="bottom"/>
    </xf>
    <xf borderId="2" fillId="3" fontId="14" numFmtId="171" xfId="0" applyAlignment="1" applyBorder="1" applyFont="1" applyNumberFormat="1">
      <alignment vertical="bottom"/>
    </xf>
    <xf borderId="0" fillId="4" fontId="14" numFmtId="0" xfId="0" applyAlignment="1" applyFont="1">
      <alignment readingOrder="0"/>
    </xf>
    <xf borderId="2" fillId="3" fontId="24" numFmtId="168" xfId="0" applyAlignment="1" applyBorder="1" applyFont="1" applyNumberFormat="1">
      <alignment horizontal="center" shrinkToFit="0" wrapText="1"/>
    </xf>
    <xf borderId="2" fillId="9" fontId="14" numFmtId="0" xfId="0" applyAlignment="1" applyBorder="1" applyFont="1">
      <alignment vertical="bottom"/>
    </xf>
    <xf borderId="2" fillId="9" fontId="4" numFmtId="171" xfId="0" applyAlignment="1" applyBorder="1" applyFont="1" applyNumberFormat="1">
      <alignment horizontal="center" vertical="bottom"/>
    </xf>
    <xf borderId="2" fillId="2" fontId="6" numFmtId="0" xfId="0" applyAlignment="1" applyBorder="1" applyFont="1">
      <alignment horizontal="center" readingOrder="0" vertical="bottom"/>
    </xf>
    <xf borderId="2" fillId="3" fontId="4" numFmtId="170" xfId="0" applyAlignment="1" applyBorder="1" applyFont="1" applyNumberFormat="1">
      <alignment horizontal="center" vertical="bottom"/>
    </xf>
    <xf borderId="0" fillId="0" fontId="4" numFmtId="168" xfId="0" applyAlignment="1" applyFont="1" applyNumberFormat="1">
      <alignment horizontal="center" readingOrder="0" vertical="bottom"/>
    </xf>
    <xf borderId="2" fillId="6" fontId="14" numFmtId="168" xfId="0" applyBorder="1" applyFont="1" applyNumberFormat="1"/>
    <xf borderId="2" fillId="6" fontId="4" numFmtId="169" xfId="0" applyAlignment="1" applyBorder="1" applyFont="1" applyNumberFormat="1">
      <alignment horizontal="center" vertical="bottom"/>
    </xf>
    <xf borderId="0" fillId="6" fontId="4" numFmtId="0" xfId="0" applyAlignment="1" applyFont="1">
      <alignment vertical="bottom"/>
    </xf>
    <xf borderId="2" fillId="6" fontId="24" numFmtId="168" xfId="0" applyAlignment="1" applyBorder="1" applyFont="1" applyNumberFormat="1">
      <alignment horizontal="center" shrinkToFit="0" wrapText="1"/>
    </xf>
    <xf borderId="2" fillId="6" fontId="4" numFmtId="3" xfId="0" applyAlignment="1" applyBorder="1" applyFont="1" applyNumberFormat="1">
      <alignment horizontal="center" readingOrder="0" shrinkToFit="0" wrapText="1"/>
    </xf>
    <xf borderId="2" fillId="6" fontId="14" numFmtId="0" xfId="0" applyAlignment="1" applyBorder="1" applyFont="1">
      <alignment readingOrder="0" vertical="bottom"/>
    </xf>
    <xf borderId="2" fillId="6" fontId="4" numFmtId="0" xfId="0" applyAlignment="1" applyBorder="1" applyFont="1">
      <alignment horizontal="center" vertical="bottom"/>
    </xf>
    <xf borderId="2" fillId="6" fontId="4" numFmtId="170" xfId="0" applyAlignment="1" applyBorder="1" applyFont="1" applyNumberFormat="1">
      <alignment horizontal="center" vertical="bottom"/>
    </xf>
    <xf borderId="0" fillId="2" fontId="17" numFmtId="0" xfId="0" applyAlignment="1" applyFont="1">
      <alignment horizontal="center" vertical="bottom"/>
    </xf>
    <xf borderId="0" fillId="2" fontId="18" numFmtId="0" xfId="0" applyAlignment="1" applyFont="1">
      <alignment vertical="bottom"/>
    </xf>
    <xf borderId="0" fillId="0" fontId="1" numFmtId="3" xfId="0" applyAlignment="1" applyFont="1" applyNumberFormat="1">
      <alignment readingOrder="0"/>
    </xf>
    <xf borderId="2" fillId="9" fontId="4" numFmtId="170" xfId="0" applyAlignment="1" applyBorder="1" applyFont="1" applyNumberFormat="1">
      <alignment horizontal="center" vertical="bottom"/>
    </xf>
    <xf borderId="5" fillId="2" fontId="27" numFmtId="0" xfId="0" applyAlignment="1" applyBorder="1" applyFont="1">
      <alignment horizontal="center" vertical="bottom"/>
    </xf>
    <xf borderId="2" fillId="0" fontId="4" numFmtId="3" xfId="0" applyAlignment="1" applyBorder="1" applyFont="1" applyNumberFormat="1">
      <alignment horizontal="center" readingOrder="0" vertical="bottom"/>
    </xf>
    <xf borderId="2" fillId="3" fontId="4" numFmtId="165" xfId="0" applyAlignment="1" applyBorder="1" applyFont="1" applyNumberFormat="1">
      <alignment horizontal="center" readingOrder="0" shrinkToFit="0" wrapText="1"/>
    </xf>
    <xf borderId="2" fillId="0" fontId="14" numFmtId="165" xfId="0" applyAlignment="1" applyBorder="1" applyFont="1" applyNumberFormat="1">
      <alignment readingOrder="0" vertical="bottom"/>
    </xf>
    <xf borderId="0" fillId="11" fontId="28" numFmtId="0" xfId="0" applyAlignment="1" applyFill="1" applyFont="1">
      <alignment vertical="bottom"/>
    </xf>
    <xf borderId="0" fillId="11" fontId="29" numFmtId="0" xfId="0" applyAlignment="1" applyFont="1">
      <alignment vertical="bottom"/>
    </xf>
    <xf borderId="0" fillId="11" fontId="14" numFmtId="0" xfId="0" applyAlignment="1" applyFont="1">
      <alignment vertical="bottom"/>
    </xf>
    <xf borderId="0" fillId="0" fontId="30" numFmtId="171" xfId="0" applyAlignment="1" applyFont="1" applyNumberFormat="1">
      <alignment horizontal="right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3" fontId="30" numFmtId="171" xfId="0" applyAlignment="1" applyFont="1" applyNumberFormat="1">
      <alignment horizontal="right" vertical="bottom"/>
    </xf>
    <xf borderId="0" fillId="0" fontId="14" numFmtId="170" xfId="0" applyAlignment="1" applyFont="1" applyNumberFormat="1">
      <alignment horizontal="right" vertical="bottom"/>
    </xf>
    <xf borderId="0" fillId="2" fontId="14" numFmtId="0" xfId="0" applyFont="1"/>
    <xf borderId="0" fillId="0" fontId="14" numFmtId="0" xfId="0" applyAlignment="1" applyFont="1">
      <alignment horizontal="right" vertical="bottom"/>
    </xf>
    <xf borderId="4" fillId="2" fontId="14" numFmtId="0" xfId="0" applyAlignment="1" applyBorder="1" applyFont="1">
      <alignment vertical="bottom"/>
    </xf>
    <xf borderId="0" fillId="0" fontId="14" numFmtId="172" xfId="0" applyAlignment="1" applyFont="1" applyNumberFormat="1">
      <alignment horizontal="right" vertical="bottom"/>
    </xf>
    <xf borderId="0" fillId="0" fontId="30" numFmtId="0" xfId="0" applyAlignment="1" applyFont="1">
      <alignment horizontal="right" vertical="bottom"/>
    </xf>
    <xf borderId="0" fillId="7" fontId="30" numFmtId="0" xfId="0" applyAlignment="1" applyFont="1">
      <alignment vertical="bottom"/>
    </xf>
    <xf borderId="0" fillId="7" fontId="1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7" fontId="4" numFmtId="0" xfId="0" applyAlignment="1" applyFont="1">
      <alignment horizontal="center" shrinkToFit="0" wrapText="1"/>
    </xf>
    <xf borderId="6" fillId="3" fontId="14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shrinkToFit="0" vertical="bottom" wrapText="1"/>
    </xf>
    <xf borderId="4" fillId="2" fontId="4" numFmtId="0" xfId="0" applyAlignment="1" applyBorder="1" applyFont="1">
      <alignment horizontal="center" vertical="bottom"/>
    </xf>
    <xf borderId="0" fillId="3" fontId="30" numFmtId="0" xfId="0" applyAlignment="1" applyFont="1">
      <alignment vertical="bottom"/>
    </xf>
    <xf borderId="0" fillId="3" fontId="30" numFmtId="0" xfId="0" applyAlignment="1" applyFont="1">
      <alignment horizontal="right" vertical="bottom"/>
    </xf>
    <xf borderId="0" fillId="2" fontId="32" numFmtId="0" xfId="0" applyAlignment="1" applyFont="1">
      <alignment vertical="bottom"/>
    </xf>
    <xf borderId="2" fillId="0" fontId="30" numFmtId="0" xfId="0" applyAlignment="1" applyBorder="1" applyFont="1">
      <alignment vertical="bottom"/>
    </xf>
    <xf borderId="6" fillId="3" fontId="30" numFmtId="0" xfId="0" applyAlignment="1" applyBorder="1" applyFont="1">
      <alignment vertical="bottom"/>
    </xf>
    <xf borderId="4" fillId="2" fontId="20" numFmtId="0" xfId="0" applyAlignment="1" applyBorder="1" applyFont="1">
      <alignment horizontal="center" vertical="bottom"/>
    </xf>
    <xf borderId="0" fillId="2" fontId="30" numFmtId="171" xfId="0" applyAlignment="1" applyFont="1" applyNumberFormat="1">
      <alignment horizontal="right" vertical="bottom"/>
    </xf>
    <xf borderId="0" fillId="2" fontId="30" numFmtId="0" xfId="0" applyAlignment="1" applyFont="1">
      <alignment vertical="bottom"/>
    </xf>
    <xf borderId="0" fillId="2" fontId="30" numFmtId="0" xfId="0" applyAlignment="1" applyFont="1">
      <alignment horizontal="right" vertical="bottom"/>
    </xf>
    <xf borderId="7" fillId="7" fontId="4" numFmtId="0" xfId="0" applyAlignment="1" applyBorder="1" applyFont="1">
      <alignment vertical="bottom"/>
    </xf>
    <xf borderId="2" fillId="7" fontId="4" numFmtId="0" xfId="0" applyAlignment="1" applyBorder="1" applyFont="1">
      <alignment horizontal="center" vertical="bottom"/>
    </xf>
    <xf borderId="0" fillId="5" fontId="30" numFmtId="171" xfId="0" applyAlignment="1" applyFont="1" applyNumberFormat="1">
      <alignment horizontal="right" vertical="bottom"/>
    </xf>
    <xf borderId="0" fillId="5" fontId="4" numFmtId="0" xfId="0" applyAlignment="1" applyFont="1">
      <alignment horizontal="center" shrinkToFit="0" wrapText="1"/>
    </xf>
    <xf borderId="0" fillId="5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wrapText="1"/>
    </xf>
    <xf borderId="0" fillId="7" fontId="14" numFmtId="0" xfId="0" applyFont="1"/>
    <xf borderId="0" fillId="12" fontId="4" numFmtId="0" xfId="0" applyAlignment="1" applyFill="1" applyFont="1">
      <alignment horizontal="center" shrinkToFit="0" wrapText="1"/>
    </xf>
    <xf borderId="0" fillId="2" fontId="14" numFmtId="0" xfId="0" applyAlignment="1" applyFont="1">
      <alignment horizontal="right" vertical="bottom"/>
    </xf>
    <xf borderId="2" fillId="2" fontId="4" numFmtId="0" xfId="0" applyAlignment="1" applyBorder="1" applyFont="1">
      <alignment horizontal="center" shrinkToFit="0" vertical="bottom" wrapText="1"/>
    </xf>
    <xf borderId="0" fillId="0" fontId="14" numFmtId="174" xfId="0" applyAlignment="1" applyFont="1" applyNumberFormat="1">
      <alignment horizontal="right" vertical="bottom"/>
    </xf>
    <xf borderId="0" fillId="12" fontId="30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2" fontId="34" numFmtId="0" xfId="0" applyAlignment="1" applyFont="1">
      <alignment vertical="bottom"/>
    </xf>
    <xf borderId="0" fillId="2" fontId="35" numFmtId="0" xfId="0" applyAlignment="1" applyFont="1">
      <alignment horizontal="center" vertical="bottom"/>
    </xf>
    <xf borderId="0" fillId="0" fontId="36" numFmtId="0" xfId="0" applyAlignment="1" applyFont="1">
      <alignment vertical="bottom"/>
    </xf>
    <xf borderId="0" fillId="2" fontId="37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2" fontId="38" numFmtId="0" xfId="0" applyAlignment="1" applyFont="1">
      <alignment vertical="bottom"/>
    </xf>
    <xf borderId="0" fillId="12" fontId="14" numFmtId="0" xfId="0" applyAlignment="1" applyFont="1">
      <alignment vertical="bottom"/>
    </xf>
    <xf borderId="0" fillId="0" fontId="14" numFmtId="173" xfId="0" applyAlignment="1" applyFont="1" applyNumberFormat="1">
      <alignment horizontal="right" vertical="bottom"/>
    </xf>
    <xf borderId="0" fillId="2" fontId="39" numFmtId="0" xfId="0" applyAlignment="1" applyFont="1">
      <alignment vertical="bottom"/>
    </xf>
    <xf borderId="0" fillId="0" fontId="14" numFmtId="175" xfId="0" applyAlignment="1" applyFont="1" applyNumberFormat="1">
      <alignment horizontal="right" vertical="bottom"/>
    </xf>
    <xf borderId="0" fillId="0" fontId="14" numFmtId="176" xfId="0" applyAlignment="1" applyFont="1" applyNumberFormat="1">
      <alignment horizontal="right" vertical="bottom"/>
    </xf>
    <xf borderId="0" fillId="0" fontId="1" numFmtId="173" xfId="0" applyAlignment="1" applyFont="1" applyNumberFormat="1">
      <alignment readingOrder="0"/>
    </xf>
    <xf borderId="0" fillId="0" fontId="1" numFmtId="0" xfId="0" applyFont="1"/>
    <xf borderId="6" fillId="13" fontId="40" numFmtId="0" xfId="0" applyAlignment="1" applyBorder="1" applyFill="1" applyFont="1">
      <alignment shrinkToFit="0" wrapText="1"/>
    </xf>
    <xf borderId="6" fillId="13" fontId="40" numFmtId="0" xfId="0" applyAlignment="1" applyBorder="1" applyFont="1">
      <alignment horizontal="center" shrinkToFit="0" wrapText="1"/>
    </xf>
    <xf borderId="6" fillId="13" fontId="40" numFmtId="0" xfId="0" applyAlignment="1" applyBorder="1" applyFont="1">
      <alignment horizontal="center" readingOrder="0" shrinkToFit="0" wrapText="1"/>
    </xf>
    <xf borderId="8" fillId="2" fontId="29" numFmtId="0" xfId="0" applyAlignment="1" applyBorder="1" applyFont="1">
      <alignment vertical="bottom"/>
    </xf>
    <xf borderId="8" fillId="0" fontId="29" numFmtId="0" xfId="0" applyAlignment="1" applyBorder="1" applyFont="1">
      <alignment vertical="bottom"/>
    </xf>
    <xf borderId="8" fillId="0" fontId="29" numFmtId="177" xfId="0" applyAlignment="1" applyBorder="1" applyFont="1" applyNumberFormat="1">
      <alignment vertical="bottom"/>
    </xf>
    <xf borderId="9" fillId="14" fontId="14" numFmtId="0" xfId="0" applyAlignment="1" applyBorder="1" applyFill="1" applyFont="1">
      <alignment vertical="bottom"/>
    </xf>
    <xf borderId="9" fillId="0" fontId="14" numFmtId="0" xfId="0" applyAlignment="1" applyBorder="1" applyFont="1">
      <alignment vertical="bottom"/>
    </xf>
    <xf borderId="10" fillId="0" fontId="14" numFmtId="177" xfId="0" applyAlignment="1" applyBorder="1" applyFont="1" applyNumberFormat="1">
      <alignment horizontal="right" vertical="bottom"/>
    </xf>
    <xf borderId="9" fillId="0" fontId="14" numFmtId="177" xfId="0" applyAlignment="1" applyBorder="1" applyFont="1" applyNumberFormat="1">
      <alignment horizontal="right" vertical="bottom"/>
    </xf>
    <xf borderId="10" fillId="0" fontId="14" numFmtId="0" xfId="0" applyAlignment="1" applyBorder="1" applyFont="1">
      <alignment vertical="bottom"/>
    </xf>
    <xf borderId="9" fillId="14" fontId="14" numFmtId="0" xfId="0" applyAlignment="1" applyBorder="1" applyFont="1">
      <alignment horizontal="right" vertical="bottom"/>
    </xf>
    <xf borderId="10" fillId="5" fontId="14" numFmtId="0" xfId="0" applyAlignment="1" applyBorder="1" applyFont="1">
      <alignment vertical="bottom"/>
    </xf>
    <xf borderId="10" fillId="5" fontId="14" numFmtId="0" xfId="0" applyAlignment="1" applyBorder="1" applyFont="1">
      <alignment horizontal="right" vertical="bottom"/>
    </xf>
    <xf borderId="10" fillId="2" fontId="14" numFmtId="0" xfId="0" applyAlignment="1" applyBorder="1" applyFont="1">
      <alignment vertical="bottom"/>
    </xf>
    <xf borderId="10" fillId="14" fontId="14" numFmtId="0" xfId="0" applyAlignment="1" applyBorder="1" applyFont="1">
      <alignment vertical="bottom"/>
    </xf>
    <xf borderId="10" fillId="14" fontId="14" numFmtId="0" xfId="0" applyAlignment="1" applyBorder="1" applyFont="1">
      <alignment horizontal="right" vertical="bottom"/>
    </xf>
    <xf borderId="10" fillId="0" fontId="14" numFmtId="0" xfId="0" applyAlignment="1" applyBorder="1" applyFont="1">
      <alignment readingOrder="0" vertical="bottom"/>
    </xf>
    <xf borderId="10" fillId="0" fontId="14" numFmtId="177" xfId="0" applyAlignment="1" applyBorder="1" applyFont="1" applyNumberFormat="1">
      <alignment horizontal="right" readingOrder="0" vertical="bottom"/>
    </xf>
    <xf borderId="10" fillId="3" fontId="14" numFmtId="0" xfId="0" applyAlignment="1" applyBorder="1" applyFont="1">
      <alignment horizontal="right" vertical="bottom"/>
    </xf>
    <xf borderId="10" fillId="0" fontId="14" numFmtId="178" xfId="0" applyAlignment="1" applyBorder="1" applyFont="1" applyNumberFormat="1">
      <alignment horizontal="right" vertical="bottom"/>
    </xf>
    <xf borderId="10" fillId="0" fontId="14" numFmtId="179" xfId="0" applyAlignment="1" applyBorder="1" applyFont="1" applyNumberFormat="1">
      <alignment horizontal="right" vertical="bottom"/>
    </xf>
    <xf borderId="10" fillId="2" fontId="41" numFmtId="0" xfId="0" applyAlignment="1" applyBorder="1" applyFont="1">
      <alignment vertical="bottom"/>
    </xf>
    <xf borderId="10" fillId="2" fontId="14" numFmtId="179" xfId="0" applyAlignment="1" applyBorder="1" applyFont="1" applyNumberFormat="1">
      <alignment horizontal="right" vertical="bottom"/>
    </xf>
    <xf borderId="10" fillId="2" fontId="14" numFmtId="3" xfId="0" applyAlignment="1" applyBorder="1" applyFont="1" applyNumberFormat="1">
      <alignment vertical="bottom"/>
    </xf>
    <xf borderId="10" fillId="0" fontId="14" numFmtId="180" xfId="0" applyAlignment="1" applyBorder="1" applyFont="1" applyNumberFormat="1">
      <alignment horizontal="right" vertical="bottom"/>
    </xf>
    <xf borderId="10" fillId="2" fontId="30" numFmtId="0" xfId="0" applyAlignment="1" applyBorder="1" applyFont="1">
      <alignment vertical="bottom"/>
    </xf>
    <xf borderId="10" fillId="3" fontId="14" numFmtId="0" xfId="0" applyAlignment="1" applyBorder="1" applyFont="1">
      <alignment vertical="bottom"/>
    </xf>
    <xf borderId="10" fillId="2" fontId="19" numFmtId="0" xfId="0" applyAlignment="1" applyBorder="1" applyFont="1">
      <alignment horizontal="center" vertical="bottom"/>
    </xf>
    <xf borderId="10" fillId="2" fontId="14" numFmtId="177" xfId="0" applyAlignment="1" applyBorder="1" applyFont="1" applyNumberFormat="1">
      <alignment horizontal="right" vertical="bottom"/>
    </xf>
    <xf borderId="10" fillId="2" fontId="14" numFmtId="177" xfId="0" applyAlignment="1" applyBorder="1" applyFont="1" applyNumberFormat="1">
      <alignment vertical="bottom"/>
    </xf>
    <xf borderId="10" fillId="0" fontId="14" numFmtId="173" xfId="0" applyAlignment="1" applyBorder="1" applyFont="1" applyNumberFormat="1">
      <alignment horizontal="right" vertical="bottom"/>
    </xf>
    <xf borderId="10" fillId="0" fontId="14" numFmtId="174" xfId="0" applyAlignment="1" applyBorder="1" applyFont="1" applyNumberFormat="1">
      <alignment horizontal="right" vertical="bottom"/>
    </xf>
    <xf borderId="10" fillId="2" fontId="14" numFmtId="0" xfId="0" applyAlignment="1" applyBorder="1" applyFont="1">
      <alignment horizontal="center" vertical="bottom"/>
    </xf>
    <xf borderId="10" fillId="2" fontId="14" numFmtId="0" xfId="0" applyAlignment="1" applyBorder="1" applyFont="1">
      <alignment horizontal="right" vertical="bottom"/>
    </xf>
    <xf borderId="10" fillId="0" fontId="14" numFmtId="177" xfId="0" applyAlignment="1" applyBorder="1" applyFont="1" applyNumberFormat="1">
      <alignment vertical="bottom"/>
    </xf>
    <xf borderId="10" fillId="12" fontId="14" numFmtId="0" xfId="0" applyAlignment="1" applyBorder="1" applyFont="1">
      <alignment vertical="bottom"/>
    </xf>
    <xf borderId="0" fillId="2" fontId="41" numFmtId="0" xfId="0" applyAlignment="1" applyFont="1">
      <alignment vertical="bottom"/>
    </xf>
    <xf borderId="0" fillId="15" fontId="29" numFmtId="0" xfId="0" applyAlignment="1" applyFill="1" applyFont="1">
      <alignment horizontal="center" vertical="bottom"/>
    </xf>
    <xf borderId="0" fillId="0" fontId="14" numFmtId="168" xfId="0" applyAlignment="1" applyFont="1" applyNumberFormat="1">
      <alignment horizontal="right" vertical="bottom"/>
    </xf>
    <xf borderId="0" fillId="14" fontId="14" numFmtId="0" xfId="0" applyAlignment="1" applyFont="1">
      <alignment vertical="bottom"/>
    </xf>
    <xf borderId="0" fillId="0" fontId="14" numFmtId="168" xfId="0" applyAlignment="1" applyFont="1" applyNumberFormat="1">
      <alignment vertical="bottom"/>
    </xf>
    <xf borderId="0" fillId="0" fontId="14" numFmtId="3" xfId="0" applyAlignment="1" applyFont="1" applyNumberFormat="1">
      <alignment vertical="bottom"/>
    </xf>
    <xf borderId="0" fillId="0" fontId="14" numFmtId="181" xfId="0" applyAlignment="1" applyFont="1" applyNumberFormat="1">
      <alignment horizontal="right" vertical="bottom"/>
    </xf>
    <xf borderId="0" fillId="14" fontId="14" numFmtId="0" xfId="0" applyAlignment="1" applyFont="1">
      <alignment horizontal="right" vertical="bottom"/>
    </xf>
    <xf borderId="0" fillId="14" fontId="1" numFmtId="0" xfId="0" applyAlignment="1" applyFont="1">
      <alignment readingOrder="0"/>
    </xf>
    <xf borderId="0" fillId="0" fontId="1" numFmtId="169" xfId="0" applyFont="1" applyNumberFormat="1"/>
    <xf borderId="0" fillId="0" fontId="1" numFmtId="165" xfId="0" applyAlignment="1" applyFont="1" applyNumberFormat="1">
      <alignment readingOrder="0"/>
    </xf>
    <xf borderId="0" fillId="14" fontId="1" numFmtId="165" xfId="0" applyFont="1" applyNumberFormat="1"/>
    <xf borderId="0" fillId="14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4" pivot="0" name="OP RENTA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98" displayName="Form_Responses" name="Form_Responses" id="1">
  <tableColumns count="32">
    <tableColumn name="CONTA " id="1"/>
    <tableColumn name="Marca temporal" id="2"/>
    <tableColumn name="Dirección de correo electrónico" id="3"/>
    <tableColumn name="Tipo de contribuyente" id="4"/>
    <tableColumn name="Razon Social" id="5"/>
    <tableColumn name="Rut de la empresa (si es persona natural repetir rut)" id="6"/>
    <tableColumn name="Clave sii de la empresa" id="7"/>
    <tableColumn name="Periodos a declarar" id="8"/>
    <tableColumn name="¿Tiene contratado algún plan de contabilidad con VSV Consultores?" id="9"/>
    <tableColumn name="Indique el monto de retiros por cada socio de la empresa" id="10"/>
    <tableColumn name="Cuenta con balance" id="11"/>
    <tableColumn name="Tiene libros contables del periodo a declarar ? " id="12"/>
    <tableColumn name="Indique el monto exacto de remuneraciones pagado por trabajador durante todo el 2025" id="13"/>
    <tableColumn name="Si pagó arriendos, indique pago de arriendo mensual, rut del arrendador y rol de la propiedad" id="14"/>
    <tableColumn name="Regimen tributario de la empresa" id="15"/>
    <tableColumn name="Nombre y rut socio 1" id="16"/>
    <tableColumn name="Clave sii socio 1" id="17"/>
    <tableColumn name="Telefono Socio 1" id="18"/>
    <tableColumn name="Mail Socio 1_x000a_" id="19"/>
    <tableColumn name="Nombre y rut socio 2" id="20"/>
    <tableColumn name="clave sii socio 2" id="21"/>
    <tableColumn name="Nombre y rut socio 3" id="22"/>
    <tableColumn name="clave sii socio 3" id="23"/>
    <tableColumn name="Nombre y rut socio  4" id="24"/>
    <tableColumn name="Clave sii socio 4" id="25"/>
    <tableColumn name="Monto de retiro socio 1" id="26"/>
    <tableColumn name="Monto de retiro socio 2 " id="27"/>
    <tableColumn name="Monto de retiro socio 3" id="28"/>
    <tableColumn name="Monto de retiro socio 4" id="29"/>
    <tableColumn name="Si pagó honorarios, indique el monto total pagado durante el año. (si no pagó ponga un $0)" id="30"/>
    <tableColumn name="Columna 1" id="31"/>
    <tableColumn name="Columna 2" id="32"/>
  </tableColumns>
  <tableStyleInfo name="OP RENTA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villalbaf@gmail.com" TargetMode="External"/><Relationship Id="rId2" Type="http://schemas.openxmlformats.org/officeDocument/2006/relationships/hyperlink" Target="mailto:JLMONTERO.SPA@GMAIL.COM" TargetMode="External"/><Relationship Id="rId3" Type="http://schemas.openxmlformats.org/officeDocument/2006/relationships/hyperlink" Target="mailto:marcelosinhuella@gmail.com" TargetMode="External"/><Relationship Id="rId4" Type="http://schemas.openxmlformats.org/officeDocument/2006/relationships/hyperlink" Target="mailto:daisyktbpa@gmail.com" TargetMode="External"/><Relationship Id="rId5" Type="http://schemas.openxmlformats.org/officeDocument/2006/relationships/hyperlink" Target="http://carrepairservice.cl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pvillalbaf@gmail.com" TargetMode="External"/><Relationship Id="rId2" Type="http://schemas.openxmlformats.org/officeDocument/2006/relationships/hyperlink" Target="mailto:JLMONTERO.SPA@GMAIL.COM" TargetMode="External"/><Relationship Id="rId3" Type="http://schemas.openxmlformats.org/officeDocument/2006/relationships/hyperlink" Target="mailto:marcelosinhuella@gmail.com" TargetMode="External"/><Relationship Id="rId4" Type="http://schemas.openxmlformats.org/officeDocument/2006/relationships/hyperlink" Target="mailto:daisyktbpa@gmail.com" TargetMode="External"/><Relationship Id="rId5" Type="http://schemas.openxmlformats.org/officeDocument/2006/relationships/hyperlink" Target="http://carrepairservice.cl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villalbaf@gmail.com" TargetMode="External"/><Relationship Id="rId2" Type="http://schemas.openxmlformats.org/officeDocument/2006/relationships/hyperlink" Target="mailto:JLMONTERO.SPA@GMAIL.COM" TargetMode="External"/><Relationship Id="rId3" Type="http://schemas.openxmlformats.org/officeDocument/2006/relationships/hyperlink" Target="mailto:marcelosinhuella@gmail.com" TargetMode="External"/><Relationship Id="rId4" Type="http://schemas.openxmlformats.org/officeDocument/2006/relationships/hyperlink" Target="mailto:daisyktbpa@gmail.com" TargetMode="External"/><Relationship Id="rId5" Type="http://schemas.openxmlformats.org/officeDocument/2006/relationships/hyperlink" Target="http://carrepairservice.cl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pvillalbaf@gmail.com" TargetMode="External"/><Relationship Id="rId2" Type="http://schemas.openxmlformats.org/officeDocument/2006/relationships/hyperlink" Target="mailto:JLMONTERO.SPA@GMAIL.COM" TargetMode="External"/><Relationship Id="rId3" Type="http://schemas.openxmlformats.org/officeDocument/2006/relationships/hyperlink" Target="mailto:marcelosinhuella@gmail.com" TargetMode="External"/><Relationship Id="rId4" Type="http://schemas.openxmlformats.org/officeDocument/2006/relationships/hyperlink" Target="mailto:daisyktbpa@gmail.com" TargetMode="External"/><Relationship Id="rId5" Type="http://schemas.openxmlformats.org/officeDocument/2006/relationships/hyperlink" Target="http://carrepairservice.cl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8.88"/>
    <col customWidth="1" min="3" max="3" width="27.88"/>
    <col customWidth="1" min="4" max="4" width="21.13"/>
    <col customWidth="1" min="5" max="5" width="18.88"/>
    <col customWidth="1" min="6" max="6" width="17.75"/>
    <col customWidth="1" min="7" max="7" width="22.0"/>
    <col customWidth="1" min="8" max="8" width="19.38"/>
    <col customWidth="1" min="9" max="10" width="37.63"/>
    <col customWidth="1" min="11" max="11" width="19.75"/>
    <col customWidth="1" min="12" max="14" width="37.63"/>
    <col customWidth="1" min="15" max="15" width="29.38"/>
    <col customWidth="1" min="16" max="16" width="20.5"/>
    <col customWidth="1" min="17" max="19" width="18.88"/>
    <col customWidth="1" min="20" max="20" width="20.5"/>
    <col customWidth="1" min="21" max="21" width="18.88"/>
    <col customWidth="1" min="22" max="22" width="20.5"/>
    <col customWidth="1" min="23" max="23" width="18.88"/>
    <col customWidth="1" min="24" max="24" width="20.88"/>
    <col customWidth="1" min="25" max="3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</row>
    <row r="2" ht="22.5" customHeight="1">
      <c r="A2" s="4" t="s">
        <v>32</v>
      </c>
      <c r="B2" s="5">
        <v>46021.5268915625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>
        <v>2025.0</v>
      </c>
      <c r="I2" s="6" t="s">
        <v>38</v>
      </c>
      <c r="J2" s="7"/>
      <c r="K2" s="6" t="s">
        <v>39</v>
      </c>
      <c r="L2" s="6" t="s">
        <v>38</v>
      </c>
      <c r="M2" s="6">
        <v>0.0</v>
      </c>
      <c r="N2" s="6">
        <v>0.0</v>
      </c>
      <c r="O2" s="6" t="s">
        <v>40</v>
      </c>
      <c r="P2" s="6" t="s">
        <v>41</v>
      </c>
      <c r="Q2" s="6" t="s">
        <v>37</v>
      </c>
      <c r="R2" s="6" t="s">
        <v>42</v>
      </c>
      <c r="S2" s="6" t="s">
        <v>43</v>
      </c>
      <c r="T2" s="7"/>
      <c r="U2" s="7"/>
      <c r="V2" s="7"/>
      <c r="W2" s="7"/>
      <c r="X2" s="7"/>
      <c r="Y2" s="7"/>
      <c r="Z2" s="6" t="s">
        <v>44</v>
      </c>
      <c r="AA2" s="7"/>
      <c r="AB2" s="7"/>
      <c r="AC2" s="7"/>
      <c r="AD2" s="7"/>
      <c r="AE2" s="7"/>
      <c r="AF2" s="6" t="s">
        <v>38</v>
      </c>
    </row>
    <row r="3" ht="22.5" customHeight="1">
      <c r="A3" s="4" t="s">
        <v>32</v>
      </c>
      <c r="B3" s="8">
        <v>46027.49488265046</v>
      </c>
      <c r="C3" s="9" t="s">
        <v>45</v>
      </c>
      <c r="D3" s="9" t="s">
        <v>34</v>
      </c>
      <c r="E3" s="9" t="s">
        <v>46</v>
      </c>
      <c r="F3" s="9" t="s">
        <v>47</v>
      </c>
      <c r="G3" s="9" t="s">
        <v>48</v>
      </c>
      <c r="H3" s="9">
        <v>2025.0</v>
      </c>
      <c r="I3" s="9" t="s">
        <v>38</v>
      </c>
      <c r="K3" s="9" t="s">
        <v>49</v>
      </c>
      <c r="L3" s="9" t="s">
        <v>50</v>
      </c>
      <c r="M3" s="9">
        <v>0.0</v>
      </c>
      <c r="N3" s="9" t="s">
        <v>49</v>
      </c>
      <c r="O3" s="9" t="s">
        <v>51</v>
      </c>
      <c r="P3" s="9" t="s">
        <v>52</v>
      </c>
      <c r="Q3" s="9" t="s">
        <v>53</v>
      </c>
      <c r="R3" s="9">
        <v>9.98245867E8</v>
      </c>
      <c r="S3" s="9" t="s">
        <v>54</v>
      </c>
      <c r="T3" s="9" t="s">
        <v>55</v>
      </c>
      <c r="Z3" s="9" t="s">
        <v>56</v>
      </c>
      <c r="AA3" s="9" t="s">
        <v>56</v>
      </c>
      <c r="AE3" s="7"/>
      <c r="AF3" s="6" t="s">
        <v>38</v>
      </c>
    </row>
    <row r="4" ht="22.5" customHeight="1">
      <c r="A4" s="4" t="s">
        <v>32</v>
      </c>
      <c r="B4" s="8">
        <v>46028.31975351852</v>
      </c>
      <c r="C4" s="9" t="s">
        <v>57</v>
      </c>
      <c r="D4" s="9" t="s">
        <v>34</v>
      </c>
      <c r="E4" s="9" t="s">
        <v>58</v>
      </c>
      <c r="F4" s="9" t="s">
        <v>59</v>
      </c>
      <c r="G4" s="9" t="s">
        <v>60</v>
      </c>
      <c r="H4" s="9">
        <v>2025.0</v>
      </c>
      <c r="I4" s="9" t="s">
        <v>38</v>
      </c>
      <c r="K4" s="9" t="s">
        <v>39</v>
      </c>
      <c r="L4" s="9" t="s">
        <v>38</v>
      </c>
      <c r="M4" s="9">
        <v>0.0</v>
      </c>
      <c r="N4" s="9">
        <v>0.0</v>
      </c>
      <c r="O4" s="9" t="s">
        <v>51</v>
      </c>
      <c r="P4" s="9" t="s">
        <v>61</v>
      </c>
      <c r="Q4" s="9" t="s">
        <v>62</v>
      </c>
      <c r="R4" s="9">
        <v>9.8868577E8</v>
      </c>
      <c r="S4" s="9" t="s">
        <v>63</v>
      </c>
      <c r="Z4" s="9">
        <v>0.0</v>
      </c>
      <c r="AD4" s="9">
        <v>0.0</v>
      </c>
      <c r="AE4" s="10"/>
      <c r="AF4" s="6" t="s">
        <v>64</v>
      </c>
    </row>
    <row r="5" ht="22.5" customHeight="1">
      <c r="A5" s="4" t="s">
        <v>32</v>
      </c>
      <c r="B5" s="8">
        <v>46028.46139697917</v>
      </c>
      <c r="C5" s="9" t="s">
        <v>65</v>
      </c>
      <c r="D5" s="9" t="s">
        <v>34</v>
      </c>
      <c r="E5" s="9" t="s">
        <v>66</v>
      </c>
      <c r="F5" s="9" t="s">
        <v>67</v>
      </c>
      <c r="G5" s="9" t="s">
        <v>68</v>
      </c>
      <c r="H5" s="9">
        <v>2025.0</v>
      </c>
      <c r="I5" s="9" t="s">
        <v>38</v>
      </c>
      <c r="K5" s="9" t="s">
        <v>49</v>
      </c>
      <c r="L5" s="9" t="s">
        <v>50</v>
      </c>
      <c r="M5" s="9" t="s">
        <v>69</v>
      </c>
      <c r="N5" s="9" t="s">
        <v>69</v>
      </c>
      <c r="O5" s="9" t="s">
        <v>51</v>
      </c>
      <c r="P5" s="9" t="s">
        <v>70</v>
      </c>
      <c r="Q5" s="9" t="s">
        <v>71</v>
      </c>
      <c r="R5" s="9" t="s">
        <v>72</v>
      </c>
      <c r="S5" s="9" t="s">
        <v>65</v>
      </c>
      <c r="Z5" s="9" t="s">
        <v>69</v>
      </c>
      <c r="AD5" s="9" t="s">
        <v>69</v>
      </c>
      <c r="AE5" s="10"/>
      <c r="AF5" s="6" t="s">
        <v>38</v>
      </c>
    </row>
    <row r="6" ht="22.5" customHeight="1">
      <c r="A6" s="4" t="s">
        <v>32</v>
      </c>
      <c r="B6" s="8">
        <v>46029.72392856481</v>
      </c>
      <c r="C6" s="9" t="s">
        <v>73</v>
      </c>
      <c r="D6" s="9" t="s">
        <v>34</v>
      </c>
      <c r="E6" s="9" t="s">
        <v>74</v>
      </c>
      <c r="F6" s="9" t="s">
        <v>75</v>
      </c>
      <c r="G6" s="9" t="s">
        <v>76</v>
      </c>
      <c r="H6" s="9">
        <v>2025.0</v>
      </c>
      <c r="I6" s="9" t="s">
        <v>38</v>
      </c>
      <c r="K6" s="9" t="s">
        <v>49</v>
      </c>
      <c r="L6" s="9" t="s">
        <v>50</v>
      </c>
      <c r="M6" s="9">
        <v>0.0</v>
      </c>
      <c r="N6" s="9" t="s">
        <v>77</v>
      </c>
      <c r="O6" s="9" t="s">
        <v>78</v>
      </c>
      <c r="P6" s="9" t="s">
        <v>79</v>
      </c>
      <c r="Q6" s="9" t="s">
        <v>80</v>
      </c>
      <c r="R6" s="9" t="s">
        <v>81</v>
      </c>
      <c r="S6" s="9" t="s">
        <v>73</v>
      </c>
      <c r="Z6" s="9" t="s">
        <v>82</v>
      </c>
      <c r="AD6" s="9">
        <v>150.0</v>
      </c>
      <c r="AE6" s="10"/>
      <c r="AF6" s="6" t="s">
        <v>38</v>
      </c>
    </row>
    <row r="7" ht="22.5" customHeight="1">
      <c r="A7" s="4" t="s">
        <v>32</v>
      </c>
      <c r="B7" s="8">
        <v>46036.584348715274</v>
      </c>
      <c r="C7" s="9" t="s">
        <v>83</v>
      </c>
      <c r="D7" s="9" t="s">
        <v>34</v>
      </c>
      <c r="E7" s="9" t="s">
        <v>84</v>
      </c>
      <c r="F7" s="9" t="s">
        <v>85</v>
      </c>
      <c r="G7" s="9" t="s">
        <v>86</v>
      </c>
      <c r="H7" s="9">
        <v>2025.0</v>
      </c>
      <c r="I7" s="9" t="s">
        <v>38</v>
      </c>
      <c r="K7" s="9" t="s">
        <v>39</v>
      </c>
      <c r="L7" s="9" t="s">
        <v>38</v>
      </c>
      <c r="M7" s="9">
        <v>0.0</v>
      </c>
      <c r="N7" s="9" t="s">
        <v>49</v>
      </c>
      <c r="O7" s="9" t="s">
        <v>78</v>
      </c>
      <c r="Q7" s="9" t="s">
        <v>49</v>
      </c>
      <c r="R7" s="9" t="s">
        <v>49</v>
      </c>
      <c r="S7" s="9" t="s">
        <v>49</v>
      </c>
      <c r="T7" s="9" t="s">
        <v>49</v>
      </c>
      <c r="U7" s="9" t="s">
        <v>49</v>
      </c>
      <c r="V7" s="9" t="s">
        <v>49</v>
      </c>
      <c r="W7" s="9" t="s">
        <v>49</v>
      </c>
      <c r="X7" s="9" t="s">
        <v>49</v>
      </c>
      <c r="Y7" s="9" t="s">
        <v>49</v>
      </c>
      <c r="Z7" s="9" t="s">
        <v>49</v>
      </c>
      <c r="AA7" s="9" t="s">
        <v>49</v>
      </c>
      <c r="AB7" s="9" t="s">
        <v>49</v>
      </c>
      <c r="AC7" s="9" t="s">
        <v>49</v>
      </c>
      <c r="AD7" s="9">
        <v>0.0</v>
      </c>
      <c r="AE7" s="10"/>
      <c r="AF7" s="6" t="s">
        <v>38</v>
      </c>
    </row>
    <row r="8" ht="22.5" customHeight="1">
      <c r="A8" s="4" t="s">
        <v>32</v>
      </c>
      <c r="B8" s="8">
        <v>46038.468884525464</v>
      </c>
      <c r="C8" s="9" t="s">
        <v>87</v>
      </c>
      <c r="D8" s="9" t="s">
        <v>34</v>
      </c>
      <c r="E8" s="9" t="s">
        <v>88</v>
      </c>
      <c r="F8" s="9" t="s">
        <v>89</v>
      </c>
      <c r="G8" s="9" t="s">
        <v>90</v>
      </c>
      <c r="H8" s="9">
        <v>2025.0</v>
      </c>
      <c r="I8" s="9" t="s">
        <v>38</v>
      </c>
      <c r="K8" s="9" t="s">
        <v>39</v>
      </c>
      <c r="L8" s="9" t="s">
        <v>38</v>
      </c>
      <c r="M8" s="9">
        <v>0.0</v>
      </c>
      <c r="N8" s="9">
        <v>0.0</v>
      </c>
      <c r="O8" s="9" t="s">
        <v>51</v>
      </c>
      <c r="P8" s="9" t="s">
        <v>91</v>
      </c>
      <c r="Q8" s="9" t="s">
        <v>92</v>
      </c>
      <c r="R8" s="9">
        <v>9.71618589E8</v>
      </c>
      <c r="S8" s="9" t="s">
        <v>93</v>
      </c>
      <c r="T8" s="9" t="s">
        <v>94</v>
      </c>
      <c r="U8" s="9" t="s">
        <v>95</v>
      </c>
      <c r="Z8" s="9">
        <v>0.0</v>
      </c>
      <c r="AA8" s="9">
        <v>0.0</v>
      </c>
      <c r="AD8" s="9">
        <v>0.0</v>
      </c>
      <c r="AE8" s="10"/>
      <c r="AF8" s="6" t="s">
        <v>38</v>
      </c>
    </row>
    <row r="9" ht="22.5" customHeight="1">
      <c r="A9" s="4" t="s">
        <v>32</v>
      </c>
      <c r="B9" s="8">
        <v>46040.66557195602</v>
      </c>
      <c r="C9" s="9" t="s">
        <v>96</v>
      </c>
      <c r="D9" s="9" t="s">
        <v>34</v>
      </c>
      <c r="E9" s="9" t="s">
        <v>97</v>
      </c>
      <c r="F9" s="9" t="s">
        <v>98</v>
      </c>
      <c r="G9" s="9" t="s">
        <v>99</v>
      </c>
      <c r="H9" s="9">
        <v>2025.0</v>
      </c>
      <c r="I9" s="9" t="s">
        <v>38</v>
      </c>
      <c r="K9" s="9" t="s">
        <v>39</v>
      </c>
      <c r="L9" s="9" t="s">
        <v>38</v>
      </c>
      <c r="M9" s="9">
        <v>5400000.0</v>
      </c>
      <c r="N9" s="9">
        <v>0.0</v>
      </c>
      <c r="O9" s="9" t="s">
        <v>78</v>
      </c>
      <c r="P9" s="9" t="s">
        <v>100</v>
      </c>
      <c r="Q9" s="9" t="s">
        <v>101</v>
      </c>
      <c r="R9" s="9">
        <v>9.40115689E8</v>
      </c>
      <c r="S9" s="9" t="s">
        <v>102</v>
      </c>
      <c r="Z9" s="9">
        <v>0.0</v>
      </c>
      <c r="AD9" s="9">
        <v>0.0</v>
      </c>
      <c r="AE9" s="10"/>
      <c r="AF9" s="6" t="s">
        <v>38</v>
      </c>
    </row>
    <row r="10" ht="22.5" customHeight="1">
      <c r="A10" s="11" t="s">
        <v>103</v>
      </c>
      <c r="B10" s="8">
        <v>46041.59058775463</v>
      </c>
      <c r="C10" s="9" t="s">
        <v>104</v>
      </c>
      <c r="D10" s="9" t="s">
        <v>34</v>
      </c>
      <c r="E10" s="9" t="s">
        <v>105</v>
      </c>
      <c r="F10" s="9" t="s">
        <v>106</v>
      </c>
      <c r="G10" s="9" t="s">
        <v>107</v>
      </c>
      <c r="H10" s="9">
        <v>2025.0</v>
      </c>
      <c r="I10" s="9" t="s">
        <v>50</v>
      </c>
      <c r="K10" s="9" t="s">
        <v>49</v>
      </c>
      <c r="L10" s="9" t="s">
        <v>50</v>
      </c>
      <c r="M10" s="9">
        <v>0.0</v>
      </c>
      <c r="N10" s="9" t="s">
        <v>49</v>
      </c>
      <c r="O10" s="9" t="s">
        <v>78</v>
      </c>
      <c r="P10" s="9">
        <v>2.62755916E8</v>
      </c>
      <c r="Q10" s="9" t="s">
        <v>108</v>
      </c>
      <c r="R10" s="9">
        <v>9.86484566E8</v>
      </c>
      <c r="S10" s="9" t="s">
        <v>104</v>
      </c>
      <c r="Z10" s="9" t="s">
        <v>109</v>
      </c>
      <c r="AD10" s="9">
        <v>0.0</v>
      </c>
      <c r="AE10" s="10"/>
      <c r="AF10" s="6" t="s">
        <v>38</v>
      </c>
    </row>
    <row r="11" ht="22.5" customHeight="1">
      <c r="A11" s="11" t="s">
        <v>32</v>
      </c>
      <c r="B11" s="8">
        <v>46042.53482289352</v>
      </c>
      <c r="C11" s="9" t="s">
        <v>110</v>
      </c>
      <c r="D11" s="9" t="s">
        <v>34</v>
      </c>
      <c r="E11" s="9" t="s">
        <v>111</v>
      </c>
      <c r="F11" s="9" t="s">
        <v>112</v>
      </c>
      <c r="G11" s="9" t="s">
        <v>113</v>
      </c>
      <c r="H11" s="9">
        <v>2025.0</v>
      </c>
      <c r="I11" s="9" t="s">
        <v>38</v>
      </c>
      <c r="K11" s="9" t="s">
        <v>49</v>
      </c>
      <c r="L11" s="9" t="s">
        <v>50</v>
      </c>
      <c r="M11" s="9">
        <v>0.0</v>
      </c>
      <c r="N11" s="9">
        <v>0.0</v>
      </c>
      <c r="O11" s="9" t="s">
        <v>78</v>
      </c>
      <c r="P11" s="9" t="s">
        <v>114</v>
      </c>
      <c r="Q11" s="9" t="s">
        <v>115</v>
      </c>
      <c r="R11" s="9">
        <v>9.48475949E8</v>
      </c>
      <c r="S11" s="9" t="s">
        <v>110</v>
      </c>
      <c r="Z11" s="9">
        <v>500000.0</v>
      </c>
      <c r="AD11" s="9">
        <v>0.0</v>
      </c>
      <c r="AE11" s="10"/>
      <c r="AF11" s="6" t="s">
        <v>50</v>
      </c>
    </row>
    <row r="12" ht="22.5" customHeight="1">
      <c r="A12" s="11" t="s">
        <v>32</v>
      </c>
      <c r="B12" s="8">
        <v>46045.692199513884</v>
      </c>
      <c r="C12" s="9" t="s">
        <v>116</v>
      </c>
      <c r="D12" s="9" t="s">
        <v>34</v>
      </c>
      <c r="E12" s="9" t="s">
        <v>117</v>
      </c>
      <c r="F12" s="9" t="s">
        <v>118</v>
      </c>
      <c r="G12" s="9" t="s">
        <v>119</v>
      </c>
      <c r="H12" s="9">
        <v>2025.0</v>
      </c>
      <c r="I12" s="9" t="s">
        <v>38</v>
      </c>
      <c r="K12" s="9" t="s">
        <v>39</v>
      </c>
      <c r="L12" s="9" t="s">
        <v>38</v>
      </c>
      <c r="M12" s="9" t="s">
        <v>120</v>
      </c>
      <c r="N12" s="9" t="s">
        <v>121</v>
      </c>
      <c r="O12" s="9" t="s">
        <v>51</v>
      </c>
      <c r="P12" s="9" t="s">
        <v>122</v>
      </c>
      <c r="Q12" s="9" t="s">
        <v>119</v>
      </c>
      <c r="R12" s="9">
        <v>9.86684042E8</v>
      </c>
      <c r="S12" s="9" t="s">
        <v>123</v>
      </c>
      <c r="T12" s="9" t="s">
        <v>124</v>
      </c>
      <c r="U12" s="9" t="s">
        <v>125</v>
      </c>
      <c r="Z12" s="9" t="s">
        <v>109</v>
      </c>
      <c r="AD12" s="9" t="s">
        <v>126</v>
      </c>
      <c r="AE12" s="10"/>
      <c r="AF12" s="6" t="s">
        <v>38</v>
      </c>
    </row>
    <row r="13" ht="22.5" customHeight="1">
      <c r="A13" s="11" t="s">
        <v>32</v>
      </c>
      <c r="B13" s="8">
        <v>46050.80790215278</v>
      </c>
      <c r="C13" s="9" t="s">
        <v>127</v>
      </c>
      <c r="D13" s="9" t="s">
        <v>34</v>
      </c>
      <c r="E13" s="9" t="s">
        <v>128</v>
      </c>
      <c r="F13" s="9" t="s">
        <v>129</v>
      </c>
      <c r="G13" s="9" t="s">
        <v>130</v>
      </c>
      <c r="H13" s="9">
        <v>2025.0</v>
      </c>
      <c r="I13" s="9" t="s">
        <v>38</v>
      </c>
      <c r="K13" s="9" t="s">
        <v>49</v>
      </c>
      <c r="L13" s="9" t="s">
        <v>38</v>
      </c>
      <c r="M13" s="9" t="s">
        <v>131</v>
      </c>
      <c r="N13" s="9" t="s">
        <v>132</v>
      </c>
      <c r="O13" s="9" t="s">
        <v>51</v>
      </c>
      <c r="P13" s="9" t="s">
        <v>133</v>
      </c>
      <c r="Q13" s="9" t="s">
        <v>134</v>
      </c>
      <c r="R13" s="9" t="s">
        <v>135</v>
      </c>
      <c r="S13" s="9" t="s">
        <v>127</v>
      </c>
      <c r="Z13" s="9" t="s">
        <v>136</v>
      </c>
      <c r="AD13" s="9" t="s">
        <v>137</v>
      </c>
      <c r="AE13" s="10"/>
      <c r="AF13" s="6" t="s">
        <v>38</v>
      </c>
    </row>
    <row r="14" ht="22.5" customHeight="1">
      <c r="A14" s="11" t="s">
        <v>32</v>
      </c>
      <c r="B14" s="8">
        <v>46051.44865396991</v>
      </c>
      <c r="C14" s="9" t="s">
        <v>138</v>
      </c>
      <c r="D14" s="9" t="s">
        <v>34</v>
      </c>
      <c r="E14" s="9" t="s">
        <v>139</v>
      </c>
      <c r="F14" s="9" t="s">
        <v>140</v>
      </c>
      <c r="G14" s="9" t="s">
        <v>141</v>
      </c>
      <c r="H14" s="9">
        <v>2025.0</v>
      </c>
      <c r="I14" s="9" t="s">
        <v>38</v>
      </c>
      <c r="K14" s="9" t="s">
        <v>49</v>
      </c>
      <c r="L14" s="9" t="s">
        <v>50</v>
      </c>
      <c r="M14" s="9">
        <v>0.0</v>
      </c>
      <c r="N14" s="9">
        <v>0.0</v>
      </c>
      <c r="O14" s="9" t="s">
        <v>78</v>
      </c>
      <c r="P14" s="9" t="s">
        <v>142</v>
      </c>
      <c r="Q14" s="9" t="s">
        <v>143</v>
      </c>
      <c r="R14" s="9">
        <v>9.62783758E8</v>
      </c>
      <c r="S14" s="9" t="s">
        <v>144</v>
      </c>
      <c r="Z14" s="9">
        <v>2500000.0</v>
      </c>
      <c r="AD14" s="9">
        <v>0.0</v>
      </c>
      <c r="AE14" s="10"/>
      <c r="AF14" s="6" t="s">
        <v>38</v>
      </c>
    </row>
    <row r="15" ht="22.5" customHeight="1">
      <c r="A15" s="11" t="s">
        <v>32</v>
      </c>
      <c r="B15" s="8">
        <v>46051.4938114699</v>
      </c>
      <c r="C15" s="9" t="s">
        <v>145</v>
      </c>
      <c r="D15" s="9" t="s">
        <v>34</v>
      </c>
      <c r="E15" s="9" t="s">
        <v>146</v>
      </c>
      <c r="F15" s="9" t="s">
        <v>147</v>
      </c>
      <c r="G15" s="9" t="s">
        <v>148</v>
      </c>
      <c r="H15" s="9">
        <v>2024.0</v>
      </c>
      <c r="I15" s="9" t="s">
        <v>38</v>
      </c>
      <c r="K15" s="9" t="s">
        <v>49</v>
      </c>
      <c r="L15" s="9" t="s">
        <v>50</v>
      </c>
      <c r="M15" s="9">
        <v>0.0</v>
      </c>
      <c r="N15" s="9">
        <v>0.0</v>
      </c>
      <c r="O15" s="9" t="s">
        <v>78</v>
      </c>
      <c r="P15" s="9" t="s">
        <v>149</v>
      </c>
      <c r="Q15" s="9" t="s">
        <v>148</v>
      </c>
      <c r="R15" s="9">
        <v>9.34043915E8</v>
      </c>
      <c r="S15" s="9" t="s">
        <v>150</v>
      </c>
      <c r="Z15" s="9" t="s">
        <v>151</v>
      </c>
      <c r="AD15" s="9">
        <v>0.0</v>
      </c>
      <c r="AE15" s="10"/>
      <c r="AF15" s="6" t="s">
        <v>38</v>
      </c>
    </row>
    <row r="16" ht="22.5" customHeight="1">
      <c r="A16" s="11" t="s">
        <v>32</v>
      </c>
      <c r="B16" s="8">
        <v>46051.67097611111</v>
      </c>
      <c r="C16" s="9" t="s">
        <v>152</v>
      </c>
      <c r="D16" s="9" t="s">
        <v>34</v>
      </c>
      <c r="E16" s="9" t="s">
        <v>153</v>
      </c>
      <c r="F16" s="9" t="s">
        <v>154</v>
      </c>
      <c r="G16" s="9" t="s">
        <v>155</v>
      </c>
      <c r="H16" s="9">
        <v>2025.0</v>
      </c>
      <c r="I16" s="9" t="s">
        <v>38</v>
      </c>
      <c r="K16" s="9" t="s">
        <v>49</v>
      </c>
      <c r="L16" s="9" t="s">
        <v>50</v>
      </c>
      <c r="M16" s="9" t="s">
        <v>156</v>
      </c>
      <c r="N16" s="9" t="s">
        <v>157</v>
      </c>
      <c r="O16" s="9" t="s">
        <v>78</v>
      </c>
      <c r="Q16" s="9" t="s">
        <v>158</v>
      </c>
      <c r="R16" s="9" t="s">
        <v>159</v>
      </c>
      <c r="S16" s="9" t="s">
        <v>160</v>
      </c>
      <c r="Z16" s="9">
        <v>0.0</v>
      </c>
      <c r="AD16" s="9" t="s">
        <v>161</v>
      </c>
      <c r="AE16" s="10"/>
      <c r="AF16" s="6" t="s">
        <v>38</v>
      </c>
    </row>
    <row r="17" ht="22.5" customHeight="1">
      <c r="A17" s="11" t="s">
        <v>32</v>
      </c>
      <c r="B17" s="8">
        <v>46052.930737546296</v>
      </c>
      <c r="C17" s="9" t="s">
        <v>162</v>
      </c>
      <c r="D17" s="9" t="s">
        <v>34</v>
      </c>
      <c r="E17" s="9" t="s">
        <v>163</v>
      </c>
      <c r="F17" s="9" t="s">
        <v>164</v>
      </c>
      <c r="G17" s="9" t="s">
        <v>165</v>
      </c>
      <c r="K17" s="9" t="s">
        <v>39</v>
      </c>
      <c r="L17" s="9" t="s">
        <v>38</v>
      </c>
      <c r="M17" s="9">
        <v>0.0</v>
      </c>
      <c r="N17" s="9">
        <v>0.0</v>
      </c>
      <c r="O17" s="9" t="s">
        <v>78</v>
      </c>
      <c r="P17" s="9" t="s">
        <v>166</v>
      </c>
      <c r="Q17" s="9" t="s">
        <v>167</v>
      </c>
      <c r="R17" s="9" t="s">
        <v>168</v>
      </c>
      <c r="S17" s="9" t="s">
        <v>169</v>
      </c>
      <c r="Z17" s="9">
        <v>0.0</v>
      </c>
      <c r="AD17" s="9">
        <v>0.0</v>
      </c>
      <c r="AE17" s="10"/>
      <c r="AF17" s="6" t="s">
        <v>38</v>
      </c>
    </row>
    <row r="18" ht="22.5" customHeight="1">
      <c r="A18" s="11" t="s">
        <v>32</v>
      </c>
      <c r="B18" s="8">
        <v>46055.64026027778</v>
      </c>
      <c r="C18" s="9" t="s">
        <v>170</v>
      </c>
      <c r="D18" s="9" t="s">
        <v>34</v>
      </c>
      <c r="E18" s="9" t="s">
        <v>171</v>
      </c>
      <c r="F18" s="9" t="s">
        <v>172</v>
      </c>
      <c r="G18" s="9" t="s">
        <v>173</v>
      </c>
      <c r="H18" s="9">
        <v>2025.0</v>
      </c>
      <c r="I18" s="9" t="s">
        <v>38</v>
      </c>
      <c r="K18" s="9" t="s">
        <v>49</v>
      </c>
      <c r="L18" s="9" t="s">
        <v>50</v>
      </c>
      <c r="M18" s="9" t="s">
        <v>174</v>
      </c>
      <c r="N18" s="9">
        <v>0.0</v>
      </c>
      <c r="O18" s="9" t="s">
        <v>78</v>
      </c>
      <c r="P18" s="9" t="s">
        <v>175</v>
      </c>
      <c r="Q18" s="9">
        <v>2806.0</v>
      </c>
      <c r="R18" s="9">
        <v>9.63193336E8</v>
      </c>
      <c r="S18" s="9" t="s">
        <v>176</v>
      </c>
      <c r="T18" s="9" t="s">
        <v>177</v>
      </c>
      <c r="U18" s="9" t="s">
        <v>178</v>
      </c>
      <c r="Z18" s="9">
        <v>0.0</v>
      </c>
      <c r="AA18" s="9">
        <v>0.0</v>
      </c>
      <c r="AD18" s="9">
        <v>0.0</v>
      </c>
      <c r="AE18" s="10"/>
      <c r="AF18" s="6" t="s">
        <v>50</v>
      </c>
    </row>
    <row r="19" ht="22.5" customHeight="1">
      <c r="A19" s="11" t="s">
        <v>32</v>
      </c>
      <c r="B19" s="8">
        <v>46056.515010752315</v>
      </c>
      <c r="C19" s="9" t="s">
        <v>179</v>
      </c>
      <c r="D19" s="9" t="s">
        <v>34</v>
      </c>
      <c r="E19" s="9" t="s">
        <v>180</v>
      </c>
      <c r="F19" s="9" t="s">
        <v>181</v>
      </c>
      <c r="G19" s="9" t="s">
        <v>182</v>
      </c>
      <c r="H19" s="9">
        <v>2025.0</v>
      </c>
      <c r="I19" s="9" t="s">
        <v>38</v>
      </c>
      <c r="K19" s="9" t="s">
        <v>49</v>
      </c>
      <c r="L19" s="9" t="s">
        <v>50</v>
      </c>
      <c r="M19" s="9" t="s">
        <v>49</v>
      </c>
      <c r="N19" s="9">
        <v>620000.0</v>
      </c>
      <c r="O19" s="9" t="s">
        <v>78</v>
      </c>
      <c r="Q19" s="9" t="s">
        <v>49</v>
      </c>
      <c r="R19" s="9" t="s">
        <v>49</v>
      </c>
      <c r="S19" s="9" t="s">
        <v>49</v>
      </c>
      <c r="Z19" s="9" t="s">
        <v>49</v>
      </c>
      <c r="AD19" s="9" t="s">
        <v>49</v>
      </c>
      <c r="AE19" s="10"/>
      <c r="AF19" s="6" t="s">
        <v>38</v>
      </c>
    </row>
    <row r="20" ht="22.5" customHeight="1">
      <c r="A20" s="11" t="s">
        <v>32</v>
      </c>
      <c r="B20" s="8">
        <v>46056.65410422454</v>
      </c>
      <c r="C20" s="9" t="s">
        <v>183</v>
      </c>
      <c r="D20" s="9" t="s">
        <v>34</v>
      </c>
      <c r="E20" s="9" t="s">
        <v>184</v>
      </c>
      <c r="F20" s="9" t="s">
        <v>185</v>
      </c>
      <c r="G20" s="9" t="s">
        <v>186</v>
      </c>
      <c r="H20" s="9">
        <v>2025.0</v>
      </c>
      <c r="I20" s="9" t="s">
        <v>38</v>
      </c>
      <c r="K20" s="9" t="s">
        <v>39</v>
      </c>
      <c r="L20" s="9" t="s">
        <v>38</v>
      </c>
      <c r="M20" s="9">
        <v>0.0</v>
      </c>
      <c r="N20" s="9">
        <v>0.0</v>
      </c>
      <c r="O20" s="9" t="s">
        <v>78</v>
      </c>
      <c r="P20" s="9" t="s">
        <v>187</v>
      </c>
      <c r="Q20" s="9" t="s">
        <v>188</v>
      </c>
      <c r="R20" s="9">
        <v>9.7196671E8</v>
      </c>
      <c r="S20" s="9" t="s">
        <v>183</v>
      </c>
      <c r="Z20" s="9">
        <v>0.0</v>
      </c>
      <c r="AD20" s="9">
        <v>0.0</v>
      </c>
      <c r="AE20" s="10"/>
      <c r="AF20" s="6" t="s">
        <v>38</v>
      </c>
    </row>
    <row r="21" ht="22.5" customHeight="1">
      <c r="A21" s="11" t="s">
        <v>32</v>
      </c>
      <c r="B21" s="8">
        <v>46057.53569372685</v>
      </c>
      <c r="C21" s="9" t="s">
        <v>189</v>
      </c>
      <c r="D21" s="9" t="s">
        <v>34</v>
      </c>
      <c r="E21" s="9" t="s">
        <v>190</v>
      </c>
      <c r="F21" s="9" t="s">
        <v>191</v>
      </c>
      <c r="G21" s="9" t="s">
        <v>192</v>
      </c>
      <c r="H21" s="9">
        <v>2025.0</v>
      </c>
      <c r="I21" s="9" t="s">
        <v>38</v>
      </c>
      <c r="K21" s="9" t="s">
        <v>39</v>
      </c>
      <c r="L21" s="9" t="s">
        <v>38</v>
      </c>
      <c r="M21" s="9">
        <v>0.0</v>
      </c>
      <c r="N21" s="9">
        <v>0.0</v>
      </c>
      <c r="O21" s="9" t="s">
        <v>78</v>
      </c>
      <c r="P21" s="9" t="s">
        <v>193</v>
      </c>
      <c r="Q21" s="9" t="s">
        <v>192</v>
      </c>
      <c r="R21" s="9">
        <v>9.56511643E8</v>
      </c>
      <c r="S21" s="9" t="s">
        <v>189</v>
      </c>
      <c r="Z21" s="9">
        <v>0.0</v>
      </c>
      <c r="AD21" s="9">
        <v>0.0</v>
      </c>
      <c r="AE21" s="10"/>
      <c r="AF21" s="6" t="s">
        <v>38</v>
      </c>
    </row>
    <row r="22" ht="22.5" customHeight="1">
      <c r="A22" s="11" t="s">
        <v>32</v>
      </c>
      <c r="B22" s="8">
        <v>46059.59066806713</v>
      </c>
      <c r="C22" s="9" t="s">
        <v>194</v>
      </c>
      <c r="D22" s="9" t="s">
        <v>34</v>
      </c>
      <c r="E22" s="9" t="s">
        <v>195</v>
      </c>
      <c r="F22" s="9" t="s">
        <v>196</v>
      </c>
      <c r="G22" s="9" t="s">
        <v>197</v>
      </c>
      <c r="H22" s="9">
        <v>2025.0</v>
      </c>
      <c r="I22" s="9" t="s">
        <v>38</v>
      </c>
      <c r="K22" s="9" t="s">
        <v>49</v>
      </c>
      <c r="L22" s="9" t="s">
        <v>50</v>
      </c>
      <c r="M22" s="9">
        <v>0.0</v>
      </c>
      <c r="N22" s="9" t="s">
        <v>198</v>
      </c>
      <c r="O22" s="9" t="s">
        <v>78</v>
      </c>
      <c r="P22" s="9" t="s">
        <v>199</v>
      </c>
      <c r="Q22" s="9" t="s">
        <v>200</v>
      </c>
      <c r="R22" s="9">
        <v>9.8744273E7</v>
      </c>
      <c r="S22" s="9" t="s">
        <v>194</v>
      </c>
      <c r="T22" s="9" t="s">
        <v>201</v>
      </c>
      <c r="Z22" s="9">
        <v>0.0</v>
      </c>
      <c r="AA22" s="9">
        <v>0.0</v>
      </c>
      <c r="AD22" s="9">
        <v>0.0</v>
      </c>
      <c r="AE22" s="10"/>
      <c r="AF22" s="6" t="s">
        <v>64</v>
      </c>
    </row>
    <row r="23" ht="22.5" customHeight="1">
      <c r="A23" s="11" t="s">
        <v>32</v>
      </c>
      <c r="B23" s="8">
        <v>46062.472310428246</v>
      </c>
      <c r="C23" s="9" t="s">
        <v>202</v>
      </c>
      <c r="D23" s="9" t="s">
        <v>34</v>
      </c>
      <c r="E23" s="9" t="s">
        <v>203</v>
      </c>
      <c r="F23" s="9" t="s">
        <v>204</v>
      </c>
      <c r="G23" s="9" t="s">
        <v>205</v>
      </c>
      <c r="H23" s="9">
        <v>2025.0</v>
      </c>
      <c r="I23" s="9" t="s">
        <v>38</v>
      </c>
      <c r="K23" s="9" t="s">
        <v>49</v>
      </c>
      <c r="L23" s="9" t="s">
        <v>50</v>
      </c>
      <c r="M23" s="9">
        <v>0.0</v>
      </c>
      <c r="N23" s="9" t="s">
        <v>206</v>
      </c>
      <c r="O23" s="9" t="s">
        <v>78</v>
      </c>
      <c r="P23" s="9" t="s">
        <v>207</v>
      </c>
      <c r="Q23" s="9" t="s">
        <v>205</v>
      </c>
      <c r="R23" s="9">
        <v>9.75134808E8</v>
      </c>
      <c r="S23" s="9" t="s">
        <v>208</v>
      </c>
      <c r="Z23" s="9">
        <v>0.0</v>
      </c>
      <c r="AD23" s="9">
        <v>0.0</v>
      </c>
      <c r="AE23" s="10"/>
      <c r="AF23" s="6" t="s">
        <v>209</v>
      </c>
    </row>
    <row r="24" ht="22.5" customHeight="1">
      <c r="A24" s="11" t="s">
        <v>32</v>
      </c>
      <c r="B24" s="8">
        <v>46064.51529590278</v>
      </c>
      <c r="C24" s="9" t="s">
        <v>210</v>
      </c>
      <c r="D24" s="9" t="s">
        <v>34</v>
      </c>
      <c r="E24" s="9" t="s">
        <v>211</v>
      </c>
      <c r="F24" s="9" t="s">
        <v>212</v>
      </c>
      <c r="G24" s="9" t="s">
        <v>213</v>
      </c>
      <c r="H24" s="9">
        <v>2025.0</v>
      </c>
      <c r="I24" s="9" t="s">
        <v>38</v>
      </c>
      <c r="K24" s="9" t="s">
        <v>39</v>
      </c>
      <c r="L24" s="9" t="s">
        <v>38</v>
      </c>
      <c r="M24" s="12">
        <v>0.0</v>
      </c>
      <c r="N24" s="9" t="s">
        <v>214</v>
      </c>
      <c r="O24" s="9" t="s">
        <v>51</v>
      </c>
      <c r="P24" s="9" t="s">
        <v>215</v>
      </c>
      <c r="Q24" s="9" t="s">
        <v>216</v>
      </c>
      <c r="R24" s="9">
        <v>9.54838676E8</v>
      </c>
      <c r="S24" s="9" t="s">
        <v>217</v>
      </c>
      <c r="T24" s="9" t="s">
        <v>218</v>
      </c>
      <c r="U24" s="9" t="s">
        <v>219</v>
      </c>
      <c r="Z24" s="9" t="s">
        <v>220</v>
      </c>
      <c r="AA24" s="12">
        <v>0.0</v>
      </c>
      <c r="AD24" s="9" t="s">
        <v>221</v>
      </c>
      <c r="AE24" s="10"/>
      <c r="AF24" s="6" t="s">
        <v>38</v>
      </c>
    </row>
    <row r="25" ht="22.5" customHeight="1">
      <c r="A25" s="11" t="s">
        <v>32</v>
      </c>
      <c r="B25" s="8">
        <v>46064.82522496527</v>
      </c>
      <c r="C25" s="9" t="s">
        <v>222</v>
      </c>
      <c r="D25" s="9" t="s">
        <v>223</v>
      </c>
      <c r="E25" s="9" t="s">
        <v>224</v>
      </c>
      <c r="F25" s="9" t="s">
        <v>225</v>
      </c>
      <c r="G25" s="9" t="s">
        <v>226</v>
      </c>
      <c r="H25" s="9">
        <v>2025.0</v>
      </c>
      <c r="I25" s="9" t="s">
        <v>38</v>
      </c>
      <c r="K25" s="9" t="s">
        <v>49</v>
      </c>
      <c r="L25" s="9" t="s">
        <v>50</v>
      </c>
      <c r="M25" s="9" t="s">
        <v>227</v>
      </c>
      <c r="N25" s="9" t="s">
        <v>228</v>
      </c>
      <c r="O25" s="9" t="s">
        <v>78</v>
      </c>
      <c r="Q25" s="9" t="s">
        <v>229</v>
      </c>
      <c r="R25" s="9" t="s">
        <v>49</v>
      </c>
      <c r="S25" s="9" t="s">
        <v>49</v>
      </c>
      <c r="T25" s="9" t="s">
        <v>49</v>
      </c>
      <c r="U25" s="9" t="s">
        <v>49</v>
      </c>
      <c r="V25" s="9" t="s">
        <v>49</v>
      </c>
      <c r="W25" s="9" t="s">
        <v>49</v>
      </c>
      <c r="X25" s="9" t="s">
        <v>49</v>
      </c>
      <c r="Y25" s="9" t="s">
        <v>49</v>
      </c>
      <c r="Z25" s="9" t="s">
        <v>49</v>
      </c>
      <c r="AA25" s="9" t="s">
        <v>49</v>
      </c>
      <c r="AB25" s="9" t="s">
        <v>49</v>
      </c>
      <c r="AC25" s="9" t="s">
        <v>49</v>
      </c>
      <c r="AD25" s="9" t="s">
        <v>230</v>
      </c>
      <c r="AE25" s="10"/>
      <c r="AF25" s="6" t="s">
        <v>209</v>
      </c>
    </row>
    <row r="26" ht="22.5" customHeight="1">
      <c r="A26" s="11" t="s">
        <v>32</v>
      </c>
      <c r="B26" s="8">
        <v>46068.36581962963</v>
      </c>
      <c r="C26" s="9" t="s">
        <v>231</v>
      </c>
      <c r="D26" s="9" t="s">
        <v>34</v>
      </c>
      <c r="E26" s="9" t="s">
        <v>232</v>
      </c>
      <c r="F26" s="9" t="s">
        <v>233</v>
      </c>
      <c r="G26" s="9" t="s">
        <v>234</v>
      </c>
      <c r="H26" s="9">
        <v>2025.0</v>
      </c>
      <c r="I26" s="9" t="s">
        <v>50</v>
      </c>
      <c r="K26" s="9" t="s">
        <v>39</v>
      </c>
      <c r="L26" s="9" t="s">
        <v>50</v>
      </c>
      <c r="M26" s="9">
        <v>0.0</v>
      </c>
      <c r="N26" s="9">
        <v>0.0</v>
      </c>
      <c r="O26" s="9" t="s">
        <v>78</v>
      </c>
      <c r="P26" s="9" t="s">
        <v>235</v>
      </c>
      <c r="Q26" s="9" t="s">
        <v>236</v>
      </c>
      <c r="R26" s="9" t="s">
        <v>237</v>
      </c>
      <c r="S26" s="9" t="s">
        <v>238</v>
      </c>
      <c r="T26" s="9" t="s">
        <v>239</v>
      </c>
      <c r="U26" s="9" t="s">
        <v>239</v>
      </c>
      <c r="V26" s="9" t="s">
        <v>239</v>
      </c>
      <c r="W26" s="9" t="s">
        <v>239</v>
      </c>
      <c r="X26" s="9" t="s">
        <v>239</v>
      </c>
      <c r="Y26" s="9" t="s">
        <v>239</v>
      </c>
      <c r="Z26" s="9">
        <v>0.0</v>
      </c>
      <c r="AA26" s="9" t="s">
        <v>239</v>
      </c>
      <c r="AB26" s="9" t="s">
        <v>239</v>
      </c>
      <c r="AC26" s="9" t="s">
        <v>239</v>
      </c>
      <c r="AD26" s="9">
        <v>0.0</v>
      </c>
      <c r="AE26" s="6" t="s">
        <v>240</v>
      </c>
      <c r="AF26" s="6" t="s">
        <v>38</v>
      </c>
    </row>
    <row r="27" ht="22.5" customHeight="1">
      <c r="A27" s="11" t="s">
        <v>32</v>
      </c>
      <c r="B27" s="8">
        <v>46069.86975028935</v>
      </c>
      <c r="C27" s="9" t="s">
        <v>241</v>
      </c>
      <c r="D27" s="9" t="s">
        <v>34</v>
      </c>
      <c r="E27" s="9" t="s">
        <v>242</v>
      </c>
      <c r="F27" s="9" t="s">
        <v>243</v>
      </c>
      <c r="G27" s="9" t="s">
        <v>244</v>
      </c>
      <c r="H27" s="9">
        <v>2025.0</v>
      </c>
      <c r="I27" s="9" t="s">
        <v>38</v>
      </c>
      <c r="K27" s="9" t="s">
        <v>49</v>
      </c>
      <c r="L27" s="9" t="s">
        <v>50</v>
      </c>
      <c r="M27" s="9" t="s">
        <v>245</v>
      </c>
      <c r="N27" s="9" t="s">
        <v>246</v>
      </c>
      <c r="O27" s="9" t="s">
        <v>78</v>
      </c>
      <c r="P27" s="9" t="s">
        <v>247</v>
      </c>
      <c r="Q27" s="9" t="s">
        <v>244</v>
      </c>
      <c r="R27" s="9">
        <v>9.46298109E8</v>
      </c>
      <c r="S27" s="9" t="s">
        <v>248</v>
      </c>
      <c r="T27" s="9" t="s">
        <v>249</v>
      </c>
      <c r="U27" s="9" t="s">
        <v>250</v>
      </c>
      <c r="Z27" s="9" t="s">
        <v>251</v>
      </c>
      <c r="AA27" s="9" t="s">
        <v>252</v>
      </c>
      <c r="AD27" s="9" t="s">
        <v>253</v>
      </c>
      <c r="AE27" s="10"/>
      <c r="AF27" s="6" t="s">
        <v>50</v>
      </c>
    </row>
    <row r="28" ht="22.5" customHeight="1">
      <c r="A28" s="11" t="s">
        <v>32</v>
      </c>
      <c r="B28" s="8">
        <v>46071.82376186343</v>
      </c>
      <c r="C28" s="9" t="s">
        <v>254</v>
      </c>
      <c r="D28" s="9" t="s">
        <v>34</v>
      </c>
      <c r="E28" s="9" t="s">
        <v>255</v>
      </c>
      <c r="F28" s="9" t="s">
        <v>256</v>
      </c>
      <c r="G28" s="9" t="s">
        <v>257</v>
      </c>
      <c r="H28" s="9">
        <v>2025.0</v>
      </c>
      <c r="I28" s="9" t="s">
        <v>38</v>
      </c>
      <c r="K28" s="9" t="s">
        <v>49</v>
      </c>
      <c r="L28" s="9" t="s">
        <v>38</v>
      </c>
      <c r="M28" s="9">
        <v>0.0</v>
      </c>
      <c r="N28" s="9" t="s">
        <v>258</v>
      </c>
      <c r="O28" s="9" t="s">
        <v>78</v>
      </c>
      <c r="P28" s="9" t="s">
        <v>259</v>
      </c>
      <c r="Q28" s="9" t="s">
        <v>109</v>
      </c>
      <c r="R28" s="9">
        <v>9.4439607E8</v>
      </c>
      <c r="S28" s="9" t="s">
        <v>260</v>
      </c>
      <c r="Z28" s="9" t="s">
        <v>109</v>
      </c>
      <c r="AD28" s="9">
        <v>0.0</v>
      </c>
      <c r="AE28" s="6" t="s">
        <v>261</v>
      </c>
      <c r="AF28" s="6" t="s">
        <v>209</v>
      </c>
    </row>
    <row r="29" ht="22.5" customHeight="1">
      <c r="A29" s="11" t="s">
        <v>32</v>
      </c>
      <c r="B29" s="8">
        <v>46071.84623891204</v>
      </c>
      <c r="C29" s="9" t="s">
        <v>262</v>
      </c>
      <c r="D29" s="9" t="s">
        <v>34</v>
      </c>
      <c r="E29" s="9" t="s">
        <v>263</v>
      </c>
      <c r="F29" s="9" t="s">
        <v>264</v>
      </c>
      <c r="G29" s="9" t="s">
        <v>265</v>
      </c>
      <c r="H29" s="9">
        <v>2025.0</v>
      </c>
      <c r="I29" s="9" t="s">
        <v>38</v>
      </c>
      <c r="K29" s="9" t="s">
        <v>49</v>
      </c>
      <c r="L29" s="9" t="s">
        <v>50</v>
      </c>
      <c r="M29" s="9">
        <v>0.0</v>
      </c>
      <c r="N29" s="9">
        <v>0.0</v>
      </c>
      <c r="O29" s="9" t="s">
        <v>78</v>
      </c>
      <c r="P29" s="9" t="s">
        <v>266</v>
      </c>
      <c r="Q29" s="9" t="s">
        <v>267</v>
      </c>
      <c r="R29" s="9" t="s">
        <v>268</v>
      </c>
      <c r="S29" s="9" t="s">
        <v>269</v>
      </c>
      <c r="Z29" s="9">
        <v>0.0</v>
      </c>
      <c r="AD29" s="9">
        <v>0.0</v>
      </c>
      <c r="AE29" s="10"/>
      <c r="AF29" s="6" t="s">
        <v>38</v>
      </c>
    </row>
    <row r="30" ht="22.5" customHeight="1">
      <c r="A30" s="11" t="s">
        <v>32</v>
      </c>
      <c r="B30" s="8">
        <v>46072.48473993056</v>
      </c>
      <c r="C30" s="9" t="s">
        <v>270</v>
      </c>
      <c r="D30" s="9" t="s">
        <v>34</v>
      </c>
      <c r="E30" s="9" t="s">
        <v>271</v>
      </c>
      <c r="F30" s="9" t="s">
        <v>272</v>
      </c>
      <c r="G30" s="9" t="s">
        <v>273</v>
      </c>
      <c r="H30" s="9">
        <v>2025.0</v>
      </c>
      <c r="I30" s="9" t="s">
        <v>38</v>
      </c>
      <c r="K30" s="9" t="s">
        <v>49</v>
      </c>
      <c r="L30" s="9" t="s">
        <v>50</v>
      </c>
      <c r="M30" s="9">
        <v>0.0</v>
      </c>
      <c r="N30" s="9">
        <v>0.0</v>
      </c>
      <c r="O30" s="9" t="s">
        <v>51</v>
      </c>
      <c r="P30" s="9" t="s">
        <v>274</v>
      </c>
      <c r="Q30" s="9" t="s">
        <v>275</v>
      </c>
      <c r="R30" s="9" t="s">
        <v>276</v>
      </c>
      <c r="S30" s="9" t="s">
        <v>277</v>
      </c>
      <c r="T30" s="9" t="s">
        <v>278</v>
      </c>
      <c r="U30" s="9" t="s">
        <v>279</v>
      </c>
      <c r="Z30" s="9">
        <v>0.0</v>
      </c>
      <c r="AA30" s="9">
        <v>0.0</v>
      </c>
      <c r="AD30" s="9">
        <v>0.0</v>
      </c>
      <c r="AE30" s="10"/>
      <c r="AF30" s="6" t="s">
        <v>38</v>
      </c>
    </row>
    <row r="31" ht="22.5" customHeight="1">
      <c r="A31" s="11" t="s">
        <v>32</v>
      </c>
      <c r="B31" s="8">
        <v>46076.019734664354</v>
      </c>
      <c r="C31" s="9" t="s">
        <v>280</v>
      </c>
      <c r="D31" s="9" t="s">
        <v>34</v>
      </c>
      <c r="E31" s="9" t="s">
        <v>281</v>
      </c>
      <c r="F31" s="9" t="s">
        <v>282</v>
      </c>
      <c r="G31" s="9" t="s">
        <v>283</v>
      </c>
      <c r="H31" s="9">
        <v>2025.0</v>
      </c>
      <c r="I31" s="9" t="s">
        <v>38</v>
      </c>
      <c r="K31" s="9" t="s">
        <v>49</v>
      </c>
      <c r="L31" s="9" t="s">
        <v>50</v>
      </c>
      <c r="M31" s="9">
        <v>0.0</v>
      </c>
      <c r="N31" s="9">
        <v>0.0</v>
      </c>
      <c r="O31" s="9" t="s">
        <v>51</v>
      </c>
      <c r="P31" s="9" t="s">
        <v>284</v>
      </c>
      <c r="Q31" s="9" t="s">
        <v>285</v>
      </c>
      <c r="R31" s="9">
        <v>9.59527618E8</v>
      </c>
      <c r="S31" s="9" t="s">
        <v>280</v>
      </c>
      <c r="Z31" s="9">
        <v>0.0</v>
      </c>
      <c r="AD31" s="9">
        <v>0.0</v>
      </c>
      <c r="AE31" s="10"/>
      <c r="AF31" s="6" t="s">
        <v>38</v>
      </c>
    </row>
    <row r="32" ht="22.5" customHeight="1">
      <c r="A32" s="11" t="s">
        <v>103</v>
      </c>
      <c r="B32" s="8">
        <v>46076.552194386575</v>
      </c>
      <c r="C32" s="9" t="s">
        <v>286</v>
      </c>
      <c r="D32" s="9" t="s">
        <v>34</v>
      </c>
      <c r="E32" s="9" t="s">
        <v>287</v>
      </c>
      <c r="F32" s="9" t="s">
        <v>288</v>
      </c>
      <c r="G32" s="9" t="s">
        <v>289</v>
      </c>
      <c r="H32" s="9">
        <v>2025.0</v>
      </c>
      <c r="I32" s="9" t="s">
        <v>50</v>
      </c>
      <c r="K32" s="9" t="s">
        <v>49</v>
      </c>
      <c r="L32" s="9" t="s">
        <v>50</v>
      </c>
      <c r="M32" s="9">
        <v>0.0</v>
      </c>
      <c r="N32" s="9">
        <v>0.0</v>
      </c>
      <c r="O32" s="9" t="s">
        <v>78</v>
      </c>
      <c r="P32" s="9" t="s">
        <v>290</v>
      </c>
      <c r="Q32" s="9" t="s">
        <v>291</v>
      </c>
      <c r="R32" s="9">
        <v>9.73938535E8</v>
      </c>
      <c r="S32" s="9" t="s">
        <v>286</v>
      </c>
      <c r="Z32" s="9">
        <v>100.0</v>
      </c>
      <c r="AD32" s="9">
        <v>0.0</v>
      </c>
      <c r="AE32" s="10"/>
      <c r="AF32" s="6" t="s">
        <v>38</v>
      </c>
    </row>
    <row r="33" ht="22.5" customHeight="1">
      <c r="A33" s="11" t="s">
        <v>32</v>
      </c>
      <c r="B33" s="8">
        <v>46077.34015935185</v>
      </c>
      <c r="C33" s="9" t="s">
        <v>292</v>
      </c>
      <c r="D33" s="9" t="s">
        <v>34</v>
      </c>
      <c r="E33" s="9" t="s">
        <v>293</v>
      </c>
      <c r="F33" s="9" t="s">
        <v>294</v>
      </c>
      <c r="G33" s="9" t="s">
        <v>295</v>
      </c>
      <c r="H33" s="9">
        <v>2025.0</v>
      </c>
      <c r="I33" s="9" t="s">
        <v>38</v>
      </c>
      <c r="K33" s="9" t="s">
        <v>39</v>
      </c>
      <c r="L33" s="9" t="s">
        <v>38</v>
      </c>
      <c r="M33" s="9">
        <v>0.0</v>
      </c>
      <c r="N33" s="9">
        <v>0.0</v>
      </c>
      <c r="O33" s="9" t="s">
        <v>51</v>
      </c>
      <c r="P33" s="9" t="s">
        <v>296</v>
      </c>
      <c r="Q33" s="9" t="s">
        <v>297</v>
      </c>
      <c r="R33" s="9">
        <v>9.56191381E8</v>
      </c>
      <c r="S33" s="9" t="s">
        <v>292</v>
      </c>
      <c r="T33" s="9">
        <v>0.0</v>
      </c>
      <c r="U33" s="9">
        <v>0.0</v>
      </c>
      <c r="V33" s="9">
        <v>0.0</v>
      </c>
      <c r="W33" s="9">
        <v>0.0</v>
      </c>
      <c r="X33" s="9">
        <v>0.0</v>
      </c>
      <c r="Y33" s="9">
        <v>0.0</v>
      </c>
      <c r="Z33" s="9">
        <v>0.0</v>
      </c>
      <c r="AA33" s="9">
        <v>0.0</v>
      </c>
      <c r="AB33" s="9">
        <v>0.0</v>
      </c>
      <c r="AC33" s="9">
        <v>0.0</v>
      </c>
      <c r="AD33" s="9">
        <v>0.0</v>
      </c>
      <c r="AE33" s="10"/>
      <c r="AF33" s="6" t="s">
        <v>50</v>
      </c>
    </row>
    <row r="34" ht="22.5" customHeight="1">
      <c r="A34" s="11" t="s">
        <v>32</v>
      </c>
      <c r="B34" s="8">
        <v>46077.65821796296</v>
      </c>
      <c r="C34" s="9" t="s">
        <v>298</v>
      </c>
      <c r="D34" s="9" t="s">
        <v>34</v>
      </c>
      <c r="E34" s="9" t="s">
        <v>299</v>
      </c>
      <c r="F34" s="9" t="s">
        <v>300</v>
      </c>
      <c r="G34" s="9" t="s">
        <v>301</v>
      </c>
      <c r="H34" s="9">
        <v>2025.0</v>
      </c>
      <c r="I34" s="9" t="s">
        <v>38</v>
      </c>
      <c r="K34" s="9" t="s">
        <v>49</v>
      </c>
      <c r="L34" s="9" t="s">
        <v>50</v>
      </c>
      <c r="M34" s="9">
        <v>0.0</v>
      </c>
      <c r="N34" s="9" t="s">
        <v>302</v>
      </c>
      <c r="O34" s="9" t="s">
        <v>78</v>
      </c>
      <c r="P34" s="9" t="s">
        <v>303</v>
      </c>
      <c r="Q34" s="9" t="s">
        <v>304</v>
      </c>
      <c r="R34" s="9" t="s">
        <v>305</v>
      </c>
      <c r="S34" s="9" t="s">
        <v>306</v>
      </c>
      <c r="T34" s="9" t="s">
        <v>307</v>
      </c>
      <c r="U34" s="9" t="s">
        <v>308</v>
      </c>
      <c r="Z34" s="9">
        <v>0.0</v>
      </c>
      <c r="AA34" s="9">
        <v>0.0</v>
      </c>
      <c r="AD34" s="9">
        <v>0.0</v>
      </c>
      <c r="AE34" s="10"/>
      <c r="AF34" s="6" t="s">
        <v>38</v>
      </c>
    </row>
    <row r="35" ht="22.5" customHeight="1">
      <c r="A35" s="11" t="s">
        <v>32</v>
      </c>
      <c r="B35" s="8">
        <v>46077.87236443287</v>
      </c>
      <c r="C35" s="9" t="s">
        <v>309</v>
      </c>
      <c r="D35" s="9" t="s">
        <v>34</v>
      </c>
      <c r="E35" s="9" t="s">
        <v>310</v>
      </c>
      <c r="F35" s="9" t="s">
        <v>311</v>
      </c>
      <c r="G35" s="9" t="s">
        <v>312</v>
      </c>
      <c r="H35" s="9">
        <v>2025.0</v>
      </c>
      <c r="I35" s="9" t="s">
        <v>38</v>
      </c>
      <c r="K35" s="9" t="s">
        <v>39</v>
      </c>
      <c r="L35" s="9" t="s">
        <v>38</v>
      </c>
      <c r="M35" s="9" t="s">
        <v>313</v>
      </c>
      <c r="N35" s="9" t="s">
        <v>314</v>
      </c>
      <c r="O35" s="9" t="s">
        <v>51</v>
      </c>
      <c r="P35" s="9" t="s">
        <v>315</v>
      </c>
      <c r="Q35" s="9" t="s">
        <v>316</v>
      </c>
      <c r="R35" s="9">
        <v>9.93827926E8</v>
      </c>
      <c r="S35" s="9" t="s">
        <v>317</v>
      </c>
      <c r="Z35" s="9" t="s">
        <v>318</v>
      </c>
      <c r="AD35" s="9" t="s">
        <v>313</v>
      </c>
      <c r="AE35" s="10"/>
      <c r="AF35" s="6" t="s">
        <v>209</v>
      </c>
    </row>
    <row r="36" ht="22.5" customHeight="1">
      <c r="A36" s="11" t="s">
        <v>32</v>
      </c>
      <c r="B36" s="8">
        <v>46078.59424251158</v>
      </c>
      <c r="C36" s="9" t="s">
        <v>319</v>
      </c>
      <c r="D36" s="9" t="s">
        <v>34</v>
      </c>
      <c r="E36" s="9" t="s">
        <v>320</v>
      </c>
      <c r="F36" s="9" t="s">
        <v>321</v>
      </c>
      <c r="G36" s="9" t="s">
        <v>322</v>
      </c>
      <c r="H36" s="9">
        <v>2025.0</v>
      </c>
      <c r="I36" s="9" t="s">
        <v>38</v>
      </c>
      <c r="K36" s="9" t="s">
        <v>49</v>
      </c>
      <c r="L36" s="9" t="s">
        <v>50</v>
      </c>
      <c r="M36" s="9">
        <v>0.0</v>
      </c>
      <c r="N36" s="9" t="s">
        <v>323</v>
      </c>
      <c r="O36" s="9" t="s">
        <v>78</v>
      </c>
      <c r="P36" s="9" t="s">
        <v>324</v>
      </c>
      <c r="Q36" s="9" t="s">
        <v>325</v>
      </c>
      <c r="R36" s="9" t="s">
        <v>326</v>
      </c>
      <c r="S36" s="9" t="s">
        <v>319</v>
      </c>
      <c r="T36" s="9" t="s">
        <v>327</v>
      </c>
      <c r="U36" s="9" t="s">
        <v>328</v>
      </c>
      <c r="Z36" s="9">
        <v>0.0</v>
      </c>
      <c r="AA36" s="9">
        <v>0.0</v>
      </c>
      <c r="AD36" s="9">
        <v>115000.0</v>
      </c>
      <c r="AE36" s="10"/>
      <c r="AF36" s="6" t="s">
        <v>38</v>
      </c>
    </row>
    <row r="37" ht="22.5" customHeight="1">
      <c r="A37" s="11" t="s">
        <v>103</v>
      </c>
      <c r="B37" s="8">
        <v>46080.385164861116</v>
      </c>
      <c r="C37" s="9" t="s">
        <v>329</v>
      </c>
      <c r="D37" s="9" t="s">
        <v>34</v>
      </c>
      <c r="E37" s="9" t="s">
        <v>330</v>
      </c>
      <c r="F37" s="9" t="s">
        <v>331</v>
      </c>
      <c r="G37" s="9" t="s">
        <v>332</v>
      </c>
      <c r="H37" s="9">
        <v>2025.0</v>
      </c>
      <c r="I37" s="9" t="s">
        <v>333</v>
      </c>
      <c r="K37" s="9" t="s">
        <v>49</v>
      </c>
      <c r="L37" s="9" t="s">
        <v>38</v>
      </c>
      <c r="M37" s="9" t="s">
        <v>334</v>
      </c>
      <c r="N37" s="9">
        <v>0.0</v>
      </c>
      <c r="O37" s="9" t="s">
        <v>51</v>
      </c>
      <c r="P37" s="9" t="s">
        <v>335</v>
      </c>
      <c r="Q37" s="9">
        <v>1.56807176E8</v>
      </c>
      <c r="R37" s="9">
        <v>9.32349203E8</v>
      </c>
      <c r="S37" s="9" t="s">
        <v>336</v>
      </c>
      <c r="Z37" s="9" t="s">
        <v>337</v>
      </c>
      <c r="AD37" s="9">
        <v>0.0</v>
      </c>
      <c r="AE37" s="10"/>
      <c r="AF37" s="6" t="s">
        <v>64</v>
      </c>
    </row>
    <row r="38" ht="22.5" customHeight="1">
      <c r="A38" s="11" t="s">
        <v>103</v>
      </c>
      <c r="B38" s="8">
        <v>46080.603620532405</v>
      </c>
      <c r="C38" s="9" t="s">
        <v>338</v>
      </c>
      <c r="D38" s="9" t="s">
        <v>34</v>
      </c>
      <c r="E38" s="9" t="s">
        <v>339</v>
      </c>
      <c r="F38" s="9" t="s">
        <v>340</v>
      </c>
      <c r="G38" s="9" t="s">
        <v>341</v>
      </c>
      <c r="H38" s="9">
        <v>2025.0</v>
      </c>
      <c r="I38" s="9" t="s">
        <v>38</v>
      </c>
      <c r="K38" s="9" t="s">
        <v>39</v>
      </c>
      <c r="L38" s="9" t="s">
        <v>50</v>
      </c>
      <c r="M38" s="9" t="s">
        <v>342</v>
      </c>
      <c r="N38" s="9" t="s">
        <v>343</v>
      </c>
      <c r="O38" s="9" t="s">
        <v>51</v>
      </c>
      <c r="P38" s="9" t="s">
        <v>344</v>
      </c>
      <c r="Q38" s="9" t="s">
        <v>345</v>
      </c>
      <c r="R38" s="9">
        <v>9.42610892E8</v>
      </c>
      <c r="S38" s="9" t="s">
        <v>338</v>
      </c>
      <c r="Z38" s="9" t="s">
        <v>346</v>
      </c>
      <c r="AD38" s="9" t="s">
        <v>342</v>
      </c>
      <c r="AE38" s="6" t="s">
        <v>347</v>
      </c>
      <c r="AF38" s="6" t="s">
        <v>38</v>
      </c>
    </row>
    <row r="39" ht="22.5" customHeight="1">
      <c r="A39" s="11" t="s">
        <v>103</v>
      </c>
      <c r="B39" s="8">
        <v>46080.608559016204</v>
      </c>
      <c r="C39" s="9" t="s">
        <v>338</v>
      </c>
      <c r="D39" s="9" t="s">
        <v>34</v>
      </c>
      <c r="E39" s="9" t="s">
        <v>348</v>
      </c>
      <c r="F39" s="9" t="s">
        <v>349</v>
      </c>
      <c r="G39" s="9" t="s">
        <v>345</v>
      </c>
      <c r="H39" s="9">
        <v>2025.0</v>
      </c>
      <c r="I39" s="9" t="s">
        <v>50</v>
      </c>
      <c r="K39" s="9" t="s">
        <v>49</v>
      </c>
      <c r="L39" s="9" t="s">
        <v>50</v>
      </c>
      <c r="M39" s="9" t="s">
        <v>342</v>
      </c>
      <c r="N39" s="9" t="s">
        <v>350</v>
      </c>
      <c r="O39" s="9" t="s">
        <v>51</v>
      </c>
      <c r="P39" s="9" t="s">
        <v>344</v>
      </c>
      <c r="Q39" s="9" t="s">
        <v>345</v>
      </c>
      <c r="R39" s="9">
        <v>9.42610892E8</v>
      </c>
      <c r="S39" s="9" t="s">
        <v>338</v>
      </c>
      <c r="U39" s="9" t="s">
        <v>351</v>
      </c>
      <c r="Z39" s="9" t="s">
        <v>352</v>
      </c>
      <c r="AD39" s="9" t="s">
        <v>342</v>
      </c>
      <c r="AE39" s="6" t="s">
        <v>353</v>
      </c>
      <c r="AF39" s="6" t="s">
        <v>38</v>
      </c>
    </row>
    <row r="40" ht="22.5" customHeight="1">
      <c r="A40" s="11" t="s">
        <v>32</v>
      </c>
      <c r="B40" s="8">
        <v>46080.87630021991</v>
      </c>
      <c r="C40" s="9" t="s">
        <v>354</v>
      </c>
      <c r="D40" s="9" t="s">
        <v>34</v>
      </c>
      <c r="E40" s="9" t="s">
        <v>355</v>
      </c>
      <c r="F40" s="9" t="s">
        <v>356</v>
      </c>
      <c r="G40" s="9" t="s">
        <v>357</v>
      </c>
      <c r="H40" s="9">
        <v>2025.0</v>
      </c>
      <c r="I40" s="9" t="s">
        <v>38</v>
      </c>
      <c r="K40" s="9" t="s">
        <v>49</v>
      </c>
      <c r="L40" s="9" t="s">
        <v>50</v>
      </c>
      <c r="M40" s="9" t="s">
        <v>229</v>
      </c>
      <c r="N40" s="9" t="s">
        <v>49</v>
      </c>
      <c r="O40" s="9" t="s">
        <v>78</v>
      </c>
      <c r="P40" s="9" t="s">
        <v>358</v>
      </c>
      <c r="Q40" s="9" t="s">
        <v>359</v>
      </c>
      <c r="R40" s="9">
        <v>9.66300731E8</v>
      </c>
      <c r="S40" s="9" t="s">
        <v>360</v>
      </c>
      <c r="Z40" s="12">
        <v>0.0</v>
      </c>
      <c r="AD40" s="12">
        <v>0.0</v>
      </c>
      <c r="AE40" s="10"/>
      <c r="AF40" s="6" t="s">
        <v>38</v>
      </c>
    </row>
    <row r="41" ht="22.5" customHeight="1">
      <c r="A41" s="11" t="s">
        <v>32</v>
      </c>
      <c r="B41" s="8">
        <v>46085.52593472222</v>
      </c>
      <c r="C41" s="9" t="s">
        <v>361</v>
      </c>
      <c r="D41" s="9" t="s">
        <v>34</v>
      </c>
      <c r="E41" s="9" t="s">
        <v>362</v>
      </c>
      <c r="F41" s="9" t="s">
        <v>363</v>
      </c>
      <c r="G41" s="9" t="s">
        <v>364</v>
      </c>
      <c r="H41" s="9">
        <v>2025.0</v>
      </c>
      <c r="I41" s="9" t="s">
        <v>38</v>
      </c>
      <c r="K41" s="9" t="s">
        <v>49</v>
      </c>
      <c r="L41" s="9" t="s">
        <v>50</v>
      </c>
      <c r="M41" s="9" t="s">
        <v>365</v>
      </c>
      <c r="N41" s="9" t="s">
        <v>366</v>
      </c>
      <c r="O41" s="9" t="s">
        <v>78</v>
      </c>
      <c r="P41" s="9" t="s">
        <v>367</v>
      </c>
      <c r="Q41" s="9" t="s">
        <v>368</v>
      </c>
      <c r="R41" s="9">
        <v>9.8817164E8</v>
      </c>
      <c r="S41" s="9" t="s">
        <v>369</v>
      </c>
      <c r="Z41" s="9" t="s">
        <v>370</v>
      </c>
      <c r="AD41" s="9" t="s">
        <v>365</v>
      </c>
      <c r="AE41" s="10"/>
      <c r="AF41" s="6" t="s">
        <v>209</v>
      </c>
    </row>
    <row r="42" ht="22.5" customHeight="1">
      <c r="A42" s="11" t="s">
        <v>32</v>
      </c>
      <c r="B42" s="8">
        <v>46085.53117123843</v>
      </c>
      <c r="C42" s="9" t="s">
        <v>371</v>
      </c>
      <c r="D42" s="9" t="s">
        <v>34</v>
      </c>
      <c r="E42" s="9" t="s">
        <v>372</v>
      </c>
      <c r="F42" s="9" t="s">
        <v>373</v>
      </c>
      <c r="G42" s="9" t="s">
        <v>374</v>
      </c>
      <c r="H42" s="9">
        <v>2025.0</v>
      </c>
      <c r="I42" s="9" t="s">
        <v>38</v>
      </c>
      <c r="K42" s="9" t="s">
        <v>39</v>
      </c>
      <c r="L42" s="9" t="s">
        <v>38</v>
      </c>
      <c r="M42" s="9">
        <v>0.0</v>
      </c>
      <c r="N42" s="9">
        <v>0.0</v>
      </c>
      <c r="O42" s="9" t="s">
        <v>51</v>
      </c>
      <c r="P42" s="9" t="s">
        <v>375</v>
      </c>
      <c r="Q42" s="9" t="s">
        <v>161</v>
      </c>
      <c r="R42" s="9">
        <v>9.63656735E8</v>
      </c>
      <c r="S42" s="9" t="s">
        <v>376</v>
      </c>
      <c r="Z42" s="9" t="s">
        <v>161</v>
      </c>
      <c r="AD42" s="9">
        <v>0.0</v>
      </c>
      <c r="AE42" s="10"/>
      <c r="AF42" s="6" t="s">
        <v>38</v>
      </c>
    </row>
    <row r="43" ht="22.5" customHeight="1">
      <c r="A43" s="11" t="s">
        <v>32</v>
      </c>
      <c r="B43" s="8">
        <v>46085.53880465278</v>
      </c>
      <c r="C43" s="9" t="s">
        <v>377</v>
      </c>
      <c r="D43" s="9" t="s">
        <v>34</v>
      </c>
      <c r="E43" s="9" t="s">
        <v>378</v>
      </c>
      <c r="F43" s="9" t="s">
        <v>379</v>
      </c>
      <c r="G43" s="9" t="s">
        <v>380</v>
      </c>
      <c r="H43" s="9">
        <v>2025.0</v>
      </c>
      <c r="I43" s="9" t="s">
        <v>38</v>
      </c>
      <c r="K43" s="9" t="s">
        <v>39</v>
      </c>
      <c r="L43" s="9" t="s">
        <v>38</v>
      </c>
      <c r="M43" s="9">
        <v>0.0</v>
      </c>
      <c r="N43" s="9" t="s">
        <v>381</v>
      </c>
      <c r="O43" s="9" t="s">
        <v>51</v>
      </c>
      <c r="P43" s="9" t="s">
        <v>382</v>
      </c>
      <c r="Q43" s="9" t="s">
        <v>383</v>
      </c>
      <c r="R43" s="9" t="s">
        <v>384</v>
      </c>
      <c r="S43" s="9" t="s">
        <v>377</v>
      </c>
      <c r="Z43" s="9">
        <v>600.0</v>
      </c>
      <c r="AD43" s="9">
        <v>0.0</v>
      </c>
      <c r="AE43" s="10"/>
      <c r="AF43" s="6" t="s">
        <v>38</v>
      </c>
    </row>
    <row r="44" ht="22.5" customHeight="1">
      <c r="A44" s="11" t="s">
        <v>32</v>
      </c>
      <c r="B44" s="8">
        <v>46085.54082032407</v>
      </c>
      <c r="C44" s="9" t="s">
        <v>385</v>
      </c>
      <c r="D44" s="9" t="s">
        <v>34</v>
      </c>
      <c r="E44" s="9" t="s">
        <v>386</v>
      </c>
      <c r="F44" s="9" t="s">
        <v>387</v>
      </c>
      <c r="G44" s="9" t="s">
        <v>388</v>
      </c>
      <c r="H44" s="9">
        <v>2025.0</v>
      </c>
      <c r="I44" s="9" t="s">
        <v>38</v>
      </c>
      <c r="K44" s="9" t="s">
        <v>39</v>
      </c>
      <c r="L44" s="9" t="s">
        <v>38</v>
      </c>
      <c r="M44" s="9" t="s">
        <v>389</v>
      </c>
      <c r="N44" s="9" t="s">
        <v>49</v>
      </c>
      <c r="O44" s="9" t="s">
        <v>78</v>
      </c>
      <c r="Q44" s="9" t="s">
        <v>390</v>
      </c>
      <c r="R44" s="9" t="s">
        <v>391</v>
      </c>
      <c r="S44" s="9" t="s">
        <v>49</v>
      </c>
      <c r="T44" s="9" t="s">
        <v>49</v>
      </c>
      <c r="U44" s="9" t="s">
        <v>49</v>
      </c>
      <c r="V44" s="9" t="s">
        <v>49</v>
      </c>
      <c r="W44" s="9" t="s">
        <v>49</v>
      </c>
      <c r="X44" s="9" t="s">
        <v>49</v>
      </c>
      <c r="Y44" s="9" t="s">
        <v>49</v>
      </c>
      <c r="Z44" s="9" t="s">
        <v>49</v>
      </c>
      <c r="AA44" s="9" t="s">
        <v>49</v>
      </c>
      <c r="AB44" s="9" t="s">
        <v>49</v>
      </c>
      <c r="AC44" s="9" t="s">
        <v>49</v>
      </c>
      <c r="AD44" s="9" t="s">
        <v>392</v>
      </c>
      <c r="AE44" s="10"/>
      <c r="AF44" s="6" t="s">
        <v>38</v>
      </c>
    </row>
    <row r="45" ht="22.5" customHeight="1">
      <c r="A45" s="11" t="s">
        <v>32</v>
      </c>
      <c r="B45" s="8">
        <v>46085.62725075231</v>
      </c>
      <c r="C45" s="9" t="s">
        <v>393</v>
      </c>
      <c r="D45" s="9" t="s">
        <v>34</v>
      </c>
      <c r="E45" s="9" t="s">
        <v>394</v>
      </c>
      <c r="F45" s="9" t="s">
        <v>395</v>
      </c>
      <c r="G45" s="9" t="s">
        <v>396</v>
      </c>
      <c r="H45" s="9">
        <v>2025.0</v>
      </c>
      <c r="I45" s="9" t="s">
        <v>38</v>
      </c>
      <c r="K45" s="9" t="s">
        <v>49</v>
      </c>
      <c r="L45" s="9" t="s">
        <v>50</v>
      </c>
      <c r="M45" s="9" t="s">
        <v>397</v>
      </c>
      <c r="N45" s="9">
        <v>0.0</v>
      </c>
      <c r="O45" s="9" t="s">
        <v>78</v>
      </c>
      <c r="P45" s="9" t="s">
        <v>398</v>
      </c>
      <c r="Q45" s="9" t="s">
        <v>399</v>
      </c>
      <c r="R45" s="9">
        <v>9.85582338E8</v>
      </c>
      <c r="S45" s="9" t="s">
        <v>400</v>
      </c>
      <c r="U45" s="9" t="s">
        <v>401</v>
      </c>
      <c r="Z45" s="9">
        <v>0.0</v>
      </c>
      <c r="AD45" s="9">
        <v>0.0</v>
      </c>
      <c r="AE45" s="10"/>
      <c r="AF45" s="6" t="s">
        <v>38</v>
      </c>
    </row>
    <row r="46" ht="22.5" customHeight="1">
      <c r="A46" s="11" t="s">
        <v>32</v>
      </c>
      <c r="B46" s="8">
        <v>46085.63919598379</v>
      </c>
      <c r="C46" s="9" t="s">
        <v>402</v>
      </c>
      <c r="D46" s="9" t="s">
        <v>34</v>
      </c>
      <c r="E46" s="9" t="s">
        <v>403</v>
      </c>
      <c r="F46" s="9" t="s">
        <v>404</v>
      </c>
      <c r="G46" s="9" t="s">
        <v>405</v>
      </c>
      <c r="H46" s="9">
        <v>2025.0</v>
      </c>
      <c r="I46" s="9" t="s">
        <v>38</v>
      </c>
      <c r="K46" s="9" t="s">
        <v>39</v>
      </c>
      <c r="L46" s="9" t="s">
        <v>38</v>
      </c>
      <c r="M46" s="9">
        <v>0.0</v>
      </c>
      <c r="N46" s="9">
        <v>0.0</v>
      </c>
      <c r="O46" s="9" t="s">
        <v>406</v>
      </c>
      <c r="P46" s="9" t="s">
        <v>407</v>
      </c>
      <c r="Q46" s="9" t="s">
        <v>408</v>
      </c>
      <c r="R46" s="9">
        <v>9.99445181E8</v>
      </c>
      <c r="S46" s="9" t="s">
        <v>402</v>
      </c>
      <c r="Z46" s="9">
        <v>0.0</v>
      </c>
      <c r="AD46" s="9">
        <v>0.0</v>
      </c>
      <c r="AE46" s="10"/>
      <c r="AF46" s="6" t="s">
        <v>38</v>
      </c>
    </row>
    <row r="47" ht="22.5" customHeight="1">
      <c r="A47" s="11" t="s">
        <v>32</v>
      </c>
      <c r="B47" s="8">
        <v>46085.68922565972</v>
      </c>
      <c r="C47" s="9" t="s">
        <v>409</v>
      </c>
      <c r="D47" s="9" t="s">
        <v>34</v>
      </c>
      <c r="E47" s="9" t="s">
        <v>410</v>
      </c>
      <c r="F47" s="9" t="s">
        <v>411</v>
      </c>
      <c r="G47" s="9" t="s">
        <v>412</v>
      </c>
      <c r="H47" s="9">
        <v>2025.0</v>
      </c>
      <c r="I47" s="9" t="s">
        <v>38</v>
      </c>
      <c r="K47" s="9" t="s">
        <v>49</v>
      </c>
      <c r="L47" s="9" t="s">
        <v>38</v>
      </c>
      <c r="M47" s="9" t="s">
        <v>413</v>
      </c>
      <c r="N47" s="9" t="s">
        <v>414</v>
      </c>
      <c r="O47" s="9" t="s">
        <v>78</v>
      </c>
      <c r="P47" s="9" t="s">
        <v>415</v>
      </c>
      <c r="Q47" s="9" t="s">
        <v>416</v>
      </c>
      <c r="R47" s="9">
        <v>9.87771919E8</v>
      </c>
      <c r="S47" s="9" t="s">
        <v>417</v>
      </c>
      <c r="T47" s="9" t="s">
        <v>418</v>
      </c>
      <c r="U47" s="9" t="s">
        <v>419</v>
      </c>
      <c r="V47" s="9" t="s">
        <v>420</v>
      </c>
      <c r="W47" s="9" t="s">
        <v>420</v>
      </c>
      <c r="X47" s="9" t="s">
        <v>420</v>
      </c>
      <c r="Y47" s="9" t="s">
        <v>420</v>
      </c>
      <c r="Z47" s="9" t="s">
        <v>421</v>
      </c>
      <c r="AA47" s="9" t="s">
        <v>421</v>
      </c>
      <c r="AB47" s="9" t="s">
        <v>420</v>
      </c>
      <c r="AC47" s="9" t="s">
        <v>420</v>
      </c>
      <c r="AD47" s="9" t="s">
        <v>422</v>
      </c>
      <c r="AE47" s="10"/>
      <c r="AF47" s="6" t="s">
        <v>38</v>
      </c>
    </row>
    <row r="48" ht="22.5" customHeight="1">
      <c r="A48" s="11" t="s">
        <v>32</v>
      </c>
      <c r="B48" s="8">
        <v>46085.848628321764</v>
      </c>
      <c r="C48" s="9" t="s">
        <v>423</v>
      </c>
      <c r="D48" s="9" t="s">
        <v>223</v>
      </c>
      <c r="E48" s="9" t="s">
        <v>424</v>
      </c>
      <c r="F48" s="9" t="s">
        <v>425</v>
      </c>
      <c r="G48" s="9" t="s">
        <v>426</v>
      </c>
      <c r="H48" s="9">
        <v>2025.0</v>
      </c>
      <c r="I48" s="9" t="s">
        <v>38</v>
      </c>
      <c r="K48" s="9" t="s">
        <v>49</v>
      </c>
      <c r="L48" s="9" t="s">
        <v>50</v>
      </c>
      <c r="M48" s="9" t="s">
        <v>427</v>
      </c>
      <c r="N48" s="9" t="s">
        <v>428</v>
      </c>
      <c r="O48" s="9" t="s">
        <v>78</v>
      </c>
      <c r="Q48" s="9" t="s">
        <v>429</v>
      </c>
      <c r="R48" s="9" t="s">
        <v>429</v>
      </c>
      <c r="S48" s="9" t="s">
        <v>429</v>
      </c>
      <c r="Z48" s="9" t="s">
        <v>430</v>
      </c>
      <c r="AD48" s="9" t="s">
        <v>431</v>
      </c>
      <c r="AE48" s="10"/>
      <c r="AF48" s="6" t="s">
        <v>50</v>
      </c>
    </row>
    <row r="49" ht="22.5" customHeight="1">
      <c r="A49" s="11" t="s">
        <v>32</v>
      </c>
      <c r="B49" s="8">
        <v>46085.84995148148</v>
      </c>
      <c r="C49" s="9" t="s">
        <v>423</v>
      </c>
      <c r="D49" s="9" t="s">
        <v>34</v>
      </c>
      <c r="E49" s="9" t="s">
        <v>432</v>
      </c>
      <c r="F49" s="9" t="s">
        <v>433</v>
      </c>
      <c r="G49" s="9" t="s">
        <v>426</v>
      </c>
      <c r="H49" s="9">
        <v>2025.0</v>
      </c>
      <c r="I49" s="9" t="s">
        <v>38</v>
      </c>
      <c r="K49" s="9" t="s">
        <v>39</v>
      </c>
      <c r="L49" s="9" t="s">
        <v>38</v>
      </c>
      <c r="M49" s="9" t="s">
        <v>434</v>
      </c>
      <c r="N49" s="9" t="s">
        <v>430</v>
      </c>
      <c r="O49" s="9" t="s">
        <v>78</v>
      </c>
      <c r="Q49" s="9" t="s">
        <v>430</v>
      </c>
      <c r="R49" s="9" t="s">
        <v>430</v>
      </c>
      <c r="S49" s="9" t="s">
        <v>435</v>
      </c>
      <c r="Z49" s="9" t="s">
        <v>436</v>
      </c>
      <c r="AD49" s="9" t="s">
        <v>429</v>
      </c>
      <c r="AE49" s="10"/>
      <c r="AF49" s="6" t="s">
        <v>38</v>
      </c>
    </row>
    <row r="50" ht="22.5" customHeight="1">
      <c r="A50" s="11" t="s">
        <v>32</v>
      </c>
      <c r="B50" s="8">
        <v>46085.94261416666</v>
      </c>
      <c r="C50" s="9" t="s">
        <v>437</v>
      </c>
      <c r="D50" s="9" t="s">
        <v>34</v>
      </c>
      <c r="E50" s="9" t="s">
        <v>438</v>
      </c>
      <c r="F50" s="9" t="s">
        <v>439</v>
      </c>
      <c r="G50" s="9" t="s">
        <v>440</v>
      </c>
      <c r="H50" s="9">
        <v>2025.0</v>
      </c>
      <c r="I50" s="9" t="s">
        <v>38</v>
      </c>
      <c r="K50" s="9" t="s">
        <v>49</v>
      </c>
      <c r="L50" s="9" t="s">
        <v>50</v>
      </c>
      <c r="M50" s="9">
        <v>0.0</v>
      </c>
      <c r="N50" s="9" t="s">
        <v>441</v>
      </c>
      <c r="O50" s="9" t="s">
        <v>51</v>
      </c>
      <c r="P50" s="9" t="s">
        <v>442</v>
      </c>
      <c r="Q50" s="9" t="s">
        <v>443</v>
      </c>
      <c r="R50" s="9" t="s">
        <v>444</v>
      </c>
      <c r="S50" s="9" t="s">
        <v>437</v>
      </c>
      <c r="T50" s="9" t="s">
        <v>445</v>
      </c>
      <c r="U50" s="9" t="s">
        <v>446</v>
      </c>
      <c r="Z50" s="9">
        <v>0.0</v>
      </c>
      <c r="AA50" s="9">
        <v>0.0</v>
      </c>
      <c r="AD50" s="9">
        <v>0.0</v>
      </c>
      <c r="AE50" s="10"/>
      <c r="AF50" s="6" t="s">
        <v>38</v>
      </c>
    </row>
    <row r="51" ht="22.5" customHeight="1">
      <c r="A51" s="11" t="s">
        <v>103</v>
      </c>
      <c r="B51" s="8">
        <v>46086.50878059027</v>
      </c>
      <c r="C51" s="9" t="s">
        <v>447</v>
      </c>
      <c r="D51" s="9" t="s">
        <v>34</v>
      </c>
      <c r="E51" s="9" t="s">
        <v>448</v>
      </c>
      <c r="F51" s="9" t="s">
        <v>449</v>
      </c>
      <c r="G51" s="9" t="s">
        <v>450</v>
      </c>
      <c r="H51" s="9">
        <v>2025.0</v>
      </c>
      <c r="I51" s="9" t="s">
        <v>50</v>
      </c>
      <c r="K51" s="9" t="s">
        <v>49</v>
      </c>
      <c r="L51" s="9" t="s">
        <v>38</v>
      </c>
      <c r="M51" s="9" t="s">
        <v>451</v>
      </c>
      <c r="N51" s="9" t="s">
        <v>452</v>
      </c>
      <c r="O51" s="9" t="s">
        <v>51</v>
      </c>
      <c r="P51" s="9" t="s">
        <v>453</v>
      </c>
      <c r="Q51" s="9" t="s">
        <v>454</v>
      </c>
      <c r="R51" s="9">
        <v>9.59013786E8</v>
      </c>
      <c r="S51" s="9" t="s">
        <v>447</v>
      </c>
      <c r="T51" s="9" t="s">
        <v>455</v>
      </c>
      <c r="U51" s="9" t="s">
        <v>456</v>
      </c>
      <c r="V51" s="9" t="s">
        <v>457</v>
      </c>
      <c r="W51" s="9" t="s">
        <v>458</v>
      </c>
      <c r="Z51" s="9">
        <v>0.0</v>
      </c>
      <c r="AA51" s="9">
        <v>0.0</v>
      </c>
      <c r="AB51" s="9">
        <v>0.0</v>
      </c>
      <c r="AD51" s="9">
        <v>0.0</v>
      </c>
      <c r="AF51" s="6" t="s">
        <v>38</v>
      </c>
    </row>
    <row r="52" ht="22.5" customHeight="1">
      <c r="A52" s="11" t="s">
        <v>32</v>
      </c>
      <c r="B52" s="8">
        <v>46086.61560611111</v>
      </c>
      <c r="C52" s="9" t="s">
        <v>459</v>
      </c>
      <c r="D52" s="9" t="s">
        <v>223</v>
      </c>
      <c r="E52" s="9" t="s">
        <v>460</v>
      </c>
      <c r="F52" s="9" t="s">
        <v>461</v>
      </c>
      <c r="G52" s="9" t="s">
        <v>462</v>
      </c>
      <c r="H52" s="9">
        <v>2025.0</v>
      </c>
      <c r="I52" s="9" t="s">
        <v>38</v>
      </c>
      <c r="K52" s="9" t="s">
        <v>49</v>
      </c>
      <c r="L52" s="9" t="s">
        <v>50</v>
      </c>
      <c r="M52" s="9">
        <v>0.0</v>
      </c>
      <c r="N52" s="9">
        <v>0.0</v>
      </c>
      <c r="O52" s="9" t="s">
        <v>78</v>
      </c>
      <c r="P52" s="9" t="s">
        <v>463</v>
      </c>
      <c r="Q52" s="9" t="s">
        <v>462</v>
      </c>
      <c r="R52" s="9" t="s">
        <v>464</v>
      </c>
      <c r="S52" s="9" t="s">
        <v>459</v>
      </c>
      <c r="Z52" s="9">
        <v>0.0</v>
      </c>
      <c r="AD52" s="9">
        <v>0.0</v>
      </c>
      <c r="AF52" s="6" t="s">
        <v>38</v>
      </c>
    </row>
    <row r="53" ht="22.5" customHeight="1">
      <c r="A53" s="11" t="s">
        <v>32</v>
      </c>
      <c r="B53" s="8">
        <v>46086.62302322917</v>
      </c>
      <c r="C53" s="9" t="s">
        <v>459</v>
      </c>
      <c r="D53" s="9" t="s">
        <v>34</v>
      </c>
      <c r="E53" s="9" t="s">
        <v>465</v>
      </c>
      <c r="F53" s="9" t="s">
        <v>466</v>
      </c>
      <c r="G53" s="9" t="s">
        <v>462</v>
      </c>
      <c r="H53" s="9">
        <v>2025.0</v>
      </c>
      <c r="I53" s="9" t="s">
        <v>38</v>
      </c>
      <c r="K53" s="9" t="s">
        <v>49</v>
      </c>
      <c r="L53" s="9" t="s">
        <v>50</v>
      </c>
      <c r="M53" s="9">
        <v>0.0</v>
      </c>
      <c r="N53" s="9">
        <v>0.0</v>
      </c>
      <c r="O53" s="9" t="s">
        <v>51</v>
      </c>
      <c r="P53" s="9" t="s">
        <v>467</v>
      </c>
      <c r="Q53" s="9" t="s">
        <v>462</v>
      </c>
      <c r="R53" s="9" t="s">
        <v>464</v>
      </c>
      <c r="S53" s="9" t="s">
        <v>459</v>
      </c>
      <c r="Z53" s="9">
        <v>7450000.0</v>
      </c>
      <c r="AD53" s="9">
        <v>0.0</v>
      </c>
      <c r="AF53" s="6" t="s">
        <v>38</v>
      </c>
    </row>
    <row r="54" ht="22.5" customHeight="1">
      <c r="A54" s="11" t="s">
        <v>32</v>
      </c>
      <c r="B54" s="8">
        <v>46086.648450451394</v>
      </c>
      <c r="C54" s="9" t="s">
        <v>468</v>
      </c>
      <c r="D54" s="9" t="s">
        <v>34</v>
      </c>
      <c r="E54" s="9" t="s">
        <v>469</v>
      </c>
      <c r="F54" s="9" t="s">
        <v>470</v>
      </c>
      <c r="G54" s="9" t="s">
        <v>471</v>
      </c>
      <c r="H54" s="9">
        <v>2025.0</v>
      </c>
      <c r="I54" s="9" t="s">
        <v>38</v>
      </c>
      <c r="K54" s="9" t="s">
        <v>49</v>
      </c>
      <c r="L54" s="9" t="s">
        <v>50</v>
      </c>
      <c r="M54" s="9">
        <v>0.0</v>
      </c>
      <c r="N54" s="9" t="s">
        <v>472</v>
      </c>
      <c r="O54" s="9" t="s">
        <v>78</v>
      </c>
      <c r="P54" s="9" t="s">
        <v>473</v>
      </c>
      <c r="Q54" s="9" t="s">
        <v>474</v>
      </c>
      <c r="R54" s="9">
        <v>9.90524706E8</v>
      </c>
      <c r="S54" s="9" t="s">
        <v>468</v>
      </c>
      <c r="T54" s="9" t="s">
        <v>475</v>
      </c>
      <c r="U54" s="9" t="s">
        <v>474</v>
      </c>
      <c r="Z54" s="9">
        <v>200000.0</v>
      </c>
      <c r="AA54" s="9">
        <v>0.0</v>
      </c>
      <c r="AD54" s="9">
        <v>0.0</v>
      </c>
      <c r="AF54" s="6" t="s">
        <v>38</v>
      </c>
    </row>
    <row r="55" ht="22.5" customHeight="1">
      <c r="A55" s="11" t="s">
        <v>32</v>
      </c>
      <c r="B55" s="8">
        <v>46086.82211581018</v>
      </c>
      <c r="C55" s="9" t="s">
        <v>476</v>
      </c>
      <c r="D55" s="9" t="s">
        <v>34</v>
      </c>
      <c r="E55" s="9" t="s">
        <v>477</v>
      </c>
      <c r="F55" s="9" t="s">
        <v>478</v>
      </c>
      <c r="G55" s="9" t="s">
        <v>479</v>
      </c>
      <c r="H55" s="9">
        <v>2025.0</v>
      </c>
      <c r="I55" s="9" t="s">
        <v>38</v>
      </c>
      <c r="K55" s="9" t="s">
        <v>39</v>
      </c>
      <c r="L55" s="9" t="s">
        <v>38</v>
      </c>
      <c r="M55" s="9">
        <v>0.0</v>
      </c>
      <c r="N55" s="9" t="s">
        <v>109</v>
      </c>
      <c r="O55" s="9" t="s">
        <v>78</v>
      </c>
      <c r="P55" s="9" t="s">
        <v>480</v>
      </c>
      <c r="Q55" s="9" t="s">
        <v>479</v>
      </c>
      <c r="R55" s="9" t="s">
        <v>481</v>
      </c>
      <c r="S55" s="9" t="s">
        <v>482</v>
      </c>
      <c r="Z55" s="9">
        <v>0.0</v>
      </c>
      <c r="AD55" s="9">
        <v>0.0</v>
      </c>
      <c r="AF55" s="6" t="s">
        <v>50</v>
      </c>
    </row>
    <row r="56" ht="22.5" customHeight="1">
      <c r="A56" s="11" t="s">
        <v>32</v>
      </c>
      <c r="B56" s="8">
        <v>46086.917185185186</v>
      </c>
      <c r="C56" s="9" t="s">
        <v>483</v>
      </c>
      <c r="D56" s="9" t="s">
        <v>34</v>
      </c>
      <c r="E56" s="9" t="s">
        <v>484</v>
      </c>
      <c r="F56" s="9" t="s">
        <v>485</v>
      </c>
      <c r="G56" s="9" t="s">
        <v>486</v>
      </c>
      <c r="H56" s="9">
        <v>2025.0</v>
      </c>
      <c r="I56" s="9" t="s">
        <v>38</v>
      </c>
      <c r="K56" s="9" t="s">
        <v>49</v>
      </c>
      <c r="L56" s="9" t="s">
        <v>50</v>
      </c>
      <c r="M56" s="9">
        <v>5000000.0</v>
      </c>
      <c r="N56" s="9">
        <v>0.0</v>
      </c>
      <c r="O56" s="9" t="s">
        <v>78</v>
      </c>
      <c r="P56" s="9" t="s">
        <v>487</v>
      </c>
      <c r="Q56" s="9" t="s">
        <v>488</v>
      </c>
      <c r="R56" s="9">
        <v>9.56679047E8</v>
      </c>
      <c r="S56" s="9" t="s">
        <v>483</v>
      </c>
      <c r="Z56" s="9">
        <v>0.0</v>
      </c>
      <c r="AD56" s="9">
        <v>0.0</v>
      </c>
      <c r="AF56" s="6" t="s">
        <v>38</v>
      </c>
    </row>
    <row r="57" ht="22.5" customHeight="1">
      <c r="A57" s="11" t="s">
        <v>32</v>
      </c>
      <c r="B57" s="8">
        <v>46087.48058103009</v>
      </c>
      <c r="C57" s="9" t="s">
        <v>489</v>
      </c>
      <c r="D57" s="9" t="s">
        <v>34</v>
      </c>
      <c r="E57" s="9" t="s">
        <v>490</v>
      </c>
      <c r="F57" s="9" t="s">
        <v>491</v>
      </c>
      <c r="G57" s="9" t="s">
        <v>492</v>
      </c>
      <c r="H57" s="9">
        <v>2025.0</v>
      </c>
      <c r="I57" s="9" t="s">
        <v>38</v>
      </c>
      <c r="K57" s="9" t="s">
        <v>49</v>
      </c>
      <c r="L57" s="9" t="s">
        <v>50</v>
      </c>
      <c r="M57" s="9">
        <v>0.0</v>
      </c>
      <c r="N57" s="9">
        <v>1500000.0</v>
      </c>
      <c r="O57" s="9" t="s">
        <v>51</v>
      </c>
      <c r="P57" s="9" t="s">
        <v>493</v>
      </c>
      <c r="Q57" s="9" t="s">
        <v>494</v>
      </c>
      <c r="R57" s="9">
        <v>9.61589674E8</v>
      </c>
      <c r="S57" s="9" t="s">
        <v>495</v>
      </c>
      <c r="Z57" s="9" t="s">
        <v>496</v>
      </c>
      <c r="AD57" s="9">
        <v>0.0</v>
      </c>
      <c r="AF57" s="6" t="s">
        <v>50</v>
      </c>
    </row>
    <row r="58" ht="22.5" customHeight="1">
      <c r="A58" s="11" t="s">
        <v>32</v>
      </c>
      <c r="B58" s="8">
        <v>46087.49012202546</v>
      </c>
      <c r="C58" s="9" t="s">
        <v>497</v>
      </c>
      <c r="D58" s="9" t="s">
        <v>34</v>
      </c>
      <c r="E58" s="13" t="s">
        <v>498</v>
      </c>
      <c r="F58" s="9" t="s">
        <v>499</v>
      </c>
      <c r="G58" s="9" t="s">
        <v>500</v>
      </c>
      <c r="H58" s="9">
        <v>2025.0</v>
      </c>
      <c r="I58" s="9" t="s">
        <v>38</v>
      </c>
      <c r="K58" s="9" t="s">
        <v>39</v>
      </c>
      <c r="L58" s="9" t="s">
        <v>38</v>
      </c>
      <c r="M58" s="9">
        <v>0.0</v>
      </c>
      <c r="N58" s="9" t="s">
        <v>501</v>
      </c>
      <c r="O58" s="9" t="s">
        <v>78</v>
      </c>
      <c r="P58" s="9" t="s">
        <v>502</v>
      </c>
      <c r="Q58" s="9" t="s">
        <v>500</v>
      </c>
      <c r="R58" s="9">
        <v>9.74343694E8</v>
      </c>
      <c r="S58" s="9" t="s">
        <v>497</v>
      </c>
      <c r="Z58" s="9" t="s">
        <v>503</v>
      </c>
      <c r="AD58" s="9">
        <v>0.0</v>
      </c>
      <c r="AF58" s="6" t="s">
        <v>38</v>
      </c>
    </row>
    <row r="59" ht="22.5" customHeight="1">
      <c r="A59" s="11" t="s">
        <v>32</v>
      </c>
      <c r="B59" s="8">
        <v>46087.562277060184</v>
      </c>
      <c r="C59" s="9" t="s">
        <v>504</v>
      </c>
      <c r="D59" s="9" t="s">
        <v>34</v>
      </c>
      <c r="E59" s="9" t="s">
        <v>505</v>
      </c>
      <c r="F59" s="9" t="s">
        <v>506</v>
      </c>
      <c r="G59" s="9" t="s">
        <v>507</v>
      </c>
      <c r="H59" s="9">
        <v>2025.0</v>
      </c>
      <c r="I59" s="9" t="s">
        <v>38</v>
      </c>
      <c r="K59" s="9" t="s">
        <v>39</v>
      </c>
      <c r="L59" s="9" t="s">
        <v>38</v>
      </c>
      <c r="M59" s="9">
        <v>0.0</v>
      </c>
      <c r="N59" s="9">
        <v>0.0</v>
      </c>
      <c r="O59" s="9" t="s">
        <v>78</v>
      </c>
      <c r="P59" s="9" t="s">
        <v>508</v>
      </c>
      <c r="Q59" s="9" t="s">
        <v>507</v>
      </c>
      <c r="R59" s="9">
        <v>9.68607758E8</v>
      </c>
      <c r="S59" s="9" t="s">
        <v>504</v>
      </c>
      <c r="Z59" s="9">
        <v>0.0</v>
      </c>
      <c r="AD59" s="9">
        <v>0.0</v>
      </c>
      <c r="AF59" s="6" t="s">
        <v>64</v>
      </c>
    </row>
    <row r="60" ht="22.5" customHeight="1">
      <c r="A60" s="11" t="s">
        <v>32</v>
      </c>
      <c r="B60" s="8">
        <v>46087.677412233796</v>
      </c>
      <c r="C60" s="9" t="s">
        <v>509</v>
      </c>
      <c r="D60" s="9" t="s">
        <v>34</v>
      </c>
      <c r="E60" s="9" t="s">
        <v>510</v>
      </c>
      <c r="F60" s="9" t="s">
        <v>511</v>
      </c>
      <c r="G60" s="9" t="s">
        <v>512</v>
      </c>
      <c r="H60" s="9">
        <v>2025.0</v>
      </c>
      <c r="I60" s="9" t="s">
        <v>38</v>
      </c>
      <c r="K60" s="9" t="s">
        <v>39</v>
      </c>
      <c r="L60" s="9" t="s">
        <v>38</v>
      </c>
      <c r="M60" s="9">
        <v>0.0</v>
      </c>
      <c r="N60" s="9">
        <v>0.0</v>
      </c>
      <c r="O60" s="9" t="s">
        <v>78</v>
      </c>
      <c r="P60" s="9">
        <v>0.0</v>
      </c>
      <c r="Q60" s="9">
        <v>0.0</v>
      </c>
      <c r="R60" s="9">
        <v>0.0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0.0</v>
      </c>
      <c r="AB60" s="9">
        <v>0.0</v>
      </c>
      <c r="AC60" s="9">
        <v>0.0</v>
      </c>
      <c r="AD60" s="9">
        <v>0.0</v>
      </c>
      <c r="AF60" s="6" t="s">
        <v>38</v>
      </c>
    </row>
    <row r="61" ht="22.5" customHeight="1">
      <c r="A61" s="11" t="s">
        <v>32</v>
      </c>
      <c r="B61" s="8">
        <v>46089.66343829861</v>
      </c>
      <c r="C61" s="9" t="s">
        <v>513</v>
      </c>
      <c r="D61" s="9" t="s">
        <v>34</v>
      </c>
      <c r="E61" s="9" t="s">
        <v>514</v>
      </c>
      <c r="F61" s="9" t="s">
        <v>515</v>
      </c>
      <c r="G61" s="9" t="s">
        <v>516</v>
      </c>
      <c r="H61" s="9">
        <v>2025.0</v>
      </c>
      <c r="I61" s="9" t="s">
        <v>38</v>
      </c>
      <c r="K61" s="9" t="s">
        <v>39</v>
      </c>
      <c r="L61" s="9" t="s">
        <v>50</v>
      </c>
      <c r="M61" s="9">
        <v>0.0</v>
      </c>
      <c r="N61" s="9">
        <v>0.0</v>
      </c>
      <c r="O61" s="9" t="s">
        <v>51</v>
      </c>
      <c r="P61" s="9" t="s">
        <v>517</v>
      </c>
      <c r="Q61" s="9">
        <v>7.78391198E8</v>
      </c>
      <c r="R61" s="9" t="s">
        <v>518</v>
      </c>
      <c r="S61" s="9" t="s">
        <v>513</v>
      </c>
      <c r="Z61" s="9">
        <v>0.0</v>
      </c>
      <c r="AD61" s="9">
        <v>0.0</v>
      </c>
      <c r="AF61" s="6" t="s">
        <v>38</v>
      </c>
    </row>
    <row r="62" ht="22.5" customHeight="1">
      <c r="A62" s="11" t="s">
        <v>32</v>
      </c>
      <c r="B62" s="8">
        <v>46090.416740625005</v>
      </c>
      <c r="C62" s="9" t="s">
        <v>519</v>
      </c>
      <c r="D62" s="9" t="s">
        <v>34</v>
      </c>
      <c r="E62" s="9" t="s">
        <v>520</v>
      </c>
      <c r="F62" s="9" t="s">
        <v>521</v>
      </c>
      <c r="G62" s="9" t="s">
        <v>522</v>
      </c>
      <c r="H62" s="9">
        <v>2025.0</v>
      </c>
      <c r="I62" s="9" t="s">
        <v>38</v>
      </c>
      <c r="K62" s="9" t="s">
        <v>39</v>
      </c>
      <c r="L62" s="9" t="s">
        <v>38</v>
      </c>
      <c r="M62" s="9">
        <v>0.0</v>
      </c>
      <c r="N62" s="9">
        <v>0.0</v>
      </c>
      <c r="O62" s="9" t="s">
        <v>78</v>
      </c>
      <c r="P62" s="9" t="s">
        <v>523</v>
      </c>
      <c r="Q62" s="9" t="s">
        <v>524</v>
      </c>
      <c r="R62" s="9">
        <v>9.65847838E8</v>
      </c>
      <c r="S62" s="9" t="s">
        <v>519</v>
      </c>
      <c r="T62" s="9" t="s">
        <v>525</v>
      </c>
      <c r="U62" s="9" t="s">
        <v>526</v>
      </c>
      <c r="V62" s="9" t="s">
        <v>527</v>
      </c>
      <c r="Z62" s="9">
        <v>0.0</v>
      </c>
      <c r="AA62" s="9">
        <v>0.0</v>
      </c>
      <c r="AD62" s="9">
        <v>0.0</v>
      </c>
      <c r="AF62" s="6" t="s">
        <v>38</v>
      </c>
    </row>
    <row r="63" ht="22.5" customHeight="1">
      <c r="A63" s="11" t="s">
        <v>32</v>
      </c>
      <c r="B63" s="8">
        <v>46090.47073701389</v>
      </c>
      <c r="C63" s="9" t="s">
        <v>528</v>
      </c>
      <c r="D63" s="9" t="s">
        <v>34</v>
      </c>
      <c r="E63" s="9" t="s">
        <v>529</v>
      </c>
      <c r="F63" s="9" t="s">
        <v>530</v>
      </c>
      <c r="G63" s="9" t="s">
        <v>531</v>
      </c>
      <c r="H63" s="9">
        <v>2025.0</v>
      </c>
      <c r="I63" s="9" t="s">
        <v>38</v>
      </c>
      <c r="K63" s="9" t="s">
        <v>49</v>
      </c>
      <c r="L63" s="9" t="s">
        <v>50</v>
      </c>
      <c r="M63" s="9">
        <v>0.0</v>
      </c>
      <c r="N63" s="9">
        <v>0.0</v>
      </c>
      <c r="O63" s="9" t="s">
        <v>78</v>
      </c>
      <c r="P63" s="9" t="s">
        <v>532</v>
      </c>
      <c r="Q63" s="9" t="s">
        <v>533</v>
      </c>
      <c r="R63" s="9">
        <v>9.26964305E8</v>
      </c>
      <c r="S63" s="9" t="s">
        <v>534</v>
      </c>
      <c r="T63" s="9" t="s">
        <v>535</v>
      </c>
      <c r="U63" s="9" t="s">
        <v>536</v>
      </c>
      <c r="Z63" s="9">
        <v>0.0</v>
      </c>
      <c r="AD63" s="9">
        <v>0.0</v>
      </c>
      <c r="AF63" s="6" t="s">
        <v>38</v>
      </c>
    </row>
    <row r="64" ht="22.5" customHeight="1">
      <c r="A64" s="11" t="s">
        <v>32</v>
      </c>
      <c r="B64" s="8">
        <v>46090.55508420139</v>
      </c>
      <c r="C64" s="9" t="s">
        <v>537</v>
      </c>
      <c r="D64" s="9" t="s">
        <v>34</v>
      </c>
      <c r="E64" s="9" t="s">
        <v>538</v>
      </c>
      <c r="F64" s="9" t="s">
        <v>539</v>
      </c>
      <c r="G64" s="9" t="s">
        <v>540</v>
      </c>
      <c r="H64" s="9">
        <v>2025.0</v>
      </c>
      <c r="I64" s="9" t="s">
        <v>38</v>
      </c>
      <c r="K64" s="9" t="s">
        <v>39</v>
      </c>
      <c r="L64" s="9" t="s">
        <v>38</v>
      </c>
      <c r="M64" s="9">
        <v>600000.0</v>
      </c>
      <c r="N64" s="9" t="s">
        <v>49</v>
      </c>
      <c r="O64" s="9" t="s">
        <v>78</v>
      </c>
      <c r="P64" s="9">
        <v>2.53300353E8</v>
      </c>
      <c r="Q64" s="9" t="s">
        <v>541</v>
      </c>
      <c r="R64" s="9">
        <v>9.65220068E8</v>
      </c>
      <c r="S64" s="9" t="s">
        <v>542</v>
      </c>
      <c r="Z64" s="9">
        <v>0.0</v>
      </c>
      <c r="AD64" s="9">
        <v>0.0</v>
      </c>
      <c r="AF64" s="6" t="s">
        <v>38</v>
      </c>
    </row>
    <row r="65" ht="22.5" customHeight="1">
      <c r="A65" s="11" t="s">
        <v>32</v>
      </c>
      <c r="B65" s="8">
        <v>46090.65104135417</v>
      </c>
      <c r="C65" s="9" t="s">
        <v>543</v>
      </c>
      <c r="D65" s="9" t="s">
        <v>34</v>
      </c>
      <c r="E65" s="9" t="s">
        <v>544</v>
      </c>
      <c r="F65" s="9" t="s">
        <v>545</v>
      </c>
      <c r="G65" s="9" t="s">
        <v>546</v>
      </c>
      <c r="H65" s="9">
        <v>2025.0</v>
      </c>
      <c r="I65" s="9" t="s">
        <v>38</v>
      </c>
      <c r="K65" s="9" t="s">
        <v>49</v>
      </c>
      <c r="L65" s="9" t="s">
        <v>38</v>
      </c>
      <c r="M65" s="9" t="s">
        <v>547</v>
      </c>
      <c r="N65" s="9" t="s">
        <v>548</v>
      </c>
      <c r="O65" s="9" t="s">
        <v>78</v>
      </c>
      <c r="P65" s="9" t="s">
        <v>549</v>
      </c>
      <c r="Q65" s="9" t="s">
        <v>550</v>
      </c>
      <c r="R65" s="9">
        <v>9.4230076E8</v>
      </c>
      <c r="S65" s="9" t="s">
        <v>551</v>
      </c>
      <c r="Z65" s="9">
        <v>0.0</v>
      </c>
      <c r="AD65" s="9">
        <v>0.0</v>
      </c>
      <c r="AF65" s="6" t="s">
        <v>38</v>
      </c>
    </row>
    <row r="66" ht="22.5" customHeight="1">
      <c r="A66" s="11" t="s">
        <v>32</v>
      </c>
      <c r="B66" s="8">
        <v>46090.73037306713</v>
      </c>
      <c r="C66" s="9" t="s">
        <v>552</v>
      </c>
      <c r="D66" s="9" t="s">
        <v>34</v>
      </c>
      <c r="E66" s="9" t="s">
        <v>553</v>
      </c>
      <c r="F66" s="9" t="s">
        <v>554</v>
      </c>
      <c r="G66" s="9" t="s">
        <v>555</v>
      </c>
      <c r="H66" s="9">
        <v>2025.0</v>
      </c>
      <c r="I66" s="9" t="s">
        <v>38</v>
      </c>
      <c r="K66" s="9" t="s">
        <v>39</v>
      </c>
      <c r="L66" s="9" t="s">
        <v>38</v>
      </c>
      <c r="M66" s="9" t="s">
        <v>556</v>
      </c>
      <c r="N66" s="9" t="s">
        <v>557</v>
      </c>
      <c r="O66" s="9" t="s">
        <v>78</v>
      </c>
      <c r="P66" s="9" t="s">
        <v>558</v>
      </c>
      <c r="Q66" s="9" t="s">
        <v>555</v>
      </c>
      <c r="R66" s="9">
        <v>9.50167243E8</v>
      </c>
      <c r="S66" s="9" t="s">
        <v>552</v>
      </c>
      <c r="Z66" s="9">
        <v>0.0</v>
      </c>
      <c r="AD66" s="9">
        <v>0.0</v>
      </c>
      <c r="AF66" s="6" t="s">
        <v>38</v>
      </c>
    </row>
    <row r="67" ht="22.5" customHeight="1">
      <c r="A67" s="11" t="s">
        <v>103</v>
      </c>
      <c r="B67" s="8">
        <v>46090.95231450231</v>
      </c>
      <c r="C67" s="9" t="s">
        <v>559</v>
      </c>
      <c r="D67" s="9" t="s">
        <v>34</v>
      </c>
      <c r="E67" s="9" t="s">
        <v>560</v>
      </c>
      <c r="F67" s="9" t="s">
        <v>561</v>
      </c>
      <c r="G67" s="9" t="s">
        <v>562</v>
      </c>
      <c r="H67" s="9">
        <v>2025.0</v>
      </c>
      <c r="I67" s="9" t="s">
        <v>38</v>
      </c>
      <c r="K67" s="9" t="s">
        <v>49</v>
      </c>
      <c r="L67" s="9" t="s">
        <v>50</v>
      </c>
      <c r="M67" s="9" t="s">
        <v>563</v>
      </c>
      <c r="N67" s="9">
        <v>0.0</v>
      </c>
      <c r="O67" s="9" t="s">
        <v>78</v>
      </c>
      <c r="P67" s="9" t="s">
        <v>564</v>
      </c>
      <c r="Q67" s="9" t="s">
        <v>565</v>
      </c>
      <c r="R67" s="9">
        <v>9.40394174E8</v>
      </c>
      <c r="S67" s="9" t="s">
        <v>566</v>
      </c>
      <c r="Z67" s="9" t="s">
        <v>567</v>
      </c>
      <c r="AD67" s="9">
        <v>0.0</v>
      </c>
      <c r="AF67" s="6" t="s">
        <v>38</v>
      </c>
    </row>
    <row r="68" ht="22.5" customHeight="1">
      <c r="A68" s="11" t="s">
        <v>32</v>
      </c>
      <c r="B68" s="8">
        <v>46091.45269259259</v>
      </c>
      <c r="C68" s="9" t="s">
        <v>568</v>
      </c>
      <c r="D68" s="9" t="s">
        <v>34</v>
      </c>
      <c r="E68" s="9" t="s">
        <v>569</v>
      </c>
      <c r="F68" s="9" t="s">
        <v>570</v>
      </c>
      <c r="G68" s="9" t="s">
        <v>571</v>
      </c>
      <c r="H68" s="9">
        <v>2025.0</v>
      </c>
      <c r="I68" s="9" t="s">
        <v>38</v>
      </c>
      <c r="K68" s="9" t="s">
        <v>39</v>
      </c>
      <c r="L68" s="9" t="s">
        <v>38</v>
      </c>
      <c r="M68" s="9">
        <v>0.0</v>
      </c>
      <c r="N68" s="14">
        <v>300.0</v>
      </c>
      <c r="O68" s="9" t="s">
        <v>78</v>
      </c>
      <c r="P68" s="9" t="s">
        <v>572</v>
      </c>
      <c r="Q68" s="9" t="s">
        <v>571</v>
      </c>
      <c r="R68" s="9">
        <v>9.94728935E8</v>
      </c>
      <c r="S68" s="9" t="s">
        <v>573</v>
      </c>
      <c r="Z68" s="9">
        <v>0.0</v>
      </c>
      <c r="AD68" s="9">
        <v>0.0</v>
      </c>
      <c r="AF68" s="6" t="s">
        <v>38</v>
      </c>
    </row>
    <row r="69" ht="22.5" customHeight="1">
      <c r="A69" s="11" t="s">
        <v>32</v>
      </c>
      <c r="B69" s="8">
        <v>46091.48268407407</v>
      </c>
      <c r="C69" s="9" t="s">
        <v>574</v>
      </c>
      <c r="D69" s="9" t="s">
        <v>34</v>
      </c>
      <c r="E69" s="9" t="s">
        <v>575</v>
      </c>
      <c r="F69" s="9" t="s">
        <v>576</v>
      </c>
      <c r="G69" s="9" t="s">
        <v>577</v>
      </c>
      <c r="H69" s="9">
        <v>2025.0</v>
      </c>
      <c r="I69" s="9" t="s">
        <v>38</v>
      </c>
      <c r="K69" s="9" t="s">
        <v>49</v>
      </c>
      <c r="L69" s="9" t="s">
        <v>38</v>
      </c>
      <c r="M69" s="9">
        <v>0.0</v>
      </c>
      <c r="N69" s="9" t="s">
        <v>49</v>
      </c>
      <c r="O69" s="9" t="s">
        <v>78</v>
      </c>
      <c r="P69" s="9" t="s">
        <v>578</v>
      </c>
      <c r="Q69" s="9" t="s">
        <v>579</v>
      </c>
      <c r="R69" s="9">
        <v>9.95319358E8</v>
      </c>
      <c r="S69" s="9" t="s">
        <v>580</v>
      </c>
      <c r="T69" s="9" t="s">
        <v>581</v>
      </c>
      <c r="Z69" s="9">
        <v>0.0</v>
      </c>
      <c r="AD69" s="9">
        <v>0.0</v>
      </c>
      <c r="AF69" s="6" t="s">
        <v>38</v>
      </c>
    </row>
    <row r="70" ht="22.5" customHeight="1">
      <c r="A70" s="11" t="s">
        <v>32</v>
      </c>
      <c r="B70" s="8">
        <v>46091.50507483796</v>
      </c>
      <c r="C70" s="9" t="s">
        <v>582</v>
      </c>
      <c r="D70" s="9" t="s">
        <v>223</v>
      </c>
      <c r="E70" s="9" t="s">
        <v>583</v>
      </c>
      <c r="F70" s="9" t="s">
        <v>584</v>
      </c>
      <c r="G70" s="9" t="s">
        <v>585</v>
      </c>
      <c r="H70" s="9">
        <v>2025.0</v>
      </c>
      <c r="I70" s="9" t="s">
        <v>38</v>
      </c>
      <c r="K70" s="9" t="s">
        <v>49</v>
      </c>
      <c r="L70" s="9" t="s">
        <v>50</v>
      </c>
      <c r="M70" s="9">
        <v>0.0</v>
      </c>
      <c r="N70" s="9">
        <v>0.0</v>
      </c>
      <c r="O70" s="9" t="s">
        <v>78</v>
      </c>
      <c r="P70" s="9" t="s">
        <v>586</v>
      </c>
      <c r="Q70" s="9" t="s">
        <v>585</v>
      </c>
      <c r="R70" s="9">
        <v>9.82414143E8</v>
      </c>
      <c r="S70" s="9" t="s">
        <v>587</v>
      </c>
      <c r="Z70" s="9">
        <v>0.0</v>
      </c>
      <c r="AD70" s="9">
        <v>0.0</v>
      </c>
      <c r="AF70" s="6" t="s">
        <v>38</v>
      </c>
    </row>
    <row r="71" ht="22.5" customHeight="1">
      <c r="A71" s="11" t="s">
        <v>32</v>
      </c>
      <c r="B71" s="8">
        <v>46091.54543899305</v>
      </c>
      <c r="C71" s="9" t="s">
        <v>588</v>
      </c>
      <c r="D71" s="9" t="s">
        <v>34</v>
      </c>
      <c r="E71" s="9" t="s">
        <v>589</v>
      </c>
      <c r="F71" s="9" t="s">
        <v>590</v>
      </c>
      <c r="G71" s="9" t="s">
        <v>591</v>
      </c>
      <c r="H71" s="9">
        <v>2025.0</v>
      </c>
      <c r="I71" s="9" t="s">
        <v>38</v>
      </c>
      <c r="K71" s="9" t="s">
        <v>49</v>
      </c>
      <c r="L71" s="9" t="s">
        <v>50</v>
      </c>
      <c r="M71" s="9" t="s">
        <v>592</v>
      </c>
      <c r="N71" s="9" t="s">
        <v>49</v>
      </c>
      <c r="O71" s="9" t="s">
        <v>51</v>
      </c>
      <c r="P71" s="9" t="s">
        <v>593</v>
      </c>
      <c r="Q71" s="9" t="s">
        <v>49</v>
      </c>
      <c r="R71" s="9">
        <v>9.40824985E8</v>
      </c>
      <c r="S71" s="9" t="s">
        <v>594</v>
      </c>
      <c r="Z71" s="9">
        <v>0.0</v>
      </c>
      <c r="AD71" s="9">
        <v>0.0</v>
      </c>
      <c r="AF71" s="6" t="s">
        <v>50</v>
      </c>
    </row>
    <row r="72" ht="22.5" customHeight="1">
      <c r="A72" s="11" t="s">
        <v>32</v>
      </c>
      <c r="B72" s="8">
        <v>46091.6340906713</v>
      </c>
      <c r="C72" s="9" t="s">
        <v>595</v>
      </c>
      <c r="D72" s="9" t="s">
        <v>34</v>
      </c>
      <c r="E72" s="9" t="s">
        <v>596</v>
      </c>
      <c r="F72" s="9" t="s">
        <v>597</v>
      </c>
      <c r="G72" s="9" t="s">
        <v>598</v>
      </c>
      <c r="H72" s="9">
        <v>2025.0</v>
      </c>
      <c r="I72" s="9" t="s">
        <v>38</v>
      </c>
      <c r="K72" s="9" t="s">
        <v>49</v>
      </c>
      <c r="L72" s="9" t="s">
        <v>50</v>
      </c>
      <c r="M72" s="9" t="s">
        <v>599</v>
      </c>
      <c r="N72" s="9" t="s">
        <v>600</v>
      </c>
      <c r="O72" s="9" t="s">
        <v>78</v>
      </c>
      <c r="P72" s="9" t="s">
        <v>601</v>
      </c>
      <c r="Q72" s="9" t="s">
        <v>602</v>
      </c>
      <c r="R72" s="9">
        <v>9.26468918E8</v>
      </c>
      <c r="S72" s="9" t="s">
        <v>595</v>
      </c>
      <c r="Z72" s="9">
        <v>0.0</v>
      </c>
      <c r="AD72" s="9">
        <v>0.0</v>
      </c>
      <c r="AF72" s="6" t="s">
        <v>38</v>
      </c>
    </row>
    <row r="73" ht="22.5" customHeight="1">
      <c r="A73" s="11" t="s">
        <v>32</v>
      </c>
      <c r="B73" s="8">
        <v>46092.422624548606</v>
      </c>
      <c r="C73" s="9" t="s">
        <v>603</v>
      </c>
      <c r="D73" s="9" t="s">
        <v>34</v>
      </c>
      <c r="E73" s="9" t="s">
        <v>604</v>
      </c>
      <c r="F73" s="9" t="s">
        <v>605</v>
      </c>
      <c r="G73" s="9" t="s">
        <v>606</v>
      </c>
      <c r="H73" s="9">
        <v>2025.0</v>
      </c>
      <c r="I73" s="9" t="s">
        <v>38</v>
      </c>
      <c r="K73" s="9" t="s">
        <v>49</v>
      </c>
      <c r="L73" s="9" t="s">
        <v>50</v>
      </c>
      <c r="M73" s="9">
        <v>0.0</v>
      </c>
      <c r="N73" s="9">
        <v>0.0</v>
      </c>
      <c r="O73" s="9" t="s">
        <v>78</v>
      </c>
      <c r="P73" s="9" t="s">
        <v>607</v>
      </c>
      <c r="Q73" s="9" t="s">
        <v>608</v>
      </c>
      <c r="R73" s="9" t="s">
        <v>609</v>
      </c>
      <c r="S73" s="9" t="s">
        <v>603</v>
      </c>
      <c r="Z73" s="9">
        <v>0.0</v>
      </c>
      <c r="AD73" s="9">
        <v>0.0</v>
      </c>
      <c r="AF73" s="6" t="s">
        <v>50</v>
      </c>
    </row>
    <row r="74" ht="22.5" customHeight="1">
      <c r="A74" s="11" t="s">
        <v>32</v>
      </c>
      <c r="B74" s="8">
        <v>46092.94299538195</v>
      </c>
      <c r="C74" s="9" t="s">
        <v>610</v>
      </c>
      <c r="D74" s="9" t="s">
        <v>34</v>
      </c>
      <c r="E74" s="9" t="s">
        <v>611</v>
      </c>
      <c r="F74" s="9" t="s">
        <v>612</v>
      </c>
      <c r="G74" s="9" t="s">
        <v>613</v>
      </c>
      <c r="H74" s="9">
        <v>2025.0</v>
      </c>
      <c r="I74" s="9" t="s">
        <v>38</v>
      </c>
      <c r="K74" s="9" t="s">
        <v>49</v>
      </c>
      <c r="L74" s="9" t="s">
        <v>38</v>
      </c>
      <c r="M74" s="9">
        <v>0.0</v>
      </c>
      <c r="N74" s="9">
        <v>0.0</v>
      </c>
      <c r="O74" s="9" t="s">
        <v>51</v>
      </c>
      <c r="P74" s="9" t="s">
        <v>614</v>
      </c>
      <c r="Q74" s="9" t="s">
        <v>615</v>
      </c>
      <c r="R74" s="9">
        <v>9.77352901E8</v>
      </c>
      <c r="S74" s="9" t="s">
        <v>616</v>
      </c>
      <c r="Z74" s="9">
        <v>0.0</v>
      </c>
      <c r="AD74" s="9">
        <v>0.0</v>
      </c>
      <c r="AF74" s="6" t="s">
        <v>38</v>
      </c>
    </row>
    <row r="75" ht="22.5" customHeight="1">
      <c r="A75" s="11" t="s">
        <v>32</v>
      </c>
      <c r="B75" s="8">
        <v>46094.42375773148</v>
      </c>
      <c r="C75" s="9" t="s">
        <v>617</v>
      </c>
      <c r="D75" s="9" t="s">
        <v>34</v>
      </c>
      <c r="E75" s="9" t="s">
        <v>618</v>
      </c>
      <c r="F75" s="9" t="s">
        <v>619</v>
      </c>
      <c r="G75" s="9" t="s">
        <v>620</v>
      </c>
      <c r="H75" s="9">
        <v>2025.0</v>
      </c>
      <c r="I75" s="9" t="s">
        <v>38</v>
      </c>
      <c r="K75" s="9" t="s">
        <v>49</v>
      </c>
      <c r="L75" s="9" t="s">
        <v>50</v>
      </c>
      <c r="M75" s="9">
        <v>0.0</v>
      </c>
      <c r="N75" s="9">
        <v>0.0</v>
      </c>
      <c r="O75" s="9" t="s">
        <v>78</v>
      </c>
      <c r="P75" s="9">
        <v>1.37975963E8</v>
      </c>
      <c r="Q75" s="9" t="s">
        <v>621</v>
      </c>
      <c r="R75" s="9" t="s">
        <v>622</v>
      </c>
      <c r="S75" s="9" t="s">
        <v>617</v>
      </c>
      <c r="Z75" s="9">
        <v>0.0</v>
      </c>
      <c r="AD75" s="9">
        <v>0.0</v>
      </c>
      <c r="AF75" s="6" t="s">
        <v>38</v>
      </c>
    </row>
    <row r="76" ht="22.5" customHeight="1">
      <c r="A76" s="11" t="s">
        <v>32</v>
      </c>
      <c r="B76" s="8">
        <v>46094.469112384264</v>
      </c>
      <c r="C76" s="9" t="s">
        <v>623</v>
      </c>
      <c r="D76" s="9" t="s">
        <v>34</v>
      </c>
      <c r="E76" s="9" t="s">
        <v>624</v>
      </c>
      <c r="F76" s="9" t="s">
        <v>625</v>
      </c>
      <c r="G76" s="9" t="s">
        <v>626</v>
      </c>
      <c r="H76" s="9">
        <v>2025.0</v>
      </c>
      <c r="I76" s="9" t="s">
        <v>38</v>
      </c>
      <c r="K76" s="9" t="s">
        <v>49</v>
      </c>
      <c r="L76" s="9" t="s">
        <v>50</v>
      </c>
      <c r="M76" s="9" t="s">
        <v>627</v>
      </c>
      <c r="N76" s="9" t="s">
        <v>628</v>
      </c>
      <c r="O76" s="9" t="s">
        <v>78</v>
      </c>
      <c r="P76" s="9" t="s">
        <v>629</v>
      </c>
      <c r="Q76" s="9" t="s">
        <v>630</v>
      </c>
      <c r="R76" s="9">
        <v>9.77977216E8</v>
      </c>
      <c r="S76" s="9" t="s">
        <v>623</v>
      </c>
      <c r="Z76" s="9" t="s">
        <v>229</v>
      </c>
      <c r="AD76" s="9" t="s">
        <v>631</v>
      </c>
      <c r="AF76" s="6" t="s">
        <v>38</v>
      </c>
    </row>
    <row r="77" ht="22.5" customHeight="1">
      <c r="A77" s="11" t="s">
        <v>32</v>
      </c>
      <c r="B77" s="8">
        <v>46094.58461351852</v>
      </c>
      <c r="C77" s="9" t="s">
        <v>632</v>
      </c>
      <c r="D77" s="9" t="s">
        <v>34</v>
      </c>
      <c r="E77" s="9" t="s">
        <v>633</v>
      </c>
      <c r="F77" s="9" t="s">
        <v>634</v>
      </c>
      <c r="G77" s="9" t="s">
        <v>635</v>
      </c>
      <c r="H77" s="9">
        <v>2025.0</v>
      </c>
      <c r="I77" s="9" t="s">
        <v>38</v>
      </c>
      <c r="K77" s="9" t="s">
        <v>49</v>
      </c>
      <c r="L77" s="9" t="s">
        <v>50</v>
      </c>
      <c r="M77" s="9" t="s">
        <v>636</v>
      </c>
      <c r="N77" s="9">
        <v>0.0</v>
      </c>
      <c r="O77" s="9" t="s">
        <v>51</v>
      </c>
      <c r="P77" s="9" t="s">
        <v>637</v>
      </c>
      <c r="Q77" s="9" t="s">
        <v>638</v>
      </c>
      <c r="R77" s="9">
        <v>9.37299647E8</v>
      </c>
      <c r="S77" s="9" t="s">
        <v>632</v>
      </c>
      <c r="T77" s="9" t="s">
        <v>639</v>
      </c>
      <c r="U77" s="9">
        <v>7.978523276E9</v>
      </c>
      <c r="Z77" s="9">
        <v>0.0</v>
      </c>
      <c r="AA77" s="9" t="s">
        <v>370</v>
      </c>
      <c r="AD77" s="9">
        <v>0.0</v>
      </c>
      <c r="AF77" s="6" t="s">
        <v>38</v>
      </c>
    </row>
    <row r="78" ht="22.5" customHeight="1">
      <c r="A78" s="11" t="s">
        <v>32</v>
      </c>
      <c r="B78" s="8">
        <v>46094.68015996528</v>
      </c>
      <c r="C78" s="9" t="s">
        <v>640</v>
      </c>
      <c r="D78" s="9" t="s">
        <v>34</v>
      </c>
      <c r="E78" s="9" t="s">
        <v>641</v>
      </c>
      <c r="F78" s="9" t="s">
        <v>642</v>
      </c>
      <c r="G78" s="9" t="s">
        <v>643</v>
      </c>
      <c r="H78" s="9">
        <v>2025.0</v>
      </c>
      <c r="I78" s="9" t="s">
        <v>38</v>
      </c>
      <c r="K78" s="9" t="s">
        <v>49</v>
      </c>
      <c r="L78" s="9" t="s">
        <v>50</v>
      </c>
      <c r="M78" s="9" t="s">
        <v>636</v>
      </c>
      <c r="N78" s="9">
        <v>0.0</v>
      </c>
      <c r="O78" s="9" t="s">
        <v>78</v>
      </c>
      <c r="Q78" s="9">
        <v>0.0</v>
      </c>
      <c r="R78" s="9">
        <v>0.0</v>
      </c>
      <c r="S78" s="9">
        <v>0.0</v>
      </c>
      <c r="Z78" s="9">
        <v>0.0</v>
      </c>
      <c r="AD78" s="9">
        <v>0.0</v>
      </c>
      <c r="AF78" s="6" t="s">
        <v>38</v>
      </c>
    </row>
    <row r="79" ht="22.5" customHeight="1">
      <c r="A79" s="11" t="s">
        <v>32</v>
      </c>
      <c r="B79" s="8">
        <v>46094.68444138889</v>
      </c>
      <c r="C79" s="9" t="s">
        <v>644</v>
      </c>
      <c r="D79" s="9" t="s">
        <v>34</v>
      </c>
      <c r="E79" s="9" t="s">
        <v>645</v>
      </c>
      <c r="F79" s="9" t="s">
        <v>646</v>
      </c>
      <c r="G79" s="9" t="s">
        <v>647</v>
      </c>
      <c r="H79" s="9">
        <v>2025.0</v>
      </c>
      <c r="I79" s="9" t="s">
        <v>38</v>
      </c>
      <c r="K79" s="9" t="s">
        <v>49</v>
      </c>
      <c r="L79" s="9" t="s">
        <v>50</v>
      </c>
      <c r="M79" s="9" t="s">
        <v>648</v>
      </c>
      <c r="N79" s="9" t="s">
        <v>648</v>
      </c>
      <c r="O79" s="9" t="s">
        <v>78</v>
      </c>
      <c r="P79" s="9" t="s">
        <v>649</v>
      </c>
      <c r="Q79" s="9" t="s">
        <v>650</v>
      </c>
      <c r="R79" s="9">
        <v>9.8297234E8</v>
      </c>
      <c r="S79" s="9" t="s">
        <v>651</v>
      </c>
      <c r="Z79" s="9" t="s">
        <v>648</v>
      </c>
      <c r="AD79" s="9" t="s">
        <v>648</v>
      </c>
      <c r="AF79" s="6" t="s">
        <v>38</v>
      </c>
    </row>
    <row r="80" ht="22.5" customHeight="1">
      <c r="A80" s="11" t="s">
        <v>32</v>
      </c>
      <c r="B80" s="8">
        <v>46094.686599733795</v>
      </c>
      <c r="C80" s="9" t="s">
        <v>644</v>
      </c>
      <c r="D80" s="9" t="s">
        <v>34</v>
      </c>
      <c r="E80" s="9" t="s">
        <v>652</v>
      </c>
      <c r="F80" s="9" t="s">
        <v>653</v>
      </c>
      <c r="G80" s="9" t="s">
        <v>654</v>
      </c>
      <c r="H80" s="9">
        <v>2025.0</v>
      </c>
      <c r="I80" s="9" t="s">
        <v>38</v>
      </c>
      <c r="K80" s="9" t="s">
        <v>49</v>
      </c>
      <c r="L80" s="9" t="s">
        <v>50</v>
      </c>
      <c r="M80" s="9" t="s">
        <v>648</v>
      </c>
      <c r="N80" s="9" t="s">
        <v>655</v>
      </c>
      <c r="O80" s="9" t="s">
        <v>78</v>
      </c>
      <c r="P80" s="9" t="s">
        <v>656</v>
      </c>
      <c r="Q80" s="9" t="s">
        <v>650</v>
      </c>
      <c r="R80" s="9">
        <v>9.8297234E8</v>
      </c>
      <c r="S80" s="9" t="s">
        <v>651</v>
      </c>
      <c r="Z80" s="9" t="s">
        <v>648</v>
      </c>
      <c r="AD80" s="9">
        <v>0.0</v>
      </c>
      <c r="AF80" s="6" t="s">
        <v>38</v>
      </c>
    </row>
    <row r="81" ht="22.5" customHeight="1">
      <c r="A81" s="11" t="s">
        <v>32</v>
      </c>
      <c r="B81" s="8">
        <v>46097.48777413194</v>
      </c>
      <c r="C81" s="9" t="s">
        <v>657</v>
      </c>
      <c r="D81" s="9" t="s">
        <v>34</v>
      </c>
      <c r="E81" s="9" t="s">
        <v>658</v>
      </c>
      <c r="F81" s="9" t="s">
        <v>659</v>
      </c>
      <c r="G81" s="9" t="s">
        <v>660</v>
      </c>
      <c r="H81" s="9">
        <v>2025.0</v>
      </c>
      <c r="I81" s="9" t="s">
        <v>38</v>
      </c>
      <c r="K81" s="9" t="s">
        <v>49</v>
      </c>
      <c r="L81" s="9" t="s">
        <v>50</v>
      </c>
      <c r="M81" s="9">
        <v>0.0</v>
      </c>
      <c r="N81" s="9">
        <v>0.0</v>
      </c>
      <c r="O81" s="9" t="s">
        <v>78</v>
      </c>
      <c r="P81" s="9">
        <v>1.83570706E8</v>
      </c>
      <c r="Q81" s="9" t="s">
        <v>660</v>
      </c>
      <c r="R81" s="9" t="s">
        <v>661</v>
      </c>
      <c r="S81" s="9" t="s">
        <v>662</v>
      </c>
      <c r="Z81" s="9">
        <v>0.0</v>
      </c>
      <c r="AD81" s="9">
        <v>0.0</v>
      </c>
      <c r="AF81" s="6" t="s">
        <v>38</v>
      </c>
    </row>
    <row r="82" ht="22.5" customHeight="1">
      <c r="A82" s="11" t="s">
        <v>103</v>
      </c>
      <c r="B82" s="8">
        <v>46097.5011715162</v>
      </c>
      <c r="C82" s="9" t="s">
        <v>663</v>
      </c>
      <c r="D82" s="9" t="s">
        <v>34</v>
      </c>
      <c r="E82" s="9" t="s">
        <v>664</v>
      </c>
      <c r="F82" s="9" t="s">
        <v>665</v>
      </c>
      <c r="G82" s="15" t="s">
        <v>666</v>
      </c>
      <c r="H82" s="9">
        <v>2025.0</v>
      </c>
      <c r="K82" s="9" t="s">
        <v>49</v>
      </c>
      <c r="L82" s="9" t="s">
        <v>50</v>
      </c>
      <c r="M82" s="9">
        <v>0.0</v>
      </c>
      <c r="N82" s="9" t="s">
        <v>667</v>
      </c>
      <c r="O82" s="9" t="s">
        <v>78</v>
      </c>
      <c r="P82" s="9" t="s">
        <v>668</v>
      </c>
      <c r="Q82" s="9" t="s">
        <v>669</v>
      </c>
      <c r="R82" s="9" t="s">
        <v>670</v>
      </c>
      <c r="S82" s="9" t="s">
        <v>671</v>
      </c>
      <c r="Z82" s="9">
        <v>0.0</v>
      </c>
      <c r="AD82" s="9">
        <v>0.0</v>
      </c>
      <c r="AF82" s="6" t="s">
        <v>64</v>
      </c>
    </row>
    <row r="83" ht="22.5" customHeight="1">
      <c r="A83" s="11" t="s">
        <v>32</v>
      </c>
      <c r="B83" s="8">
        <v>46097.7070555324</v>
      </c>
      <c r="C83" s="9" t="s">
        <v>672</v>
      </c>
      <c r="D83" s="9" t="s">
        <v>34</v>
      </c>
      <c r="E83" s="9" t="s">
        <v>673</v>
      </c>
      <c r="F83" s="9" t="s">
        <v>674</v>
      </c>
      <c r="G83" s="9" t="s">
        <v>675</v>
      </c>
      <c r="H83" s="9">
        <v>2024.0</v>
      </c>
      <c r="I83" s="9" t="s">
        <v>38</v>
      </c>
      <c r="K83" s="9" t="s">
        <v>39</v>
      </c>
      <c r="L83" s="9" t="s">
        <v>38</v>
      </c>
      <c r="M83" s="9">
        <v>0.0</v>
      </c>
      <c r="N83" s="9" t="s">
        <v>676</v>
      </c>
      <c r="O83" s="9" t="s">
        <v>78</v>
      </c>
      <c r="P83" s="9" t="s">
        <v>677</v>
      </c>
      <c r="Q83" s="9" t="s">
        <v>675</v>
      </c>
      <c r="R83" s="9">
        <v>9.42393995E8</v>
      </c>
      <c r="S83" s="9" t="s">
        <v>678</v>
      </c>
      <c r="Z83" s="9">
        <v>1000000.0</v>
      </c>
      <c r="AD83" s="9">
        <v>0.0</v>
      </c>
      <c r="AF83" s="6" t="s">
        <v>38</v>
      </c>
    </row>
    <row r="84" ht="22.5" customHeight="1">
      <c r="A84" s="11" t="s">
        <v>32</v>
      </c>
      <c r="B84" s="8">
        <v>46097.726590729166</v>
      </c>
      <c r="C84" s="9" t="s">
        <v>679</v>
      </c>
      <c r="D84" s="9" t="s">
        <v>223</v>
      </c>
      <c r="E84" s="9" t="s">
        <v>680</v>
      </c>
      <c r="F84" s="9" t="s">
        <v>681</v>
      </c>
      <c r="G84" s="9" t="s">
        <v>682</v>
      </c>
      <c r="H84" s="9">
        <v>2025.0</v>
      </c>
      <c r="I84" s="9" t="s">
        <v>38</v>
      </c>
      <c r="K84" s="9" t="s">
        <v>49</v>
      </c>
      <c r="L84" s="9" t="s">
        <v>50</v>
      </c>
      <c r="M84" s="9" t="s">
        <v>683</v>
      </c>
      <c r="N84" s="9" t="s">
        <v>683</v>
      </c>
      <c r="O84" s="9" t="s">
        <v>78</v>
      </c>
      <c r="P84" s="9" t="s">
        <v>680</v>
      </c>
      <c r="Q84" s="9" t="s">
        <v>682</v>
      </c>
      <c r="R84" s="9">
        <v>9.99251969E8</v>
      </c>
      <c r="S84" s="9" t="s">
        <v>679</v>
      </c>
      <c r="T84" s="9" t="s">
        <v>684</v>
      </c>
      <c r="U84" s="9" t="s">
        <v>684</v>
      </c>
      <c r="V84" s="9" t="s">
        <v>684</v>
      </c>
      <c r="W84" s="9" t="s">
        <v>684</v>
      </c>
      <c r="X84" s="9" t="s">
        <v>684</v>
      </c>
      <c r="Y84" s="9" t="s">
        <v>684</v>
      </c>
      <c r="Z84" s="9" t="s">
        <v>685</v>
      </c>
      <c r="AA84" s="9" t="s">
        <v>684</v>
      </c>
      <c r="AB84" s="9" t="s">
        <v>684</v>
      </c>
      <c r="AC84" s="9" t="s">
        <v>684</v>
      </c>
      <c r="AD84" s="9" t="s">
        <v>685</v>
      </c>
      <c r="AF84" s="6" t="s">
        <v>38</v>
      </c>
    </row>
    <row r="85" ht="22.5" customHeight="1">
      <c r="A85" s="11" t="s">
        <v>32</v>
      </c>
      <c r="B85" s="8">
        <v>46097.74949322917</v>
      </c>
      <c r="C85" s="9" t="s">
        <v>686</v>
      </c>
      <c r="D85" s="9" t="s">
        <v>34</v>
      </c>
      <c r="E85" s="9" t="s">
        <v>687</v>
      </c>
      <c r="F85" s="9" t="s">
        <v>688</v>
      </c>
      <c r="G85" s="9" t="s">
        <v>689</v>
      </c>
      <c r="H85" s="9">
        <v>2025.0</v>
      </c>
      <c r="I85" s="9" t="s">
        <v>38</v>
      </c>
      <c r="K85" s="9" t="s">
        <v>49</v>
      </c>
      <c r="L85" s="9" t="s">
        <v>50</v>
      </c>
      <c r="M85" s="9" t="s">
        <v>690</v>
      </c>
      <c r="N85" s="9">
        <v>0.0</v>
      </c>
      <c r="O85" s="9" t="s">
        <v>78</v>
      </c>
      <c r="Q85" s="9" t="s">
        <v>691</v>
      </c>
      <c r="R85" s="9">
        <v>9.82231017E8</v>
      </c>
      <c r="S85" s="9" t="s">
        <v>692</v>
      </c>
      <c r="Z85" s="9" t="s">
        <v>693</v>
      </c>
      <c r="AD85" s="9">
        <v>0.0</v>
      </c>
      <c r="AF85" s="6" t="s">
        <v>38</v>
      </c>
    </row>
    <row r="86" ht="22.5" customHeight="1">
      <c r="A86" s="11" t="s">
        <v>32</v>
      </c>
      <c r="B86" s="8">
        <v>46097.75546998843</v>
      </c>
      <c r="C86" s="9" t="s">
        <v>694</v>
      </c>
      <c r="D86" s="9" t="s">
        <v>223</v>
      </c>
      <c r="E86" s="9" t="s">
        <v>695</v>
      </c>
      <c r="F86" s="9" t="s">
        <v>696</v>
      </c>
      <c r="G86" s="9" t="s">
        <v>697</v>
      </c>
      <c r="H86" s="9">
        <v>2025.0</v>
      </c>
      <c r="I86" s="9" t="s">
        <v>38</v>
      </c>
      <c r="K86" s="9" t="s">
        <v>49</v>
      </c>
      <c r="L86" s="9" t="s">
        <v>50</v>
      </c>
      <c r="M86" s="9" t="s">
        <v>698</v>
      </c>
      <c r="N86" s="9">
        <v>0.0</v>
      </c>
      <c r="O86" s="9" t="s">
        <v>78</v>
      </c>
      <c r="P86" s="9" t="s">
        <v>699</v>
      </c>
      <c r="Q86" s="9" t="s">
        <v>697</v>
      </c>
      <c r="R86" s="9">
        <v>9.27548579E8</v>
      </c>
      <c r="S86" s="9" t="s">
        <v>694</v>
      </c>
      <c r="Z86" s="9" t="s">
        <v>700</v>
      </c>
      <c r="AD86" s="9">
        <v>0.0</v>
      </c>
      <c r="AF86" s="6" t="s">
        <v>38</v>
      </c>
    </row>
    <row r="87" ht="22.5" customHeight="1">
      <c r="A87" s="11" t="s">
        <v>32</v>
      </c>
      <c r="B87" s="8">
        <v>46097.90918282408</v>
      </c>
      <c r="C87" s="9" t="s">
        <v>701</v>
      </c>
      <c r="D87" s="9" t="s">
        <v>34</v>
      </c>
      <c r="E87" s="9" t="s">
        <v>702</v>
      </c>
      <c r="F87" s="9" t="s">
        <v>703</v>
      </c>
      <c r="G87" s="9" t="s">
        <v>704</v>
      </c>
      <c r="H87" s="9">
        <v>2025.0</v>
      </c>
      <c r="I87" s="9" t="s">
        <v>38</v>
      </c>
      <c r="K87" s="9" t="s">
        <v>39</v>
      </c>
      <c r="L87" s="9" t="s">
        <v>50</v>
      </c>
      <c r="M87" s="9" t="s">
        <v>705</v>
      </c>
      <c r="N87" s="9" t="s">
        <v>705</v>
      </c>
      <c r="O87" s="9" t="s">
        <v>78</v>
      </c>
      <c r="P87" s="9" t="s">
        <v>706</v>
      </c>
      <c r="Q87" s="9" t="s">
        <v>704</v>
      </c>
      <c r="R87" s="9" t="s">
        <v>707</v>
      </c>
      <c r="S87" s="9" t="s">
        <v>708</v>
      </c>
      <c r="Z87" s="9" t="s">
        <v>705</v>
      </c>
      <c r="AD87" s="9" t="s">
        <v>705</v>
      </c>
      <c r="AF87" s="6" t="s">
        <v>38</v>
      </c>
    </row>
    <row r="88" ht="22.5" customHeight="1">
      <c r="A88" s="11" t="s">
        <v>32</v>
      </c>
      <c r="B88" s="8">
        <v>46097.909939062505</v>
      </c>
      <c r="C88" s="9" t="s">
        <v>709</v>
      </c>
      <c r="D88" s="9" t="s">
        <v>34</v>
      </c>
      <c r="E88" s="9" t="s">
        <v>710</v>
      </c>
      <c r="F88" s="9" t="s">
        <v>711</v>
      </c>
      <c r="G88" s="9" t="s">
        <v>712</v>
      </c>
      <c r="H88" s="9">
        <v>2025.0</v>
      </c>
      <c r="I88" s="9" t="s">
        <v>38</v>
      </c>
      <c r="K88" s="9" t="s">
        <v>49</v>
      </c>
      <c r="L88" s="9" t="s">
        <v>50</v>
      </c>
      <c r="M88" s="9">
        <v>0.0</v>
      </c>
      <c r="N88" s="9" t="s">
        <v>713</v>
      </c>
      <c r="O88" s="9" t="s">
        <v>51</v>
      </c>
      <c r="P88" s="9" t="s">
        <v>714</v>
      </c>
      <c r="Q88" s="9" t="s">
        <v>715</v>
      </c>
      <c r="R88" s="9">
        <v>9.91415163E8</v>
      </c>
      <c r="S88" s="9" t="s">
        <v>716</v>
      </c>
      <c r="Z88" s="9" t="s">
        <v>717</v>
      </c>
      <c r="AD88" s="16">
        <v>250.0</v>
      </c>
      <c r="AF88" s="6" t="s">
        <v>38</v>
      </c>
    </row>
    <row r="89" ht="22.5" customHeight="1">
      <c r="A89" s="11" t="s">
        <v>32</v>
      </c>
      <c r="B89" s="8">
        <v>46097.98517540509</v>
      </c>
      <c r="C89" s="9" t="s">
        <v>718</v>
      </c>
      <c r="D89" s="9" t="s">
        <v>34</v>
      </c>
      <c r="E89" s="9" t="s">
        <v>719</v>
      </c>
      <c r="F89" s="9" t="s">
        <v>720</v>
      </c>
      <c r="G89" s="9" t="s">
        <v>721</v>
      </c>
      <c r="H89" s="9">
        <v>2025.0</v>
      </c>
      <c r="I89" s="9" t="s">
        <v>38</v>
      </c>
      <c r="K89" s="9" t="s">
        <v>39</v>
      </c>
      <c r="L89" s="9" t="s">
        <v>50</v>
      </c>
      <c r="M89" s="9">
        <v>0.0</v>
      </c>
      <c r="N89" s="9" t="s">
        <v>722</v>
      </c>
      <c r="O89" s="9" t="s">
        <v>406</v>
      </c>
      <c r="P89" s="9" t="s">
        <v>648</v>
      </c>
      <c r="Q89" s="9" t="s">
        <v>648</v>
      </c>
      <c r="R89" s="9" t="s">
        <v>648</v>
      </c>
      <c r="S89" s="9" t="s">
        <v>648</v>
      </c>
      <c r="Z89" s="9" t="s">
        <v>648</v>
      </c>
      <c r="AD89" s="9">
        <v>5040000.0</v>
      </c>
      <c r="AF89" s="6" t="s">
        <v>38</v>
      </c>
    </row>
    <row r="90" ht="22.5" customHeight="1">
      <c r="A90" s="11" t="s">
        <v>32</v>
      </c>
      <c r="B90" s="8">
        <v>46098.58026862268</v>
      </c>
      <c r="C90" s="9" t="s">
        <v>723</v>
      </c>
      <c r="D90" s="9" t="s">
        <v>34</v>
      </c>
      <c r="E90" s="9" t="s">
        <v>724</v>
      </c>
      <c r="F90" s="9" t="s">
        <v>725</v>
      </c>
      <c r="G90" s="9" t="s">
        <v>726</v>
      </c>
      <c r="H90" s="9">
        <v>2025.0</v>
      </c>
      <c r="I90" s="9" t="s">
        <v>38</v>
      </c>
      <c r="K90" s="9" t="s">
        <v>49</v>
      </c>
      <c r="L90" s="9" t="s">
        <v>38</v>
      </c>
      <c r="M90" s="9">
        <v>0.0</v>
      </c>
      <c r="N90" s="9" t="s">
        <v>49</v>
      </c>
      <c r="O90" s="9" t="s">
        <v>51</v>
      </c>
      <c r="P90" s="9" t="s">
        <v>727</v>
      </c>
      <c r="Q90" s="9" t="s">
        <v>728</v>
      </c>
      <c r="R90" s="9">
        <v>9.78278733E8</v>
      </c>
      <c r="S90" s="9" t="s">
        <v>723</v>
      </c>
      <c r="Z90" s="9">
        <v>0.0</v>
      </c>
      <c r="AD90" s="9" t="s">
        <v>729</v>
      </c>
      <c r="AF90" s="6" t="s">
        <v>38</v>
      </c>
    </row>
    <row r="91" ht="22.5" customHeight="1">
      <c r="A91" s="11" t="s">
        <v>32</v>
      </c>
      <c r="B91" s="8">
        <v>46100.78753615741</v>
      </c>
      <c r="C91" s="9" t="s">
        <v>730</v>
      </c>
      <c r="D91" s="9" t="s">
        <v>34</v>
      </c>
      <c r="E91" s="9" t="s">
        <v>731</v>
      </c>
      <c r="F91" s="9" t="s">
        <v>732</v>
      </c>
      <c r="G91" s="9" t="s">
        <v>733</v>
      </c>
      <c r="H91" s="9">
        <v>2025.0</v>
      </c>
      <c r="I91" s="9" t="s">
        <v>38</v>
      </c>
      <c r="K91" s="9" t="s">
        <v>49</v>
      </c>
      <c r="L91" s="9" t="s">
        <v>50</v>
      </c>
      <c r="M91" s="9">
        <v>0.0</v>
      </c>
      <c r="N91" s="9" t="s">
        <v>734</v>
      </c>
      <c r="O91" s="9" t="s">
        <v>51</v>
      </c>
      <c r="P91" s="9" t="s">
        <v>735</v>
      </c>
      <c r="Q91" s="9" t="s">
        <v>736</v>
      </c>
      <c r="R91" s="9">
        <v>9.87516144E8</v>
      </c>
      <c r="S91" s="9" t="s">
        <v>730</v>
      </c>
      <c r="Z91" s="9">
        <v>0.0</v>
      </c>
      <c r="AD91" s="9">
        <v>0.0</v>
      </c>
      <c r="AF91" s="6" t="s">
        <v>50</v>
      </c>
    </row>
    <row r="92" ht="22.5" customHeight="1">
      <c r="A92" s="11" t="s">
        <v>103</v>
      </c>
      <c r="B92" s="8">
        <v>46101.434156145835</v>
      </c>
      <c r="C92" s="9" t="s">
        <v>737</v>
      </c>
      <c r="D92" s="9" t="s">
        <v>34</v>
      </c>
      <c r="E92" s="9" t="s">
        <v>738</v>
      </c>
      <c r="F92" s="9" t="s">
        <v>739</v>
      </c>
      <c r="G92" s="9" t="s">
        <v>740</v>
      </c>
      <c r="H92" s="9">
        <v>2025.0</v>
      </c>
      <c r="I92" s="9" t="s">
        <v>50</v>
      </c>
      <c r="K92" s="9" t="s">
        <v>49</v>
      </c>
      <c r="L92" s="9" t="s">
        <v>50</v>
      </c>
      <c r="M92" s="9" t="s">
        <v>391</v>
      </c>
      <c r="N92" s="9" t="s">
        <v>391</v>
      </c>
      <c r="O92" s="9" t="s">
        <v>51</v>
      </c>
      <c r="Q92" s="9" t="s">
        <v>391</v>
      </c>
      <c r="R92" s="9" t="s">
        <v>391</v>
      </c>
      <c r="S92" s="9" t="s">
        <v>49</v>
      </c>
      <c r="T92" s="9" t="s">
        <v>391</v>
      </c>
      <c r="U92" s="9" t="s">
        <v>391</v>
      </c>
      <c r="V92" s="9" t="s">
        <v>49</v>
      </c>
      <c r="Z92" s="9" t="s">
        <v>391</v>
      </c>
      <c r="AA92" s="9" t="s">
        <v>391</v>
      </c>
      <c r="AD92" s="9" t="s">
        <v>391</v>
      </c>
      <c r="AF92" s="6" t="s">
        <v>50</v>
      </c>
    </row>
    <row r="93" ht="22.5" customHeight="1">
      <c r="A93" s="11" t="s">
        <v>32</v>
      </c>
      <c r="B93" s="8">
        <v>46104.508461631944</v>
      </c>
      <c r="C93" s="9" t="s">
        <v>741</v>
      </c>
      <c r="D93" s="9" t="s">
        <v>34</v>
      </c>
      <c r="E93" s="9" t="s">
        <v>742</v>
      </c>
      <c r="F93" s="9" t="s">
        <v>743</v>
      </c>
      <c r="G93" s="9" t="s">
        <v>744</v>
      </c>
      <c r="H93" s="9">
        <v>2025.0</v>
      </c>
      <c r="I93" s="9" t="s">
        <v>38</v>
      </c>
      <c r="K93" s="9" t="s">
        <v>39</v>
      </c>
      <c r="L93" s="9" t="s">
        <v>50</v>
      </c>
      <c r="M93" s="9">
        <v>7140961.0</v>
      </c>
      <c r="N93" s="9" t="s">
        <v>722</v>
      </c>
      <c r="O93" s="9" t="s">
        <v>51</v>
      </c>
      <c r="P93" s="9" t="s">
        <v>745</v>
      </c>
      <c r="Q93" s="9" t="s">
        <v>746</v>
      </c>
      <c r="R93" s="9">
        <v>9.927271731E9</v>
      </c>
      <c r="S93" s="9" t="s">
        <v>747</v>
      </c>
      <c r="Z93" s="9">
        <v>2000000.0</v>
      </c>
      <c r="AD93" s="9">
        <v>0.0</v>
      </c>
      <c r="AF93" s="6" t="s">
        <v>50</v>
      </c>
    </row>
    <row r="94" ht="22.5" customHeight="1">
      <c r="A94" s="11" t="s">
        <v>32</v>
      </c>
      <c r="B94" s="8">
        <v>46104.70174077546</v>
      </c>
      <c r="C94" s="9" t="s">
        <v>748</v>
      </c>
      <c r="D94" s="9" t="s">
        <v>34</v>
      </c>
      <c r="E94" s="9" t="s">
        <v>749</v>
      </c>
      <c r="F94" s="9" t="s">
        <v>750</v>
      </c>
      <c r="G94" s="9" t="s">
        <v>751</v>
      </c>
      <c r="H94" s="9">
        <v>2025.0</v>
      </c>
      <c r="I94" s="9" t="s">
        <v>38</v>
      </c>
      <c r="K94" s="9" t="s">
        <v>39</v>
      </c>
      <c r="L94" s="9" t="s">
        <v>50</v>
      </c>
      <c r="M94" s="9" t="s">
        <v>752</v>
      </c>
      <c r="N94" s="9" t="s">
        <v>753</v>
      </c>
      <c r="O94" s="9" t="s">
        <v>78</v>
      </c>
      <c r="P94" s="9" t="s">
        <v>754</v>
      </c>
      <c r="Q94" s="9" t="s">
        <v>751</v>
      </c>
      <c r="R94" s="9">
        <v>9.4718449E8</v>
      </c>
      <c r="S94" s="9" t="s">
        <v>748</v>
      </c>
      <c r="Z94" s="9" t="s">
        <v>151</v>
      </c>
      <c r="AD94" s="9" t="s">
        <v>56</v>
      </c>
      <c r="AF94" s="6" t="s">
        <v>50</v>
      </c>
    </row>
    <row r="95" ht="22.5" customHeight="1">
      <c r="A95" s="11" t="s">
        <v>32</v>
      </c>
      <c r="B95" s="8">
        <v>46105.48414326389</v>
      </c>
      <c r="C95" s="9" t="s">
        <v>755</v>
      </c>
      <c r="D95" s="9" t="s">
        <v>34</v>
      </c>
      <c r="E95" s="9" t="s">
        <v>756</v>
      </c>
      <c r="F95" s="9" t="s">
        <v>757</v>
      </c>
      <c r="G95" s="9" t="s">
        <v>758</v>
      </c>
      <c r="H95" s="9">
        <v>2025.0</v>
      </c>
      <c r="I95" s="9" t="s">
        <v>38</v>
      </c>
      <c r="K95" s="9" t="s">
        <v>49</v>
      </c>
      <c r="L95" s="9" t="s">
        <v>50</v>
      </c>
      <c r="M95" s="9" t="s">
        <v>759</v>
      </c>
      <c r="N95" s="9" t="s">
        <v>760</v>
      </c>
      <c r="O95" s="9" t="s">
        <v>78</v>
      </c>
      <c r="P95" s="9" t="s">
        <v>761</v>
      </c>
      <c r="Q95" s="9" t="s">
        <v>762</v>
      </c>
      <c r="R95" s="9" t="s">
        <v>763</v>
      </c>
      <c r="S95" s="9" t="s">
        <v>764</v>
      </c>
      <c r="Z95" s="9">
        <v>0.0</v>
      </c>
      <c r="AD95" s="9">
        <v>0.0</v>
      </c>
    </row>
    <row r="96" ht="22.5" customHeight="1">
      <c r="A96" s="17"/>
      <c r="B96" s="18">
        <v>46106.47521239583</v>
      </c>
      <c r="C96" s="19" t="s">
        <v>765</v>
      </c>
      <c r="D96" s="19" t="s">
        <v>34</v>
      </c>
      <c r="E96" s="19" t="s">
        <v>766</v>
      </c>
      <c r="F96" s="19" t="s">
        <v>767</v>
      </c>
      <c r="G96" s="19" t="s">
        <v>768</v>
      </c>
      <c r="H96" s="19">
        <v>2025.0</v>
      </c>
      <c r="I96" s="19" t="s">
        <v>38</v>
      </c>
      <c r="J96" s="20"/>
      <c r="K96" s="19" t="s">
        <v>49</v>
      </c>
      <c r="L96" s="19" t="s">
        <v>50</v>
      </c>
      <c r="M96" s="19" t="s">
        <v>769</v>
      </c>
      <c r="N96" s="19">
        <v>0.0</v>
      </c>
      <c r="O96" s="19" t="s">
        <v>78</v>
      </c>
      <c r="P96" s="19" t="s">
        <v>770</v>
      </c>
      <c r="Q96" s="19" t="s">
        <v>585</v>
      </c>
      <c r="R96" s="19">
        <v>9.82414143E8</v>
      </c>
      <c r="S96" s="19" t="s">
        <v>765</v>
      </c>
      <c r="T96" s="19" t="s">
        <v>771</v>
      </c>
      <c r="U96" s="19" t="s">
        <v>772</v>
      </c>
      <c r="V96" s="20"/>
      <c r="W96" s="20"/>
      <c r="X96" s="20"/>
      <c r="Y96" s="20"/>
      <c r="Z96" s="19">
        <v>0.0</v>
      </c>
      <c r="AA96" s="19">
        <v>0.0</v>
      </c>
      <c r="AB96" s="20"/>
      <c r="AC96" s="20"/>
      <c r="AD96" s="19">
        <v>0.0</v>
      </c>
      <c r="AE96" s="20"/>
      <c r="AF96" s="20"/>
      <c r="AG96" s="21"/>
      <c r="AH96" s="21"/>
      <c r="AI96" s="21"/>
      <c r="AJ96" s="21"/>
    </row>
    <row r="97" ht="22.5" customHeight="1">
      <c r="A97" s="11" t="s">
        <v>103</v>
      </c>
      <c r="B97" s="8">
        <v>46106.49707950231</v>
      </c>
      <c r="C97" s="9" t="s">
        <v>317</v>
      </c>
      <c r="D97" s="9" t="s">
        <v>34</v>
      </c>
      <c r="E97" s="9" t="s">
        <v>773</v>
      </c>
      <c r="F97" s="9" t="s">
        <v>774</v>
      </c>
      <c r="G97" s="9" t="s">
        <v>775</v>
      </c>
      <c r="H97" s="9">
        <v>2025.0</v>
      </c>
      <c r="I97" s="9" t="s">
        <v>50</v>
      </c>
      <c r="K97" s="9" t="s">
        <v>49</v>
      </c>
      <c r="L97" s="9" t="s">
        <v>50</v>
      </c>
      <c r="M97" s="9">
        <v>0.0</v>
      </c>
      <c r="N97" s="9" t="s">
        <v>776</v>
      </c>
      <c r="O97" s="9" t="s">
        <v>406</v>
      </c>
      <c r="P97" s="9" t="s">
        <v>777</v>
      </c>
      <c r="Q97" s="9" t="s">
        <v>316</v>
      </c>
      <c r="R97" s="9">
        <v>9.93827926E8</v>
      </c>
      <c r="S97" s="9" t="s">
        <v>778</v>
      </c>
      <c r="Z97" s="9">
        <v>0.0</v>
      </c>
      <c r="AD97" s="9" t="s">
        <v>779</v>
      </c>
    </row>
    <row r="98" ht="22.5" customHeight="1">
      <c r="A98" s="11" t="s">
        <v>32</v>
      </c>
      <c r="B98" s="8">
        <v>46106.62040277778</v>
      </c>
      <c r="C98" s="9" t="s">
        <v>780</v>
      </c>
      <c r="D98" s="9" t="s">
        <v>34</v>
      </c>
      <c r="E98" s="9" t="s">
        <v>781</v>
      </c>
      <c r="F98" s="9" t="s">
        <v>782</v>
      </c>
      <c r="G98" s="9" t="s">
        <v>783</v>
      </c>
      <c r="H98" s="9">
        <v>2025.0</v>
      </c>
      <c r="I98" s="9" t="s">
        <v>38</v>
      </c>
      <c r="K98" s="9" t="s">
        <v>39</v>
      </c>
      <c r="L98" s="9" t="s">
        <v>38</v>
      </c>
      <c r="M98" s="9">
        <v>0.0</v>
      </c>
      <c r="N98" s="9" t="s">
        <v>784</v>
      </c>
      <c r="O98" s="9" t="s">
        <v>78</v>
      </c>
      <c r="P98" s="9">
        <v>1.61514721E8</v>
      </c>
      <c r="Q98" s="9" t="s">
        <v>783</v>
      </c>
      <c r="R98" s="9">
        <v>5.695805682E10</v>
      </c>
      <c r="S98" s="9" t="s">
        <v>785</v>
      </c>
      <c r="T98" s="9">
        <v>1.28699767E8</v>
      </c>
      <c r="U98" s="9" t="s">
        <v>783</v>
      </c>
      <c r="Z98" s="9">
        <v>0.0</v>
      </c>
      <c r="AD98" s="9">
        <v>0.0</v>
      </c>
    </row>
  </sheetData>
  <dataValidations>
    <dataValidation type="list" allowBlank="1" sqref="A2:A98">
      <formula1>"EXTERNO,SIMPLE PYME"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5"/>
    <col customWidth="1" min="14" max="14" width="9.63"/>
    <col customWidth="1" min="15" max="15" width="9.25"/>
    <col customWidth="1" min="16" max="16" width="8.75"/>
    <col customWidth="1" min="17" max="17" width="10.0"/>
    <col customWidth="1" min="18" max="18" width="9.88"/>
    <col customWidth="1" min="19" max="19" width="13.75"/>
    <col customWidth="1" min="20" max="20" width="36.13"/>
    <col customWidth="1" min="21" max="21" width="22.88"/>
  </cols>
  <sheetData>
    <row r="1">
      <c r="A1" s="22" t="s">
        <v>786</v>
      </c>
      <c r="B1" s="22" t="s">
        <v>787</v>
      </c>
      <c r="C1" s="22" t="s">
        <v>788</v>
      </c>
      <c r="D1" s="22" t="s">
        <v>789</v>
      </c>
      <c r="E1" s="22" t="s">
        <v>790</v>
      </c>
      <c r="F1" s="22" t="s">
        <v>791</v>
      </c>
      <c r="G1" s="22" t="s">
        <v>792</v>
      </c>
      <c r="H1" s="23" t="s">
        <v>793</v>
      </c>
      <c r="I1" s="23" t="s">
        <v>794</v>
      </c>
      <c r="J1" s="23" t="s">
        <v>795</v>
      </c>
      <c r="K1" s="23" t="s">
        <v>796</v>
      </c>
      <c r="L1" s="23" t="s">
        <v>797</v>
      </c>
      <c r="M1" s="23" t="s">
        <v>798</v>
      </c>
      <c r="N1" s="24" t="s">
        <v>799</v>
      </c>
      <c r="O1" s="24" t="s">
        <v>800</v>
      </c>
      <c r="P1" s="24" t="s">
        <v>801</v>
      </c>
      <c r="Q1" s="23" t="s">
        <v>802</v>
      </c>
      <c r="R1" s="23" t="s">
        <v>803</v>
      </c>
      <c r="S1" s="23" t="s">
        <v>804</v>
      </c>
      <c r="T1" s="22" t="s">
        <v>805</v>
      </c>
      <c r="U1" s="23" t="s">
        <v>806</v>
      </c>
    </row>
    <row r="2">
      <c r="A2" s="25" t="s">
        <v>553</v>
      </c>
      <c r="B2" s="26" t="s">
        <v>554</v>
      </c>
      <c r="C2" s="27" t="s">
        <v>807</v>
      </c>
      <c r="D2" s="28" t="s">
        <v>552</v>
      </c>
      <c r="E2" s="28" t="s">
        <v>808</v>
      </c>
      <c r="F2" s="28" t="s">
        <v>809</v>
      </c>
      <c r="G2" s="29"/>
      <c r="H2" s="30" t="s">
        <v>69</v>
      </c>
      <c r="I2" s="30" t="s">
        <v>810</v>
      </c>
      <c r="J2" s="30" t="s">
        <v>69</v>
      </c>
      <c r="K2" s="30" t="s">
        <v>811</v>
      </c>
      <c r="L2" s="30" t="s">
        <v>811</v>
      </c>
      <c r="M2" s="30" t="s">
        <v>811</v>
      </c>
      <c r="N2" s="31">
        <v>2.05788497E8</v>
      </c>
      <c r="O2" s="31">
        <v>1.49304223E8</v>
      </c>
      <c r="P2" s="31">
        <f t="shared" ref="P2:P159" si="1">N2-O2</f>
        <v>56484274</v>
      </c>
      <c r="Q2" s="32">
        <f t="shared" ref="Q2:Q3" si="2">P2/2</f>
        <v>28242137</v>
      </c>
      <c r="R2" s="32">
        <f t="shared" ref="R2:R3" si="3">Q2</f>
        <v>28242137</v>
      </c>
      <c r="S2" s="32">
        <f>P2</f>
        <v>56484274</v>
      </c>
      <c r="T2" s="28" t="s">
        <v>812</v>
      </c>
      <c r="U2" s="30" t="s">
        <v>813</v>
      </c>
    </row>
    <row r="3">
      <c r="A3" s="25" t="s">
        <v>814</v>
      </c>
      <c r="B3" s="26" t="s">
        <v>154</v>
      </c>
      <c r="C3" s="26" t="s">
        <v>815</v>
      </c>
      <c r="D3" s="28" t="s">
        <v>160</v>
      </c>
      <c r="E3" s="28" t="s">
        <v>816</v>
      </c>
      <c r="F3" s="28" t="s">
        <v>809</v>
      </c>
      <c r="G3" s="29"/>
      <c r="H3" s="30" t="s">
        <v>69</v>
      </c>
      <c r="I3" s="30" t="s">
        <v>810</v>
      </c>
      <c r="J3" s="30" t="s">
        <v>810</v>
      </c>
      <c r="K3" s="30" t="s">
        <v>69</v>
      </c>
      <c r="L3" s="30" t="s">
        <v>811</v>
      </c>
      <c r="M3" s="30"/>
      <c r="N3" s="31">
        <v>1.1161053E7</v>
      </c>
      <c r="O3" s="31">
        <v>2285401.0</v>
      </c>
      <c r="P3" s="31">
        <f t="shared" si="1"/>
        <v>8875652</v>
      </c>
      <c r="Q3" s="31">
        <f t="shared" si="2"/>
        <v>4437826</v>
      </c>
      <c r="R3" s="31">
        <f t="shared" si="3"/>
        <v>4437826</v>
      </c>
      <c r="S3" s="31">
        <v>1.0157528E7</v>
      </c>
      <c r="T3" s="28" t="s">
        <v>817</v>
      </c>
      <c r="U3" s="30" t="s">
        <v>818</v>
      </c>
    </row>
    <row r="4">
      <c r="A4" s="25" t="s">
        <v>819</v>
      </c>
      <c r="B4" s="26" t="s">
        <v>725</v>
      </c>
      <c r="C4" s="26" t="s">
        <v>726</v>
      </c>
      <c r="D4" s="28" t="s">
        <v>723</v>
      </c>
      <c r="E4" s="28" t="s">
        <v>820</v>
      </c>
      <c r="F4" s="28" t="s">
        <v>728</v>
      </c>
      <c r="G4" s="29"/>
      <c r="H4" s="30" t="s">
        <v>69</v>
      </c>
      <c r="I4" s="30" t="s">
        <v>810</v>
      </c>
      <c r="J4" s="30" t="s">
        <v>810</v>
      </c>
      <c r="K4" s="30" t="s">
        <v>811</v>
      </c>
      <c r="L4" s="30" t="s">
        <v>811</v>
      </c>
      <c r="M4" s="30"/>
      <c r="N4" s="31">
        <v>3876453.0</v>
      </c>
      <c r="O4" s="31">
        <v>1.1327736E7</v>
      </c>
      <c r="P4" s="31">
        <f t="shared" si="1"/>
        <v>-7451283</v>
      </c>
      <c r="Q4" s="31">
        <v>0.0</v>
      </c>
      <c r="R4" s="31">
        <f t="shared" ref="R4:R5" si="4">P4</f>
        <v>-7451283</v>
      </c>
      <c r="S4" s="31">
        <v>-2244642.0</v>
      </c>
      <c r="T4" s="28" t="s">
        <v>821</v>
      </c>
      <c r="U4" s="30" t="s">
        <v>822</v>
      </c>
    </row>
    <row r="5">
      <c r="A5" s="25" t="s">
        <v>823</v>
      </c>
      <c r="B5" s="26" t="s">
        <v>461</v>
      </c>
      <c r="C5" s="26" t="s">
        <v>462</v>
      </c>
      <c r="D5" s="28" t="s">
        <v>459</v>
      </c>
      <c r="E5" s="28" t="s">
        <v>461</v>
      </c>
      <c r="F5" s="28" t="s">
        <v>824</v>
      </c>
      <c r="G5" s="29"/>
      <c r="H5" s="30" t="s">
        <v>69</v>
      </c>
      <c r="I5" s="30" t="s">
        <v>810</v>
      </c>
      <c r="J5" s="30" t="s">
        <v>811</v>
      </c>
      <c r="K5" s="30" t="s">
        <v>811</v>
      </c>
      <c r="L5" s="30" t="s">
        <v>811</v>
      </c>
      <c r="M5" s="30"/>
      <c r="N5" s="31">
        <v>1.1437107E7</v>
      </c>
      <c r="O5" s="31">
        <v>3.2660968E8</v>
      </c>
      <c r="P5" s="31">
        <f t="shared" si="1"/>
        <v>-315172573</v>
      </c>
      <c r="Q5" s="31">
        <v>0.0</v>
      </c>
      <c r="R5" s="31">
        <f t="shared" si="4"/>
        <v>-315172573</v>
      </c>
      <c r="S5" s="31">
        <v>1.2801844E7</v>
      </c>
      <c r="T5" s="28" t="s">
        <v>823</v>
      </c>
      <c r="U5" s="30" t="s">
        <v>50</v>
      </c>
    </row>
    <row r="6">
      <c r="A6" s="25" t="s">
        <v>88</v>
      </c>
      <c r="B6" s="26" t="s">
        <v>89</v>
      </c>
      <c r="C6" s="26" t="s">
        <v>90</v>
      </c>
      <c r="D6" s="28" t="s">
        <v>93</v>
      </c>
      <c r="E6" s="28" t="s">
        <v>825</v>
      </c>
      <c r="F6" s="28" t="s">
        <v>92</v>
      </c>
      <c r="G6" s="29"/>
      <c r="H6" s="30" t="s">
        <v>69</v>
      </c>
      <c r="I6" s="30" t="s">
        <v>810</v>
      </c>
      <c r="J6" s="30" t="s">
        <v>810</v>
      </c>
      <c r="K6" s="30" t="s">
        <v>69</v>
      </c>
      <c r="L6" s="30" t="s">
        <v>69</v>
      </c>
      <c r="M6" s="30"/>
      <c r="N6" s="31">
        <v>1.4678937E7</v>
      </c>
      <c r="O6" s="31">
        <v>1.4600585E7</v>
      </c>
      <c r="P6" s="31">
        <f t="shared" si="1"/>
        <v>78352</v>
      </c>
      <c r="Q6" s="31">
        <f>P6/2</f>
        <v>39176</v>
      </c>
      <c r="R6" s="31">
        <f>Q6</f>
        <v>39176</v>
      </c>
      <c r="S6" s="31">
        <v>1.203688E7</v>
      </c>
      <c r="T6" s="28" t="s">
        <v>826</v>
      </c>
      <c r="U6" s="30" t="s">
        <v>50</v>
      </c>
    </row>
    <row r="7">
      <c r="A7" s="25" t="s">
        <v>827</v>
      </c>
      <c r="B7" s="26" t="s">
        <v>828</v>
      </c>
      <c r="C7" s="26" t="s">
        <v>829</v>
      </c>
      <c r="D7" s="28" t="s">
        <v>319</v>
      </c>
      <c r="E7" s="28" t="s">
        <v>830</v>
      </c>
      <c r="F7" s="28" t="s">
        <v>325</v>
      </c>
      <c r="G7" s="29"/>
      <c r="H7" s="30" t="s">
        <v>69</v>
      </c>
      <c r="I7" s="30" t="s">
        <v>810</v>
      </c>
      <c r="J7" s="30" t="s">
        <v>810</v>
      </c>
      <c r="K7" s="30" t="s">
        <v>810</v>
      </c>
      <c r="L7" s="30" t="s">
        <v>811</v>
      </c>
      <c r="M7" s="30"/>
      <c r="N7" s="31">
        <v>3216600.0</v>
      </c>
      <c r="O7" s="31">
        <v>1.9962822E7</v>
      </c>
      <c r="P7" s="31">
        <f t="shared" si="1"/>
        <v>-16746222</v>
      </c>
      <c r="Q7" s="31">
        <v>0.0</v>
      </c>
      <c r="R7" s="31">
        <f>P7</f>
        <v>-16746222</v>
      </c>
      <c r="S7" s="31">
        <v>-2017026.0</v>
      </c>
      <c r="T7" s="28" t="s">
        <v>831</v>
      </c>
      <c r="U7" s="28"/>
    </row>
    <row r="8">
      <c r="A8" s="33" t="s">
        <v>832</v>
      </c>
      <c r="B8" s="34" t="s">
        <v>833</v>
      </c>
      <c r="C8" s="34" t="s">
        <v>834</v>
      </c>
      <c r="D8" s="35" t="s">
        <v>277</v>
      </c>
      <c r="E8" s="35" t="s">
        <v>835</v>
      </c>
      <c r="F8" s="35" t="s">
        <v>836</v>
      </c>
      <c r="G8" s="36"/>
      <c r="H8" s="37" t="s">
        <v>811</v>
      </c>
      <c r="I8" s="37" t="s">
        <v>811</v>
      </c>
      <c r="J8" s="37" t="s">
        <v>811</v>
      </c>
      <c r="K8" s="37" t="s">
        <v>811</v>
      </c>
      <c r="L8" s="37" t="s">
        <v>811</v>
      </c>
      <c r="M8" s="37"/>
      <c r="N8" s="38"/>
      <c r="O8" s="38"/>
      <c r="P8" s="38">
        <f t="shared" si="1"/>
        <v>0</v>
      </c>
      <c r="Q8" s="38"/>
      <c r="R8" s="38"/>
      <c r="S8" s="38"/>
      <c r="T8" s="35" t="s">
        <v>837</v>
      </c>
      <c r="U8" s="35"/>
      <c r="V8" s="39"/>
      <c r="W8" s="39"/>
      <c r="X8" s="39"/>
    </row>
    <row r="9">
      <c r="A9" s="25" t="s">
        <v>838</v>
      </c>
      <c r="B9" s="26" t="s">
        <v>839</v>
      </c>
      <c r="C9" s="26" t="s">
        <v>840</v>
      </c>
      <c r="D9" s="28" t="s">
        <v>96</v>
      </c>
      <c r="E9" s="28" t="s">
        <v>841</v>
      </c>
      <c r="F9" s="28" t="s">
        <v>842</v>
      </c>
      <c r="G9" s="29"/>
      <c r="H9" s="30" t="s">
        <v>811</v>
      </c>
      <c r="I9" s="30" t="s">
        <v>810</v>
      </c>
      <c r="J9" s="30" t="s">
        <v>811</v>
      </c>
      <c r="K9" s="30" t="s">
        <v>811</v>
      </c>
      <c r="L9" s="30" t="s">
        <v>811</v>
      </c>
      <c r="M9" s="30"/>
      <c r="N9" s="31">
        <v>0.0</v>
      </c>
      <c r="O9" s="31">
        <v>14689.0</v>
      </c>
      <c r="P9" s="31">
        <f t="shared" si="1"/>
        <v>-14689</v>
      </c>
      <c r="Q9" s="31">
        <f t="shared" ref="Q9:S9" si="5">P9</f>
        <v>-14689</v>
      </c>
      <c r="R9" s="31">
        <f t="shared" si="5"/>
        <v>-14689</v>
      </c>
      <c r="S9" s="31">
        <f t="shared" si="5"/>
        <v>-14689</v>
      </c>
      <c r="T9" s="28" t="s">
        <v>843</v>
      </c>
      <c r="U9" s="28"/>
    </row>
    <row r="10">
      <c r="A10" s="33" t="s">
        <v>844</v>
      </c>
      <c r="B10" s="34" t="s">
        <v>845</v>
      </c>
      <c r="C10" s="34" t="s">
        <v>846</v>
      </c>
      <c r="D10" s="35" t="s">
        <v>847</v>
      </c>
      <c r="E10" s="35" t="s">
        <v>848</v>
      </c>
      <c r="F10" s="35" t="s">
        <v>849</v>
      </c>
      <c r="G10" s="36"/>
      <c r="H10" s="37" t="s">
        <v>811</v>
      </c>
      <c r="I10" s="37" t="s">
        <v>810</v>
      </c>
      <c r="J10" s="37" t="s">
        <v>811</v>
      </c>
      <c r="K10" s="37" t="s">
        <v>811</v>
      </c>
      <c r="L10" s="37" t="s">
        <v>811</v>
      </c>
      <c r="M10" s="37"/>
      <c r="N10" s="38">
        <v>0.0</v>
      </c>
      <c r="O10" s="38">
        <v>0.0</v>
      </c>
      <c r="P10" s="38">
        <f t="shared" si="1"/>
        <v>0</v>
      </c>
      <c r="Q10" s="38">
        <v>0.0</v>
      </c>
      <c r="R10" s="38">
        <v>0.0</v>
      </c>
      <c r="S10" s="38">
        <v>0.0</v>
      </c>
      <c r="T10" s="37" t="s">
        <v>843</v>
      </c>
      <c r="U10" s="35"/>
      <c r="V10" s="39"/>
      <c r="W10" s="39"/>
      <c r="X10" s="39"/>
    </row>
    <row r="11">
      <c r="A11" s="40" t="s">
        <v>498</v>
      </c>
      <c r="B11" s="26" t="s">
        <v>499</v>
      </c>
      <c r="C11" s="26" t="s">
        <v>500</v>
      </c>
      <c r="D11" s="28" t="s">
        <v>850</v>
      </c>
      <c r="E11" s="28" t="s">
        <v>851</v>
      </c>
      <c r="F11" s="28" t="s">
        <v>852</v>
      </c>
      <c r="G11" s="29"/>
      <c r="H11" s="30" t="s">
        <v>811</v>
      </c>
      <c r="I11" s="30" t="s">
        <v>810</v>
      </c>
      <c r="J11" s="30" t="s">
        <v>811</v>
      </c>
      <c r="K11" s="30" t="s">
        <v>810</v>
      </c>
      <c r="L11" s="30" t="s">
        <v>811</v>
      </c>
      <c r="M11" s="30"/>
      <c r="N11" s="31"/>
      <c r="O11" s="31"/>
      <c r="P11" s="31">
        <f t="shared" si="1"/>
        <v>0</v>
      </c>
      <c r="Q11" s="31"/>
      <c r="R11" s="31"/>
      <c r="S11" s="31"/>
      <c r="T11" s="28" t="s">
        <v>853</v>
      </c>
      <c r="U11" s="28"/>
    </row>
    <row r="12">
      <c r="A12" s="40" t="s">
        <v>854</v>
      </c>
      <c r="B12" s="26" t="s">
        <v>425</v>
      </c>
      <c r="C12" s="26" t="s">
        <v>426</v>
      </c>
      <c r="D12" s="28" t="s">
        <v>855</v>
      </c>
      <c r="E12" s="28" t="s">
        <v>856</v>
      </c>
      <c r="F12" s="28" t="s">
        <v>857</v>
      </c>
      <c r="G12" s="41"/>
      <c r="H12" s="30" t="s">
        <v>811</v>
      </c>
      <c r="I12" s="30" t="s">
        <v>810</v>
      </c>
      <c r="J12" s="30" t="s">
        <v>811</v>
      </c>
      <c r="K12" s="30" t="s">
        <v>811</v>
      </c>
      <c r="L12" s="30" t="s">
        <v>811</v>
      </c>
      <c r="M12" s="30"/>
      <c r="N12" s="31">
        <v>1432638.0</v>
      </c>
      <c r="O12" s="31">
        <v>7340553.0</v>
      </c>
      <c r="P12" s="31">
        <f t="shared" si="1"/>
        <v>-5907915</v>
      </c>
      <c r="Q12" s="31">
        <v>0.0</v>
      </c>
      <c r="R12" s="31">
        <f>P12</f>
        <v>-5907915</v>
      </c>
      <c r="S12" s="31">
        <f>R12</f>
        <v>-5907915</v>
      </c>
      <c r="T12" s="28" t="s">
        <v>858</v>
      </c>
      <c r="U12" s="28"/>
    </row>
    <row r="13">
      <c r="A13" s="42" t="s">
        <v>859</v>
      </c>
      <c r="B13" s="34" t="s">
        <v>860</v>
      </c>
      <c r="C13" s="34" t="s">
        <v>364</v>
      </c>
      <c r="D13" s="35" t="s">
        <v>861</v>
      </c>
      <c r="E13" s="35" t="s">
        <v>862</v>
      </c>
      <c r="F13" s="35" t="s">
        <v>863</v>
      </c>
      <c r="G13" s="36"/>
      <c r="H13" s="37" t="s">
        <v>811</v>
      </c>
      <c r="I13" s="37" t="s">
        <v>810</v>
      </c>
      <c r="J13" s="37" t="s">
        <v>811</v>
      </c>
      <c r="K13" s="37" t="s">
        <v>811</v>
      </c>
      <c r="L13" s="37" t="s">
        <v>811</v>
      </c>
      <c r="M13" s="37"/>
      <c r="N13" s="38">
        <v>6.5487105E7</v>
      </c>
      <c r="O13" s="38">
        <v>3.8298727E7</v>
      </c>
      <c r="P13" s="38">
        <f t="shared" si="1"/>
        <v>27188378</v>
      </c>
      <c r="Q13" s="38">
        <f>P13/2</f>
        <v>13594189</v>
      </c>
      <c r="R13" s="38">
        <v>2.5594189E7</v>
      </c>
      <c r="S13" s="38">
        <v>4.4253731E7</v>
      </c>
      <c r="T13" s="37" t="s">
        <v>864</v>
      </c>
      <c r="U13" s="35"/>
      <c r="V13" s="39"/>
      <c r="W13" s="39"/>
      <c r="X13" s="39"/>
    </row>
    <row r="14">
      <c r="A14" s="40" t="s">
        <v>865</v>
      </c>
      <c r="B14" s="26" t="s">
        <v>59</v>
      </c>
      <c r="C14" s="26" t="s">
        <v>866</v>
      </c>
      <c r="D14" s="28" t="s">
        <v>63</v>
      </c>
      <c r="E14" s="28" t="s">
        <v>867</v>
      </c>
      <c r="F14" s="28" t="s">
        <v>60</v>
      </c>
      <c r="G14" s="29"/>
      <c r="H14" s="30" t="s">
        <v>811</v>
      </c>
      <c r="I14" s="30" t="s">
        <v>810</v>
      </c>
      <c r="J14" s="30" t="s">
        <v>811</v>
      </c>
      <c r="K14" s="30" t="s">
        <v>811</v>
      </c>
      <c r="L14" s="30" t="s">
        <v>811</v>
      </c>
      <c r="M14" s="30"/>
      <c r="N14" s="31">
        <v>1.7985221E7</v>
      </c>
      <c r="O14" s="31">
        <v>2.0718305E7</v>
      </c>
      <c r="P14" s="31">
        <f t="shared" si="1"/>
        <v>-2733084</v>
      </c>
      <c r="Q14" s="31">
        <v>0.0</v>
      </c>
      <c r="R14" s="31">
        <f>P14</f>
        <v>-2733084</v>
      </c>
      <c r="S14" s="31">
        <f>R14</f>
        <v>-2733084</v>
      </c>
      <c r="T14" s="28" t="s">
        <v>868</v>
      </c>
      <c r="U14" s="28"/>
    </row>
    <row r="15">
      <c r="A15" s="43" t="s">
        <v>869</v>
      </c>
      <c r="B15" s="34" t="s">
        <v>870</v>
      </c>
      <c r="C15" s="34" t="s">
        <v>871</v>
      </c>
      <c r="D15" s="35" t="s">
        <v>872</v>
      </c>
      <c r="E15" s="35" t="s">
        <v>873</v>
      </c>
      <c r="F15" s="35" t="s">
        <v>167</v>
      </c>
      <c r="G15" s="36"/>
      <c r="H15" s="37" t="s">
        <v>811</v>
      </c>
      <c r="I15" s="37" t="s">
        <v>810</v>
      </c>
      <c r="J15" s="37" t="s">
        <v>811</v>
      </c>
      <c r="K15" s="37" t="s">
        <v>811</v>
      </c>
      <c r="L15" s="37" t="s">
        <v>811</v>
      </c>
      <c r="M15" s="37"/>
      <c r="N15" s="38">
        <v>4.6813773E7</v>
      </c>
      <c r="O15" s="38">
        <v>2.9832989E7</v>
      </c>
      <c r="P15" s="38">
        <f t="shared" si="1"/>
        <v>16980784</v>
      </c>
      <c r="Q15" s="38">
        <v>1.0490392E7</v>
      </c>
      <c r="R15" s="38">
        <f>Q15</f>
        <v>10490392</v>
      </c>
      <c r="S15" s="38">
        <v>1.2980784E7</v>
      </c>
      <c r="T15" s="35" t="s">
        <v>874</v>
      </c>
      <c r="U15" s="35"/>
      <c r="V15" s="39"/>
      <c r="W15" s="39"/>
      <c r="X15" s="39"/>
    </row>
    <row r="16">
      <c r="A16" s="40" t="s">
        <v>875</v>
      </c>
      <c r="B16" s="26" t="s">
        <v>243</v>
      </c>
      <c r="C16" s="26" t="s">
        <v>244</v>
      </c>
      <c r="D16" s="28" t="s">
        <v>876</v>
      </c>
      <c r="E16" s="28" t="s">
        <v>877</v>
      </c>
      <c r="F16" s="26" t="s">
        <v>244</v>
      </c>
      <c r="G16" s="29"/>
      <c r="H16" s="30" t="s">
        <v>810</v>
      </c>
      <c r="I16" s="30" t="s">
        <v>811</v>
      </c>
      <c r="J16" s="30" t="s">
        <v>810</v>
      </c>
      <c r="K16" s="30" t="s">
        <v>810</v>
      </c>
      <c r="L16" s="30" t="s">
        <v>811</v>
      </c>
      <c r="M16" s="30"/>
      <c r="N16" s="31"/>
      <c r="O16" s="31"/>
      <c r="P16" s="31">
        <f t="shared" si="1"/>
        <v>0</v>
      </c>
      <c r="Q16" s="31"/>
      <c r="R16" s="31"/>
      <c r="S16" s="31"/>
      <c r="T16" s="28" t="s">
        <v>878</v>
      </c>
      <c r="U16" s="26"/>
    </row>
    <row r="17">
      <c r="A17" s="44" t="s">
        <v>596</v>
      </c>
      <c r="B17" s="45" t="s">
        <v>597</v>
      </c>
      <c r="C17" s="45" t="s">
        <v>598</v>
      </c>
      <c r="D17" s="46" t="s">
        <v>595</v>
      </c>
      <c r="E17" s="46" t="s">
        <v>879</v>
      </c>
      <c r="F17" s="46" t="s">
        <v>602</v>
      </c>
      <c r="G17" s="47"/>
      <c r="H17" s="30" t="s">
        <v>811</v>
      </c>
      <c r="I17" s="30" t="s">
        <v>810</v>
      </c>
      <c r="J17" s="30" t="s">
        <v>880</v>
      </c>
      <c r="K17" s="30" t="s">
        <v>880</v>
      </c>
      <c r="L17" s="30" t="s">
        <v>880</v>
      </c>
      <c r="M17" s="30"/>
      <c r="N17" s="31"/>
      <c r="O17" s="31"/>
      <c r="P17" s="31">
        <f t="shared" si="1"/>
        <v>0</v>
      </c>
      <c r="Q17" s="31"/>
      <c r="R17" s="31"/>
      <c r="S17" s="31"/>
      <c r="T17" s="46" t="s">
        <v>881</v>
      </c>
      <c r="U17" s="46"/>
    </row>
    <row r="18">
      <c r="A18" s="25" t="s">
        <v>882</v>
      </c>
      <c r="B18" s="26" t="s">
        <v>439</v>
      </c>
      <c r="C18" s="26" t="s">
        <v>440</v>
      </c>
      <c r="D18" s="28" t="s">
        <v>883</v>
      </c>
      <c r="E18" s="28" t="s">
        <v>884</v>
      </c>
      <c r="F18" s="28" t="s">
        <v>885</v>
      </c>
      <c r="G18" s="29"/>
      <c r="H18" s="30" t="s">
        <v>811</v>
      </c>
      <c r="I18" s="30" t="s">
        <v>810</v>
      </c>
      <c r="J18" s="30" t="s">
        <v>811</v>
      </c>
      <c r="K18" s="30" t="s">
        <v>811</v>
      </c>
      <c r="L18" s="30" t="s">
        <v>811</v>
      </c>
      <c r="M18" s="30"/>
      <c r="N18" s="31"/>
      <c r="O18" s="31"/>
      <c r="P18" s="31">
        <f t="shared" si="1"/>
        <v>0</v>
      </c>
      <c r="Q18" s="31"/>
      <c r="R18" s="31"/>
      <c r="S18" s="31"/>
      <c r="T18" s="28" t="s">
        <v>886</v>
      </c>
      <c r="U18" s="28"/>
    </row>
    <row r="19">
      <c r="A19" s="25" t="s">
        <v>887</v>
      </c>
      <c r="B19" s="26" t="s">
        <v>888</v>
      </c>
      <c r="C19" s="26" t="s">
        <v>889</v>
      </c>
      <c r="D19" s="28" t="s">
        <v>890</v>
      </c>
      <c r="E19" s="28" t="s">
        <v>891</v>
      </c>
      <c r="F19" s="28" t="s">
        <v>809</v>
      </c>
      <c r="G19" s="47"/>
      <c r="H19" s="30" t="s">
        <v>811</v>
      </c>
      <c r="I19" s="48" t="s">
        <v>880</v>
      </c>
      <c r="J19" s="48" t="s">
        <v>880</v>
      </c>
      <c r="K19" s="48" t="s">
        <v>880</v>
      </c>
      <c r="L19" s="48" t="s">
        <v>880</v>
      </c>
      <c r="M19" s="48"/>
      <c r="N19" s="31"/>
      <c r="O19" s="31"/>
      <c r="P19" s="31">
        <f t="shared" si="1"/>
        <v>0</v>
      </c>
      <c r="Q19" s="31"/>
      <c r="R19" s="31"/>
      <c r="S19" s="31"/>
      <c r="T19" s="28" t="s">
        <v>892</v>
      </c>
      <c r="U19" s="28"/>
    </row>
    <row r="20">
      <c r="A20" s="25" t="s">
        <v>893</v>
      </c>
      <c r="B20" s="26" t="s">
        <v>625</v>
      </c>
      <c r="C20" s="26" t="s">
        <v>626</v>
      </c>
      <c r="D20" s="28" t="s">
        <v>894</v>
      </c>
      <c r="E20" s="28" t="s">
        <v>895</v>
      </c>
      <c r="F20" s="28" t="s">
        <v>630</v>
      </c>
      <c r="G20" s="29"/>
      <c r="H20" s="30" t="s">
        <v>811</v>
      </c>
      <c r="I20" s="30" t="s">
        <v>810</v>
      </c>
      <c r="J20" s="30" t="s">
        <v>811</v>
      </c>
      <c r="K20" s="30" t="s">
        <v>811</v>
      </c>
      <c r="L20" s="30" t="s">
        <v>811</v>
      </c>
      <c r="M20" s="30"/>
      <c r="N20" s="31"/>
      <c r="O20" s="31"/>
      <c r="P20" s="31">
        <f t="shared" si="1"/>
        <v>0</v>
      </c>
      <c r="Q20" s="31"/>
      <c r="R20" s="31"/>
      <c r="S20" s="31"/>
      <c r="T20" s="28" t="s">
        <v>896</v>
      </c>
      <c r="U20" s="28"/>
    </row>
    <row r="21">
      <c r="A21" s="25" t="s">
        <v>897</v>
      </c>
      <c r="B21" s="26" t="s">
        <v>404</v>
      </c>
      <c r="C21" s="26" t="s">
        <v>405</v>
      </c>
      <c r="D21" s="28" t="s">
        <v>898</v>
      </c>
      <c r="E21" s="28" t="s">
        <v>407</v>
      </c>
      <c r="F21" s="28" t="s">
        <v>408</v>
      </c>
      <c r="G21" s="29"/>
      <c r="H21" s="30" t="s">
        <v>811</v>
      </c>
      <c r="I21" s="30" t="s">
        <v>810</v>
      </c>
      <c r="J21" s="30" t="s">
        <v>811</v>
      </c>
      <c r="K21" s="30" t="s">
        <v>811</v>
      </c>
      <c r="L21" s="30" t="s">
        <v>811</v>
      </c>
      <c r="M21" s="30"/>
      <c r="N21" s="31"/>
      <c r="O21" s="31"/>
      <c r="P21" s="31">
        <f t="shared" si="1"/>
        <v>0</v>
      </c>
      <c r="Q21" s="31"/>
      <c r="R21" s="31"/>
      <c r="S21" s="31"/>
      <c r="T21" s="28" t="s">
        <v>899</v>
      </c>
      <c r="U21" s="28"/>
    </row>
    <row r="22">
      <c r="A22" s="25" t="s">
        <v>900</v>
      </c>
      <c r="B22" s="26" t="s">
        <v>539</v>
      </c>
      <c r="C22" s="26" t="s">
        <v>901</v>
      </c>
      <c r="D22" s="28" t="s">
        <v>542</v>
      </c>
      <c r="E22" s="28" t="s">
        <v>902</v>
      </c>
      <c r="F22" s="28" t="s">
        <v>541</v>
      </c>
      <c r="G22" s="29"/>
      <c r="H22" s="30" t="s">
        <v>811</v>
      </c>
      <c r="I22" s="30" t="s">
        <v>810</v>
      </c>
      <c r="J22" s="30" t="s">
        <v>811</v>
      </c>
      <c r="K22" s="30" t="s">
        <v>811</v>
      </c>
      <c r="L22" s="30" t="s">
        <v>811</v>
      </c>
      <c r="M22" s="30"/>
      <c r="N22" s="31"/>
      <c r="O22" s="31"/>
      <c r="P22" s="31">
        <f t="shared" si="1"/>
        <v>0</v>
      </c>
      <c r="Q22" s="31"/>
      <c r="R22" s="31"/>
      <c r="S22" s="31"/>
      <c r="T22" s="28" t="s">
        <v>903</v>
      </c>
      <c r="U22" s="28"/>
    </row>
    <row r="23">
      <c r="A23" s="25" t="s">
        <v>904</v>
      </c>
      <c r="B23" s="26" t="s">
        <v>204</v>
      </c>
      <c r="C23" s="26" t="s">
        <v>205</v>
      </c>
      <c r="D23" s="25" t="s">
        <v>905</v>
      </c>
      <c r="E23" s="28" t="s">
        <v>906</v>
      </c>
      <c r="F23" s="28" t="s">
        <v>205</v>
      </c>
      <c r="G23" s="29"/>
      <c r="H23" s="30" t="s">
        <v>811</v>
      </c>
      <c r="I23" s="30" t="s">
        <v>810</v>
      </c>
      <c r="J23" s="30" t="s">
        <v>811</v>
      </c>
      <c r="K23" s="30" t="s">
        <v>811</v>
      </c>
      <c r="L23" s="30" t="s">
        <v>811</v>
      </c>
      <c r="M23" s="30"/>
      <c r="N23" s="31"/>
      <c r="O23" s="31"/>
      <c r="P23" s="31">
        <f t="shared" si="1"/>
        <v>0</v>
      </c>
      <c r="Q23" s="31"/>
      <c r="R23" s="31"/>
      <c r="S23" s="31"/>
      <c r="T23" s="28" t="s">
        <v>907</v>
      </c>
      <c r="U23" s="28"/>
    </row>
    <row r="24">
      <c r="A24" s="25" t="s">
        <v>908</v>
      </c>
      <c r="B24" s="26" t="s">
        <v>909</v>
      </c>
      <c r="C24" s="26" t="s">
        <v>910</v>
      </c>
      <c r="D24" s="28" t="s">
        <v>911</v>
      </c>
      <c r="E24" s="28" t="s">
        <v>912</v>
      </c>
      <c r="F24" s="28" t="s">
        <v>809</v>
      </c>
      <c r="G24" s="29"/>
      <c r="H24" s="30" t="s">
        <v>811</v>
      </c>
      <c r="I24" s="30" t="s">
        <v>810</v>
      </c>
      <c r="J24" s="30" t="s">
        <v>811</v>
      </c>
      <c r="K24" s="30" t="s">
        <v>811</v>
      </c>
      <c r="L24" s="30" t="s">
        <v>811</v>
      </c>
      <c r="M24" s="30"/>
      <c r="N24" s="31"/>
      <c r="O24" s="31"/>
      <c r="P24" s="31">
        <f t="shared" si="1"/>
        <v>0</v>
      </c>
      <c r="Q24" s="31"/>
      <c r="R24" s="31"/>
      <c r="S24" s="31"/>
      <c r="T24" s="28" t="s">
        <v>913</v>
      </c>
      <c r="U24" s="28"/>
    </row>
    <row r="25">
      <c r="A25" s="25" t="s">
        <v>914</v>
      </c>
      <c r="B25" s="26" t="s">
        <v>703</v>
      </c>
      <c r="C25" s="26" t="s">
        <v>704</v>
      </c>
      <c r="D25" s="25" t="s">
        <v>708</v>
      </c>
      <c r="E25" s="28" t="s">
        <v>915</v>
      </c>
      <c r="F25" s="28" t="s">
        <v>915</v>
      </c>
      <c r="G25" s="29"/>
      <c r="H25" s="30" t="s">
        <v>811</v>
      </c>
      <c r="I25" s="30" t="s">
        <v>810</v>
      </c>
      <c r="J25" s="30" t="s">
        <v>811</v>
      </c>
      <c r="K25" s="30" t="s">
        <v>811</v>
      </c>
      <c r="L25" s="30" t="s">
        <v>811</v>
      </c>
      <c r="M25" s="30"/>
      <c r="N25" s="31"/>
      <c r="O25" s="31"/>
      <c r="P25" s="31">
        <f t="shared" si="1"/>
        <v>0</v>
      </c>
      <c r="Q25" s="31"/>
      <c r="R25" s="31"/>
      <c r="S25" s="31"/>
      <c r="T25" s="28" t="s">
        <v>916</v>
      </c>
      <c r="U25" s="28"/>
    </row>
    <row r="26">
      <c r="A26" s="25" t="s">
        <v>917</v>
      </c>
      <c r="B26" s="26" t="s">
        <v>85</v>
      </c>
      <c r="C26" s="26" t="s">
        <v>86</v>
      </c>
      <c r="D26" s="28" t="s">
        <v>918</v>
      </c>
      <c r="E26" s="28" t="s">
        <v>919</v>
      </c>
      <c r="F26" s="28" t="s">
        <v>920</v>
      </c>
      <c r="G26" s="29"/>
      <c r="H26" s="30" t="s">
        <v>811</v>
      </c>
      <c r="I26" s="30" t="s">
        <v>810</v>
      </c>
      <c r="J26" s="30" t="s">
        <v>811</v>
      </c>
      <c r="K26" s="30" t="s">
        <v>811</v>
      </c>
      <c r="L26" s="30" t="s">
        <v>811</v>
      </c>
      <c r="M26" s="30"/>
      <c r="N26" s="31"/>
      <c r="O26" s="31"/>
      <c r="P26" s="31">
        <f t="shared" si="1"/>
        <v>0</v>
      </c>
      <c r="Q26" s="31"/>
      <c r="R26" s="31"/>
      <c r="S26" s="31"/>
      <c r="T26" s="28" t="s">
        <v>921</v>
      </c>
      <c r="U26" s="28"/>
    </row>
    <row r="27">
      <c r="A27" s="25" t="s">
        <v>922</v>
      </c>
      <c r="B27" s="26" t="s">
        <v>98</v>
      </c>
      <c r="C27" s="26" t="s">
        <v>99</v>
      </c>
      <c r="D27" s="28" t="s">
        <v>102</v>
      </c>
      <c r="E27" s="28" t="s">
        <v>841</v>
      </c>
      <c r="F27" s="28" t="s">
        <v>842</v>
      </c>
      <c r="G27" s="29"/>
      <c r="H27" s="30" t="s">
        <v>811</v>
      </c>
      <c r="I27" s="30" t="s">
        <v>810</v>
      </c>
      <c r="J27" s="30" t="s">
        <v>811</v>
      </c>
      <c r="K27" s="30" t="s">
        <v>811</v>
      </c>
      <c r="L27" s="30" t="s">
        <v>811</v>
      </c>
      <c r="M27" s="30"/>
      <c r="N27" s="31"/>
      <c r="O27" s="31"/>
      <c r="P27" s="31">
        <f t="shared" si="1"/>
        <v>0</v>
      </c>
      <c r="Q27" s="31"/>
      <c r="R27" s="31"/>
      <c r="S27" s="31"/>
      <c r="T27" s="28" t="s">
        <v>923</v>
      </c>
      <c r="U27" s="28"/>
    </row>
    <row r="28">
      <c r="A28" s="25" t="s">
        <v>924</v>
      </c>
      <c r="B28" s="26" t="s">
        <v>925</v>
      </c>
      <c r="C28" s="26" t="s">
        <v>926</v>
      </c>
      <c r="D28" s="28" t="s">
        <v>927</v>
      </c>
      <c r="E28" s="28" t="s">
        <v>912</v>
      </c>
      <c r="F28" s="28" t="s">
        <v>928</v>
      </c>
      <c r="G28" s="29"/>
      <c r="H28" s="30" t="s">
        <v>811</v>
      </c>
      <c r="I28" s="30" t="s">
        <v>810</v>
      </c>
      <c r="J28" s="30" t="s">
        <v>811</v>
      </c>
      <c r="K28" s="30" t="s">
        <v>811</v>
      </c>
      <c r="L28" s="30" t="s">
        <v>811</v>
      </c>
      <c r="M28" s="30"/>
      <c r="N28" s="31"/>
      <c r="O28" s="31"/>
      <c r="P28" s="31">
        <f t="shared" si="1"/>
        <v>0</v>
      </c>
      <c r="Q28" s="31"/>
      <c r="R28" s="31"/>
      <c r="S28" s="31"/>
      <c r="T28" s="28" t="s">
        <v>913</v>
      </c>
      <c r="U28" s="28"/>
    </row>
    <row r="29">
      <c r="A29" s="25" t="s">
        <v>929</v>
      </c>
      <c r="B29" s="26" t="s">
        <v>681</v>
      </c>
      <c r="C29" s="26" t="s">
        <v>930</v>
      </c>
      <c r="D29" s="28" t="s">
        <v>679</v>
      </c>
      <c r="E29" s="28" t="s">
        <v>931</v>
      </c>
      <c r="F29" s="28" t="s">
        <v>932</v>
      </c>
      <c r="G29" s="29"/>
      <c r="H29" s="30" t="s">
        <v>811</v>
      </c>
      <c r="I29" s="30" t="s">
        <v>810</v>
      </c>
      <c r="J29" s="30" t="s">
        <v>811</v>
      </c>
      <c r="K29" s="30" t="s">
        <v>811</v>
      </c>
      <c r="L29" s="30" t="s">
        <v>811</v>
      </c>
      <c r="M29" s="30"/>
      <c r="N29" s="31"/>
      <c r="O29" s="31"/>
      <c r="P29" s="31">
        <f t="shared" si="1"/>
        <v>0</v>
      </c>
      <c r="Q29" s="31"/>
      <c r="R29" s="31"/>
      <c r="S29" s="31"/>
      <c r="T29" s="28" t="s">
        <v>843</v>
      </c>
      <c r="U29" s="28"/>
    </row>
    <row r="30">
      <c r="A30" s="25" t="s">
        <v>933</v>
      </c>
      <c r="B30" s="26" t="s">
        <v>934</v>
      </c>
      <c r="C30" s="26" t="s">
        <v>935</v>
      </c>
      <c r="D30" s="28" t="s">
        <v>393</v>
      </c>
      <c r="E30" s="28" t="s">
        <v>936</v>
      </c>
      <c r="F30" s="28" t="s">
        <v>399</v>
      </c>
      <c r="G30" s="29"/>
      <c r="H30" s="30" t="s">
        <v>811</v>
      </c>
      <c r="I30" s="30" t="s">
        <v>810</v>
      </c>
      <c r="J30" s="30" t="s">
        <v>811</v>
      </c>
      <c r="K30" s="30" t="s">
        <v>811</v>
      </c>
      <c r="L30" s="30" t="s">
        <v>811</v>
      </c>
      <c r="M30" s="30"/>
      <c r="N30" s="31"/>
      <c r="O30" s="31"/>
      <c r="P30" s="31">
        <f t="shared" si="1"/>
        <v>0</v>
      </c>
      <c r="Q30" s="31"/>
      <c r="R30" s="31"/>
      <c r="S30" s="31"/>
      <c r="T30" s="28" t="s">
        <v>937</v>
      </c>
      <c r="U30" s="28"/>
    </row>
    <row r="31">
      <c r="A31" s="25" t="s">
        <v>293</v>
      </c>
      <c r="B31" s="26" t="s">
        <v>294</v>
      </c>
      <c r="C31" s="26" t="s">
        <v>295</v>
      </c>
      <c r="D31" s="28" t="s">
        <v>292</v>
      </c>
      <c r="E31" s="28" t="s">
        <v>938</v>
      </c>
      <c r="F31" s="28">
        <v>1325740.0</v>
      </c>
      <c r="G31" s="29"/>
      <c r="H31" s="30" t="s">
        <v>810</v>
      </c>
      <c r="I31" s="30" t="s">
        <v>69</v>
      </c>
      <c r="J31" s="30" t="s">
        <v>811</v>
      </c>
      <c r="K31" s="30" t="s">
        <v>811</v>
      </c>
      <c r="L31" s="30" t="s">
        <v>811</v>
      </c>
      <c r="M31" s="30"/>
      <c r="N31" s="31"/>
      <c r="O31" s="31"/>
      <c r="P31" s="31">
        <f t="shared" si="1"/>
        <v>0</v>
      </c>
      <c r="Q31" s="31"/>
      <c r="R31" s="31"/>
      <c r="S31" s="31"/>
      <c r="T31" s="28" t="s">
        <v>939</v>
      </c>
      <c r="U31" s="28"/>
    </row>
    <row r="32">
      <c r="A32" s="25" t="s">
        <v>940</v>
      </c>
      <c r="B32" s="26" t="s">
        <v>634</v>
      </c>
      <c r="C32" s="26" t="s">
        <v>941</v>
      </c>
      <c r="D32" s="28" t="s">
        <v>632</v>
      </c>
      <c r="E32" s="28" t="s">
        <v>942</v>
      </c>
      <c r="F32" s="28" t="s">
        <v>943</v>
      </c>
      <c r="G32" s="49"/>
      <c r="H32" s="30" t="s">
        <v>811</v>
      </c>
      <c r="I32" s="30" t="s">
        <v>810</v>
      </c>
      <c r="J32" s="30" t="s">
        <v>811</v>
      </c>
      <c r="K32" s="30" t="s">
        <v>811</v>
      </c>
      <c r="L32" s="30" t="s">
        <v>811</v>
      </c>
      <c r="M32" s="30"/>
      <c r="N32" s="31"/>
      <c r="O32" s="31"/>
      <c r="P32" s="31">
        <f t="shared" si="1"/>
        <v>0</v>
      </c>
      <c r="Q32" s="31"/>
      <c r="R32" s="31"/>
      <c r="S32" s="31"/>
      <c r="T32" s="28" t="s">
        <v>944</v>
      </c>
      <c r="U32" s="28"/>
    </row>
    <row r="33">
      <c r="A33" s="25" t="s">
        <v>945</v>
      </c>
      <c r="B33" s="26" t="s">
        <v>36</v>
      </c>
      <c r="C33" s="26" t="s">
        <v>37</v>
      </c>
      <c r="D33" s="28" t="s">
        <v>946</v>
      </c>
      <c r="E33" s="28" t="s">
        <v>947</v>
      </c>
      <c r="F33" s="28" t="s">
        <v>948</v>
      </c>
      <c r="G33" s="29"/>
      <c r="H33" s="30" t="s">
        <v>811</v>
      </c>
      <c r="I33" s="30" t="s">
        <v>810</v>
      </c>
      <c r="J33" s="30" t="s">
        <v>811</v>
      </c>
      <c r="K33" s="30" t="s">
        <v>811</v>
      </c>
      <c r="L33" s="30" t="s">
        <v>811</v>
      </c>
      <c r="M33" s="30"/>
      <c r="N33" s="31"/>
      <c r="O33" s="31"/>
      <c r="P33" s="31">
        <f t="shared" si="1"/>
        <v>0</v>
      </c>
      <c r="Q33" s="31"/>
      <c r="R33" s="31"/>
      <c r="S33" s="31"/>
      <c r="T33" s="28" t="s">
        <v>949</v>
      </c>
      <c r="U33" s="28"/>
    </row>
    <row r="34">
      <c r="A34" s="25" t="s">
        <v>950</v>
      </c>
      <c r="B34" s="26" t="s">
        <v>311</v>
      </c>
      <c r="C34" s="26" t="s">
        <v>312</v>
      </c>
      <c r="D34" s="28" t="s">
        <v>309</v>
      </c>
      <c r="E34" s="28" t="s">
        <v>951</v>
      </c>
      <c r="F34" s="28" t="s">
        <v>316</v>
      </c>
      <c r="G34" s="29"/>
      <c r="H34" s="30" t="s">
        <v>811</v>
      </c>
      <c r="I34" s="30" t="s">
        <v>810</v>
      </c>
      <c r="J34" s="30" t="s">
        <v>811</v>
      </c>
      <c r="K34" s="30" t="s">
        <v>811</v>
      </c>
      <c r="L34" s="30" t="s">
        <v>811</v>
      </c>
      <c r="M34" s="30"/>
      <c r="N34" s="31"/>
      <c r="O34" s="31"/>
      <c r="P34" s="31">
        <f t="shared" si="1"/>
        <v>0</v>
      </c>
      <c r="Q34" s="31"/>
      <c r="R34" s="31"/>
      <c r="S34" s="31"/>
      <c r="T34" s="28" t="s">
        <v>952</v>
      </c>
      <c r="U34" s="28"/>
    </row>
    <row r="35">
      <c r="A35" s="25" t="s">
        <v>372</v>
      </c>
      <c r="B35" s="26" t="s">
        <v>373</v>
      </c>
      <c r="C35" s="26" t="s">
        <v>374</v>
      </c>
      <c r="D35" s="28" t="s">
        <v>953</v>
      </c>
      <c r="E35" s="28" t="s">
        <v>954</v>
      </c>
      <c r="F35" s="28" t="s">
        <v>809</v>
      </c>
      <c r="G35" s="29"/>
      <c r="H35" s="30" t="s">
        <v>811</v>
      </c>
      <c r="I35" s="30" t="s">
        <v>810</v>
      </c>
      <c r="J35" s="30" t="s">
        <v>811</v>
      </c>
      <c r="K35" s="30" t="s">
        <v>811</v>
      </c>
      <c r="L35" s="30" t="s">
        <v>811</v>
      </c>
      <c r="M35" s="30"/>
      <c r="N35" s="31"/>
      <c r="O35" s="31"/>
      <c r="P35" s="31">
        <f t="shared" si="1"/>
        <v>0</v>
      </c>
      <c r="Q35" s="31"/>
      <c r="R35" s="31"/>
      <c r="S35" s="31"/>
      <c r="T35" s="28" t="s">
        <v>955</v>
      </c>
      <c r="U35" s="28"/>
    </row>
    <row r="36">
      <c r="A36" s="25" t="s">
        <v>520</v>
      </c>
      <c r="B36" s="26" t="s">
        <v>521</v>
      </c>
      <c r="C36" s="26" t="s">
        <v>522</v>
      </c>
      <c r="D36" s="28" t="s">
        <v>519</v>
      </c>
      <c r="E36" s="28" t="s">
        <v>956</v>
      </c>
      <c r="F36" s="28" t="s">
        <v>957</v>
      </c>
      <c r="G36" s="29"/>
      <c r="H36" s="30" t="s">
        <v>811</v>
      </c>
      <c r="I36" s="30" t="s">
        <v>810</v>
      </c>
      <c r="J36" s="30" t="s">
        <v>811</v>
      </c>
      <c r="K36" s="30" t="s">
        <v>811</v>
      </c>
      <c r="L36" s="30" t="s">
        <v>811</v>
      </c>
      <c r="M36" s="30"/>
      <c r="N36" s="31"/>
      <c r="O36" s="31"/>
      <c r="P36" s="31">
        <f t="shared" si="1"/>
        <v>0</v>
      </c>
      <c r="Q36" s="31"/>
      <c r="R36" s="31"/>
      <c r="S36" s="31"/>
      <c r="T36" s="28" t="s">
        <v>958</v>
      </c>
      <c r="U36" s="28"/>
    </row>
    <row r="37">
      <c r="A37" s="25" t="s">
        <v>959</v>
      </c>
      <c r="B37" s="26" t="s">
        <v>960</v>
      </c>
      <c r="C37" s="26" t="s">
        <v>961</v>
      </c>
      <c r="D37" s="28" t="s">
        <v>962</v>
      </c>
      <c r="E37" s="28" t="s">
        <v>963</v>
      </c>
      <c r="F37" s="28" t="s">
        <v>964</v>
      </c>
      <c r="G37" s="29" t="s">
        <v>965</v>
      </c>
      <c r="H37" s="30" t="s">
        <v>811</v>
      </c>
      <c r="I37" s="30" t="s">
        <v>69</v>
      </c>
      <c r="J37" s="30" t="s">
        <v>811</v>
      </c>
      <c r="K37" s="30" t="s">
        <v>811</v>
      </c>
      <c r="L37" s="30" t="s">
        <v>811</v>
      </c>
      <c r="M37" s="30"/>
      <c r="N37" s="31"/>
      <c r="O37" s="31"/>
      <c r="P37" s="31">
        <f t="shared" si="1"/>
        <v>0</v>
      </c>
      <c r="Q37" s="31"/>
      <c r="R37" s="31"/>
      <c r="S37" s="31"/>
      <c r="T37" s="28" t="s">
        <v>966</v>
      </c>
      <c r="U37" s="28"/>
    </row>
    <row r="38">
      <c r="A38" s="25" t="s">
        <v>263</v>
      </c>
      <c r="B38" s="50" t="s">
        <v>264</v>
      </c>
      <c r="C38" s="26" t="s">
        <v>967</v>
      </c>
      <c r="D38" s="25" t="s">
        <v>262</v>
      </c>
      <c r="E38" s="28" t="s">
        <v>968</v>
      </c>
      <c r="F38" s="28" t="s">
        <v>809</v>
      </c>
      <c r="G38" s="29"/>
      <c r="H38" s="30" t="s">
        <v>811</v>
      </c>
      <c r="I38" s="30" t="s">
        <v>810</v>
      </c>
      <c r="J38" s="30" t="s">
        <v>811</v>
      </c>
      <c r="K38" s="30" t="s">
        <v>811</v>
      </c>
      <c r="L38" s="30" t="s">
        <v>811</v>
      </c>
      <c r="M38" s="30"/>
      <c r="N38" s="31"/>
      <c r="O38" s="31"/>
      <c r="P38" s="31">
        <f t="shared" si="1"/>
        <v>0</v>
      </c>
      <c r="Q38" s="31"/>
      <c r="R38" s="31"/>
      <c r="S38" s="31"/>
      <c r="T38" s="28" t="s">
        <v>969</v>
      </c>
      <c r="U38" s="28"/>
    </row>
    <row r="39">
      <c r="A39" s="25" t="s">
        <v>970</v>
      </c>
      <c r="B39" s="26" t="s">
        <v>181</v>
      </c>
      <c r="C39" s="26" t="s">
        <v>182</v>
      </c>
      <c r="D39" s="28" t="s">
        <v>971</v>
      </c>
      <c r="E39" s="28" t="s">
        <v>972</v>
      </c>
      <c r="F39" s="28" t="s">
        <v>973</v>
      </c>
      <c r="G39" s="29"/>
      <c r="H39" s="30" t="s">
        <v>811</v>
      </c>
      <c r="I39" s="30" t="s">
        <v>810</v>
      </c>
      <c r="J39" s="30" t="s">
        <v>811</v>
      </c>
      <c r="K39" s="30" t="s">
        <v>810</v>
      </c>
      <c r="L39" s="30" t="s">
        <v>811</v>
      </c>
      <c r="M39" s="30"/>
      <c r="N39" s="31"/>
      <c r="O39" s="31"/>
      <c r="P39" s="31">
        <f t="shared" si="1"/>
        <v>0</v>
      </c>
      <c r="Q39" s="31"/>
      <c r="R39" s="31"/>
      <c r="S39" s="31"/>
      <c r="T39" s="28" t="s">
        <v>974</v>
      </c>
      <c r="U39" s="28"/>
    </row>
    <row r="40">
      <c r="A40" s="25" t="s">
        <v>975</v>
      </c>
      <c r="B40" s="26" t="s">
        <v>129</v>
      </c>
      <c r="C40" s="26" t="s">
        <v>130</v>
      </c>
      <c r="D40" s="30" t="s">
        <v>976</v>
      </c>
      <c r="E40" s="28" t="s">
        <v>977</v>
      </c>
      <c r="F40" s="28" t="s">
        <v>978</v>
      </c>
      <c r="G40" s="29"/>
      <c r="H40" s="30" t="s">
        <v>811</v>
      </c>
      <c r="I40" s="30" t="s">
        <v>810</v>
      </c>
      <c r="J40" s="30" t="s">
        <v>811</v>
      </c>
      <c r="K40" s="30" t="s">
        <v>811</v>
      </c>
      <c r="L40" s="30" t="s">
        <v>811</v>
      </c>
      <c r="M40" s="30"/>
      <c r="N40" s="31"/>
      <c r="O40" s="31"/>
      <c r="P40" s="31">
        <f t="shared" si="1"/>
        <v>0</v>
      </c>
      <c r="Q40" s="31"/>
      <c r="R40" s="31"/>
      <c r="S40" s="31"/>
      <c r="T40" s="28" t="s">
        <v>979</v>
      </c>
      <c r="U40" s="28"/>
    </row>
    <row r="41">
      <c r="A41" s="25" t="s">
        <v>232</v>
      </c>
      <c r="B41" s="26" t="s">
        <v>980</v>
      </c>
      <c r="C41" s="26" t="s">
        <v>234</v>
      </c>
      <c r="D41" s="28" t="s">
        <v>231</v>
      </c>
      <c r="E41" s="28" t="s">
        <v>981</v>
      </c>
      <c r="F41" s="28" t="s">
        <v>982</v>
      </c>
      <c r="G41" s="29"/>
      <c r="H41" s="30" t="s">
        <v>811</v>
      </c>
      <c r="I41" s="30" t="s">
        <v>810</v>
      </c>
      <c r="J41" s="30" t="s">
        <v>811</v>
      </c>
      <c r="K41" s="30" t="s">
        <v>811</v>
      </c>
      <c r="L41" s="30" t="s">
        <v>811</v>
      </c>
      <c r="M41" s="30"/>
      <c r="N41" s="31"/>
      <c r="O41" s="31"/>
      <c r="P41" s="31">
        <f t="shared" si="1"/>
        <v>0</v>
      </c>
      <c r="Q41" s="31"/>
      <c r="R41" s="31"/>
      <c r="S41" s="31"/>
      <c r="T41" s="28" t="s">
        <v>983</v>
      </c>
      <c r="U41" s="28"/>
    </row>
    <row r="42">
      <c r="A42" s="25" t="s">
        <v>984</v>
      </c>
      <c r="B42" s="26" t="s">
        <v>47</v>
      </c>
      <c r="C42" s="26" t="s">
        <v>48</v>
      </c>
      <c r="D42" s="28" t="s">
        <v>54</v>
      </c>
      <c r="E42" s="28" t="s">
        <v>985</v>
      </c>
      <c r="F42" s="28" t="s">
        <v>811</v>
      </c>
      <c r="G42" s="29">
        <v>132872.0</v>
      </c>
      <c r="H42" s="30" t="s">
        <v>811</v>
      </c>
      <c r="I42" s="30" t="s">
        <v>810</v>
      </c>
      <c r="J42" s="30" t="s">
        <v>811</v>
      </c>
      <c r="K42" s="30" t="s">
        <v>811</v>
      </c>
      <c r="L42" s="30" t="s">
        <v>811</v>
      </c>
      <c r="M42" s="30"/>
      <c r="N42" s="31">
        <v>5764200.0</v>
      </c>
      <c r="O42" s="31">
        <v>2890068.0</v>
      </c>
      <c r="P42" s="31">
        <f t="shared" si="1"/>
        <v>2874132</v>
      </c>
      <c r="Q42" s="31">
        <f>P42/2</f>
        <v>1437066</v>
      </c>
      <c r="R42" s="31">
        <f>Q42</f>
        <v>1437066</v>
      </c>
      <c r="S42" s="31">
        <v>2874132.0</v>
      </c>
      <c r="T42" s="28" t="s">
        <v>986</v>
      </c>
      <c r="U42" s="28"/>
    </row>
    <row r="43">
      <c r="A43" s="25" t="s">
        <v>987</v>
      </c>
      <c r="B43" s="26" t="s">
        <v>988</v>
      </c>
      <c r="C43" s="26" t="s">
        <v>989</v>
      </c>
      <c r="D43" s="28" t="s">
        <v>990</v>
      </c>
      <c r="E43" s="28" t="s">
        <v>991</v>
      </c>
      <c r="F43" s="28" t="s">
        <v>992</v>
      </c>
      <c r="G43" s="29"/>
      <c r="H43" s="30" t="s">
        <v>811</v>
      </c>
      <c r="I43" s="30" t="s">
        <v>810</v>
      </c>
      <c r="J43" s="30" t="s">
        <v>811</v>
      </c>
      <c r="K43" s="30" t="s">
        <v>811</v>
      </c>
      <c r="L43" s="30" t="s">
        <v>811</v>
      </c>
      <c r="M43" s="30"/>
      <c r="N43" s="31"/>
      <c r="O43" s="31"/>
      <c r="P43" s="31">
        <f t="shared" si="1"/>
        <v>0</v>
      </c>
      <c r="Q43" s="31"/>
      <c r="R43" s="31"/>
      <c r="S43" s="31"/>
      <c r="T43" s="28" t="s">
        <v>993</v>
      </c>
      <c r="U43" s="28"/>
    </row>
    <row r="44">
      <c r="A44" s="51" t="s">
        <v>994</v>
      </c>
      <c r="B44" s="26" t="s">
        <v>75</v>
      </c>
      <c r="C44" s="26" t="s">
        <v>76</v>
      </c>
      <c r="D44" s="52" t="s">
        <v>73</v>
      </c>
      <c r="E44" s="28" t="s">
        <v>995</v>
      </c>
      <c r="F44" s="28" t="s">
        <v>80</v>
      </c>
      <c r="G44" s="47"/>
      <c r="H44" s="30" t="s">
        <v>69</v>
      </c>
      <c r="I44" s="30" t="s">
        <v>810</v>
      </c>
      <c r="J44" s="30" t="s">
        <v>810</v>
      </c>
      <c r="K44" s="30" t="s">
        <v>810</v>
      </c>
      <c r="L44" s="30" t="s">
        <v>811</v>
      </c>
      <c r="M44" s="30"/>
      <c r="N44" s="31"/>
      <c r="O44" s="31"/>
      <c r="P44" s="31">
        <f t="shared" si="1"/>
        <v>0</v>
      </c>
      <c r="Q44" s="31"/>
      <c r="R44" s="31"/>
      <c r="S44" s="31"/>
      <c r="T44" s="28" t="s">
        <v>996</v>
      </c>
      <c r="U44" s="28"/>
    </row>
    <row r="45">
      <c r="A45" s="25" t="s">
        <v>997</v>
      </c>
      <c r="B45" s="26" t="s">
        <v>140</v>
      </c>
      <c r="C45" s="26" t="s">
        <v>141</v>
      </c>
      <c r="D45" s="28" t="s">
        <v>998</v>
      </c>
      <c r="E45" s="28" t="s">
        <v>142</v>
      </c>
      <c r="F45" s="53" t="s">
        <v>141</v>
      </c>
      <c r="G45" s="29"/>
      <c r="H45" s="30" t="s">
        <v>811</v>
      </c>
      <c r="I45" s="30" t="s">
        <v>810</v>
      </c>
      <c r="J45" s="30" t="s">
        <v>811</v>
      </c>
      <c r="K45" s="30" t="s">
        <v>811</v>
      </c>
      <c r="L45" s="30" t="s">
        <v>811</v>
      </c>
      <c r="M45" s="30"/>
      <c r="N45" s="31"/>
      <c r="O45" s="31"/>
      <c r="P45" s="31">
        <f t="shared" si="1"/>
        <v>0</v>
      </c>
      <c r="Q45" s="31"/>
      <c r="R45" s="31"/>
      <c r="S45" s="31"/>
      <c r="T45" s="28" t="s">
        <v>999</v>
      </c>
      <c r="U45" s="53"/>
    </row>
    <row r="46">
      <c r="A46" s="25" t="s">
        <v>271</v>
      </c>
      <c r="B46" s="26" t="s">
        <v>272</v>
      </c>
      <c r="C46" s="26" t="s">
        <v>273</v>
      </c>
      <c r="D46" s="25" t="s">
        <v>277</v>
      </c>
      <c r="E46" s="28" t="s">
        <v>835</v>
      </c>
      <c r="F46" s="28" t="s">
        <v>275</v>
      </c>
      <c r="G46" s="54"/>
      <c r="H46" s="30" t="s">
        <v>811</v>
      </c>
      <c r="I46" s="30" t="s">
        <v>810</v>
      </c>
      <c r="J46" s="30" t="s">
        <v>811</v>
      </c>
      <c r="K46" s="30" t="s">
        <v>811</v>
      </c>
      <c r="L46" s="30" t="s">
        <v>811</v>
      </c>
      <c r="M46" s="30"/>
      <c r="N46" s="31"/>
      <c r="O46" s="31"/>
      <c r="P46" s="31">
        <f t="shared" si="1"/>
        <v>0</v>
      </c>
      <c r="Q46" s="31"/>
      <c r="R46" s="31"/>
      <c r="S46" s="31"/>
      <c r="T46" s="28" t="s">
        <v>837</v>
      </c>
      <c r="U46" s="28"/>
    </row>
    <row r="47">
      <c r="A47" s="25" t="s">
        <v>1000</v>
      </c>
      <c r="B47" s="26" t="s">
        <v>1001</v>
      </c>
      <c r="C47" s="26" t="s">
        <v>1002</v>
      </c>
      <c r="D47" s="28" t="s">
        <v>1003</v>
      </c>
      <c r="E47" s="28" t="s">
        <v>1004</v>
      </c>
      <c r="F47" s="28">
        <v>2.7097283E7</v>
      </c>
      <c r="G47" s="29"/>
      <c r="H47" s="30" t="s">
        <v>811</v>
      </c>
      <c r="I47" s="30" t="s">
        <v>810</v>
      </c>
      <c r="J47" s="30" t="s">
        <v>811</v>
      </c>
      <c r="K47" s="30" t="s">
        <v>811</v>
      </c>
      <c r="L47" s="30" t="s">
        <v>811</v>
      </c>
      <c r="M47" s="30"/>
      <c r="N47" s="31"/>
      <c r="O47" s="31"/>
      <c r="P47" s="31">
        <f t="shared" si="1"/>
        <v>0</v>
      </c>
      <c r="Q47" s="31"/>
      <c r="R47" s="31"/>
      <c r="S47" s="31"/>
      <c r="T47" s="28" t="s">
        <v>1005</v>
      </c>
      <c r="U47" s="28"/>
    </row>
    <row r="48">
      <c r="A48" s="25" t="s">
        <v>1006</v>
      </c>
      <c r="B48" s="45" t="s">
        <v>1007</v>
      </c>
      <c r="C48" s="45" t="s">
        <v>1008</v>
      </c>
      <c r="D48" s="46" t="s">
        <v>1009</v>
      </c>
      <c r="E48" s="55" t="s">
        <v>1010</v>
      </c>
      <c r="F48" s="55">
        <v>2.5293632E7</v>
      </c>
      <c r="G48" s="47"/>
      <c r="H48" s="30" t="s">
        <v>810</v>
      </c>
      <c r="I48" s="30" t="s">
        <v>811</v>
      </c>
      <c r="J48" s="30" t="s">
        <v>811</v>
      </c>
      <c r="K48" s="30" t="s">
        <v>811</v>
      </c>
      <c r="L48" s="30" t="s">
        <v>811</v>
      </c>
      <c r="M48" s="30"/>
      <c r="N48" s="31"/>
      <c r="O48" s="31"/>
      <c r="P48" s="31">
        <f t="shared" si="1"/>
        <v>0</v>
      </c>
      <c r="Q48" s="31"/>
      <c r="R48" s="31"/>
      <c r="S48" s="31"/>
      <c r="T48" s="28" t="s">
        <v>1011</v>
      </c>
      <c r="U48" s="56"/>
    </row>
    <row r="49">
      <c r="A49" s="25" t="s">
        <v>1012</v>
      </c>
      <c r="B49" s="45" t="s">
        <v>1013</v>
      </c>
      <c r="C49" s="45" t="s">
        <v>1014</v>
      </c>
      <c r="D49" s="46" t="s">
        <v>1015</v>
      </c>
      <c r="E49" s="57" t="s">
        <v>1016</v>
      </c>
      <c r="F49" s="57">
        <v>1.7680593E7</v>
      </c>
      <c r="G49" s="47"/>
      <c r="H49" s="30" t="s">
        <v>811</v>
      </c>
      <c r="I49" s="30" t="s">
        <v>69</v>
      </c>
      <c r="J49" s="30" t="s">
        <v>811</v>
      </c>
      <c r="K49" s="30" t="s">
        <v>811</v>
      </c>
      <c r="L49" s="30" t="s">
        <v>811</v>
      </c>
      <c r="M49" s="30"/>
      <c r="N49" s="31"/>
      <c r="O49" s="31"/>
      <c r="P49" s="31">
        <f t="shared" si="1"/>
        <v>0</v>
      </c>
      <c r="Q49" s="31"/>
      <c r="R49" s="31"/>
      <c r="S49" s="31"/>
      <c r="T49" s="28" t="s">
        <v>1017</v>
      </c>
      <c r="U49" s="58" t="s">
        <v>1018</v>
      </c>
    </row>
    <row r="50">
      <c r="A50" s="25" t="s">
        <v>1019</v>
      </c>
      <c r="B50" s="45" t="s">
        <v>1020</v>
      </c>
      <c r="C50" s="45" t="s">
        <v>1021</v>
      </c>
      <c r="D50" s="46" t="s">
        <v>1022</v>
      </c>
      <c r="E50" s="46" t="s">
        <v>1023</v>
      </c>
      <c r="F50" s="46" t="s">
        <v>1024</v>
      </c>
      <c r="G50" s="47"/>
      <c r="H50" s="30" t="s">
        <v>811</v>
      </c>
      <c r="I50" s="30" t="s">
        <v>69</v>
      </c>
      <c r="J50" s="30" t="s">
        <v>811</v>
      </c>
      <c r="K50" s="30" t="s">
        <v>811</v>
      </c>
      <c r="L50" s="30" t="s">
        <v>811</v>
      </c>
      <c r="M50" s="30"/>
      <c r="N50" s="31"/>
      <c r="O50" s="31"/>
      <c r="P50" s="31">
        <f t="shared" si="1"/>
        <v>0</v>
      </c>
      <c r="Q50" s="31"/>
      <c r="R50" s="31"/>
      <c r="S50" s="31"/>
      <c r="T50" s="28" t="s">
        <v>1025</v>
      </c>
      <c r="U50" s="28"/>
    </row>
    <row r="51">
      <c r="A51" s="25" t="s">
        <v>1026</v>
      </c>
      <c r="B51" s="45" t="s">
        <v>1027</v>
      </c>
      <c r="C51" s="45" t="s">
        <v>1028</v>
      </c>
      <c r="D51" s="46" t="s">
        <v>1029</v>
      </c>
      <c r="E51" s="46" t="s">
        <v>1030</v>
      </c>
      <c r="F51" s="46">
        <v>1.8880857E7</v>
      </c>
      <c r="G51" s="47"/>
      <c r="H51" s="30" t="s">
        <v>811</v>
      </c>
      <c r="I51" s="30" t="s">
        <v>69</v>
      </c>
      <c r="J51" s="30" t="s">
        <v>811</v>
      </c>
      <c r="K51" s="30" t="s">
        <v>811</v>
      </c>
      <c r="L51" s="30" t="s">
        <v>811</v>
      </c>
      <c r="M51" s="30"/>
      <c r="N51" s="31"/>
      <c r="O51" s="31"/>
      <c r="P51" s="31">
        <f t="shared" si="1"/>
        <v>0</v>
      </c>
      <c r="Q51" s="31"/>
      <c r="R51" s="31"/>
      <c r="S51" s="31"/>
      <c r="T51" s="28" t="s">
        <v>1031</v>
      </c>
      <c r="U51" s="28"/>
    </row>
    <row r="52">
      <c r="A52" s="25" t="s">
        <v>1032</v>
      </c>
      <c r="B52" s="45" t="s">
        <v>1033</v>
      </c>
      <c r="C52" s="45" t="s">
        <v>1034</v>
      </c>
      <c r="D52" s="46" t="s">
        <v>1035</v>
      </c>
      <c r="E52" s="46" t="s">
        <v>1036</v>
      </c>
      <c r="F52" s="46">
        <v>1.8782436E7</v>
      </c>
      <c r="G52" s="47" t="s">
        <v>1037</v>
      </c>
      <c r="H52" s="30" t="s">
        <v>811</v>
      </c>
      <c r="I52" s="30" t="s">
        <v>69</v>
      </c>
      <c r="J52" s="30" t="s">
        <v>811</v>
      </c>
      <c r="K52" s="30" t="s">
        <v>811</v>
      </c>
      <c r="L52" s="30" t="s">
        <v>811</v>
      </c>
      <c r="M52" s="30"/>
      <c r="N52" s="31"/>
      <c r="O52" s="31"/>
      <c r="P52" s="31">
        <f t="shared" si="1"/>
        <v>0</v>
      </c>
      <c r="Q52" s="31"/>
      <c r="R52" s="31"/>
      <c r="S52" s="31"/>
      <c r="T52" s="28" t="s">
        <v>1038</v>
      </c>
      <c r="U52" s="28"/>
    </row>
    <row r="53">
      <c r="A53" s="25" t="s">
        <v>1039</v>
      </c>
      <c r="B53" s="45" t="s">
        <v>1040</v>
      </c>
      <c r="C53" s="45" t="s">
        <v>1041</v>
      </c>
      <c r="D53" s="46" t="s">
        <v>1042</v>
      </c>
      <c r="E53" s="46" t="s">
        <v>1043</v>
      </c>
      <c r="F53" s="46" t="s">
        <v>1044</v>
      </c>
      <c r="G53" s="47" t="s">
        <v>1045</v>
      </c>
      <c r="H53" s="30" t="s">
        <v>811</v>
      </c>
      <c r="I53" s="30" t="s">
        <v>69</v>
      </c>
      <c r="J53" s="30" t="s">
        <v>811</v>
      </c>
      <c r="K53" s="30" t="s">
        <v>811</v>
      </c>
      <c r="L53" s="30" t="s">
        <v>811</v>
      </c>
      <c r="M53" s="30"/>
      <c r="N53" s="31"/>
      <c r="O53" s="31"/>
      <c r="P53" s="31">
        <f t="shared" si="1"/>
        <v>0</v>
      </c>
      <c r="Q53" s="31"/>
      <c r="R53" s="31"/>
      <c r="S53" s="31"/>
      <c r="T53" s="28" t="s">
        <v>1046</v>
      </c>
      <c r="U53" s="28"/>
    </row>
    <row r="54">
      <c r="A54" s="25" t="s">
        <v>1047</v>
      </c>
      <c r="B54" s="45" t="s">
        <v>1048</v>
      </c>
      <c r="C54" s="45" t="s">
        <v>1049</v>
      </c>
      <c r="D54" s="46" t="s">
        <v>1050</v>
      </c>
      <c r="E54" s="46" t="s">
        <v>1051</v>
      </c>
      <c r="F54" s="46" t="s">
        <v>1052</v>
      </c>
      <c r="G54" s="47" t="s">
        <v>1037</v>
      </c>
      <c r="H54" s="30" t="s">
        <v>811</v>
      </c>
      <c r="I54" s="30" t="s">
        <v>69</v>
      </c>
      <c r="J54" s="30" t="s">
        <v>811</v>
      </c>
      <c r="K54" s="30" t="s">
        <v>811</v>
      </c>
      <c r="L54" s="30" t="s">
        <v>811</v>
      </c>
      <c r="M54" s="30"/>
      <c r="N54" s="31"/>
      <c r="O54" s="31"/>
      <c r="P54" s="31">
        <f t="shared" si="1"/>
        <v>0</v>
      </c>
      <c r="Q54" s="31"/>
      <c r="R54" s="31"/>
      <c r="S54" s="31"/>
      <c r="T54" s="28" t="s">
        <v>1053</v>
      </c>
      <c r="U54" s="28"/>
    </row>
    <row r="55">
      <c r="A55" s="25" t="s">
        <v>1054</v>
      </c>
      <c r="B55" s="26">
        <v>1.43516717E8</v>
      </c>
      <c r="C55" s="26" t="s">
        <v>1055</v>
      </c>
      <c r="D55" s="28" t="s">
        <v>1056</v>
      </c>
      <c r="E55" s="28" t="s">
        <v>1057</v>
      </c>
      <c r="F55" s="28" t="s">
        <v>1055</v>
      </c>
      <c r="G55" s="29"/>
      <c r="H55" s="30" t="s">
        <v>811</v>
      </c>
      <c r="I55" s="30" t="s">
        <v>810</v>
      </c>
      <c r="J55" s="30" t="s">
        <v>811</v>
      </c>
      <c r="K55" s="30" t="s">
        <v>811</v>
      </c>
      <c r="L55" s="30" t="s">
        <v>811</v>
      </c>
      <c r="M55" s="30"/>
      <c r="N55" s="31">
        <v>55.0</v>
      </c>
      <c r="O55" s="31">
        <v>106981.0</v>
      </c>
      <c r="P55" s="31">
        <f t="shared" si="1"/>
        <v>-106926</v>
      </c>
      <c r="Q55" s="31"/>
      <c r="R55" s="31">
        <f>P55</f>
        <v>-106926</v>
      </c>
      <c r="S55" s="31">
        <v>-66533.0</v>
      </c>
      <c r="T55" s="28" t="s">
        <v>1054</v>
      </c>
      <c r="U55" s="28"/>
    </row>
    <row r="56">
      <c r="A56" s="59" t="s">
        <v>1058</v>
      </c>
      <c r="B56" s="45" t="s">
        <v>1059</v>
      </c>
      <c r="C56" s="45" t="s">
        <v>1060</v>
      </c>
      <c r="D56" s="46" t="s">
        <v>1061</v>
      </c>
      <c r="E56" s="46" t="s">
        <v>981</v>
      </c>
      <c r="F56" s="46">
        <v>2.60616528E8</v>
      </c>
      <c r="G56" s="60"/>
      <c r="H56" s="30" t="s">
        <v>811</v>
      </c>
      <c r="I56" s="30" t="s">
        <v>69</v>
      </c>
      <c r="J56" s="30" t="s">
        <v>811</v>
      </c>
      <c r="K56" s="30" t="s">
        <v>811</v>
      </c>
      <c r="L56" s="30" t="s">
        <v>811</v>
      </c>
      <c r="M56" s="30"/>
      <c r="N56" s="31"/>
      <c r="O56" s="31"/>
      <c r="P56" s="31">
        <f t="shared" si="1"/>
        <v>0</v>
      </c>
      <c r="Q56" s="31"/>
      <c r="R56" s="31"/>
      <c r="S56" s="31"/>
      <c r="T56" s="28" t="s">
        <v>1062</v>
      </c>
      <c r="U56" s="28"/>
    </row>
    <row r="57">
      <c r="A57" s="59" t="s">
        <v>1063</v>
      </c>
      <c r="B57" s="45" t="s">
        <v>720</v>
      </c>
      <c r="C57" s="45" t="s">
        <v>721</v>
      </c>
      <c r="D57" s="46" t="s">
        <v>718</v>
      </c>
      <c r="E57" s="46" t="s">
        <v>1064</v>
      </c>
      <c r="F57" s="46">
        <v>2.6671708E7</v>
      </c>
      <c r="G57" s="47"/>
      <c r="H57" s="30" t="s">
        <v>811</v>
      </c>
      <c r="I57" s="30" t="s">
        <v>810</v>
      </c>
      <c r="J57" s="30" t="s">
        <v>811</v>
      </c>
      <c r="K57" s="30" t="s">
        <v>811</v>
      </c>
      <c r="L57" s="30" t="s">
        <v>811</v>
      </c>
      <c r="M57" s="30"/>
      <c r="N57" s="31">
        <v>5309000.0</v>
      </c>
      <c r="O57" s="31">
        <v>7388270.0</v>
      </c>
      <c r="P57" s="31">
        <f t="shared" si="1"/>
        <v>-2079270</v>
      </c>
      <c r="Q57" s="31"/>
      <c r="R57" s="31">
        <f t="shared" ref="R57:R59" si="6">P57</f>
        <v>-2079270</v>
      </c>
      <c r="S57" s="31">
        <f>R57</f>
        <v>-2079270</v>
      </c>
      <c r="T57" s="28" t="s">
        <v>1065</v>
      </c>
      <c r="U57" s="28"/>
    </row>
    <row r="58">
      <c r="A58" s="25" t="s">
        <v>1066</v>
      </c>
      <c r="B58" s="26" t="s">
        <v>696</v>
      </c>
      <c r="C58" s="26" t="s">
        <v>697</v>
      </c>
      <c r="D58" s="28" t="s">
        <v>694</v>
      </c>
      <c r="E58" s="28" t="s">
        <v>696</v>
      </c>
      <c r="F58" s="28" t="s">
        <v>697</v>
      </c>
      <c r="G58" s="29"/>
      <c r="H58" s="30" t="s">
        <v>811</v>
      </c>
      <c r="I58" s="30" t="s">
        <v>810</v>
      </c>
      <c r="J58" s="30" t="s">
        <v>811</v>
      </c>
      <c r="K58" s="30" t="s">
        <v>811</v>
      </c>
      <c r="L58" s="30" t="s">
        <v>811</v>
      </c>
      <c r="M58" s="30"/>
      <c r="N58" s="31">
        <v>6600000.0</v>
      </c>
      <c r="O58" s="31">
        <v>2.52641596E8</v>
      </c>
      <c r="P58" s="31">
        <f t="shared" si="1"/>
        <v>-246041596</v>
      </c>
      <c r="Q58" s="31"/>
      <c r="R58" s="31">
        <f t="shared" si="6"/>
        <v>-246041596</v>
      </c>
      <c r="S58" s="31">
        <v>6360000.0</v>
      </c>
      <c r="T58" s="28" t="s">
        <v>1066</v>
      </c>
      <c r="U58" s="28"/>
    </row>
    <row r="59">
      <c r="A59" s="25" t="s">
        <v>1067</v>
      </c>
      <c r="B59" s="26" t="s">
        <v>433</v>
      </c>
      <c r="C59" s="26" t="s">
        <v>426</v>
      </c>
      <c r="D59" s="25" t="s">
        <v>855</v>
      </c>
      <c r="E59" s="28" t="s">
        <v>856</v>
      </c>
      <c r="F59" s="28" t="s">
        <v>857</v>
      </c>
      <c r="G59" s="29"/>
      <c r="H59" s="30" t="s">
        <v>811</v>
      </c>
      <c r="I59" s="30" t="s">
        <v>810</v>
      </c>
      <c r="J59" s="30" t="s">
        <v>811</v>
      </c>
      <c r="K59" s="30" t="s">
        <v>811</v>
      </c>
      <c r="L59" s="30" t="s">
        <v>811</v>
      </c>
      <c r="M59" s="30"/>
      <c r="N59" s="31">
        <v>2.90813616E8</v>
      </c>
      <c r="O59" s="31">
        <v>3.25561711E8</v>
      </c>
      <c r="P59" s="31">
        <f t="shared" si="1"/>
        <v>-34748095</v>
      </c>
      <c r="Q59" s="31"/>
      <c r="R59" s="31">
        <f t="shared" si="6"/>
        <v>-34748095</v>
      </c>
      <c r="S59" s="31">
        <v>-1.8967879E7</v>
      </c>
      <c r="T59" s="28" t="s">
        <v>858</v>
      </c>
      <c r="U59" s="28"/>
    </row>
    <row r="60">
      <c r="A60" s="25" t="s">
        <v>1068</v>
      </c>
      <c r="B60" s="26" t="s">
        <v>395</v>
      </c>
      <c r="C60" s="26" t="s">
        <v>396</v>
      </c>
      <c r="D60" s="28" t="s">
        <v>393</v>
      </c>
      <c r="E60" s="28" t="s">
        <v>936</v>
      </c>
      <c r="F60" s="28" t="s">
        <v>399</v>
      </c>
      <c r="G60" s="29"/>
      <c r="H60" s="30" t="s">
        <v>811</v>
      </c>
      <c r="I60" s="30" t="s">
        <v>810</v>
      </c>
      <c r="J60" s="30" t="s">
        <v>811</v>
      </c>
      <c r="K60" s="30" t="s">
        <v>811</v>
      </c>
      <c r="L60" s="30" t="s">
        <v>811</v>
      </c>
      <c r="M60" s="30"/>
      <c r="N60" s="31"/>
      <c r="O60" s="31"/>
      <c r="P60" s="31">
        <f t="shared" si="1"/>
        <v>0</v>
      </c>
      <c r="Q60" s="31"/>
      <c r="R60" s="31"/>
      <c r="S60" s="31"/>
      <c r="T60" s="28" t="s">
        <v>937</v>
      </c>
      <c r="U60" s="28"/>
    </row>
    <row r="61">
      <c r="A61" s="59" t="s">
        <v>1069</v>
      </c>
      <c r="B61" s="45" t="s">
        <v>379</v>
      </c>
      <c r="C61" s="45" t="s">
        <v>380</v>
      </c>
      <c r="D61" s="46" t="s">
        <v>377</v>
      </c>
      <c r="E61" s="46" t="s">
        <v>1070</v>
      </c>
      <c r="F61" s="46" t="s">
        <v>1071</v>
      </c>
      <c r="G61" s="47"/>
      <c r="H61" s="30" t="s">
        <v>811</v>
      </c>
      <c r="I61" s="30" t="s">
        <v>810</v>
      </c>
      <c r="J61" s="30" t="s">
        <v>811</v>
      </c>
      <c r="K61" s="30" t="s">
        <v>810</v>
      </c>
      <c r="L61" s="30" t="s">
        <v>811</v>
      </c>
      <c r="M61" s="30"/>
      <c r="N61" s="31">
        <v>4.03313E7</v>
      </c>
      <c r="O61" s="31">
        <v>4.6789489E7</v>
      </c>
      <c r="P61" s="31">
        <f t="shared" si="1"/>
        <v>-6458189</v>
      </c>
      <c r="Q61" s="31"/>
      <c r="R61" s="31"/>
      <c r="S61" s="31"/>
      <c r="T61" s="48" t="s">
        <v>1072</v>
      </c>
      <c r="U61" s="48"/>
    </row>
    <row r="62">
      <c r="A62" s="51" t="s">
        <v>1073</v>
      </c>
      <c r="B62" s="61" t="s">
        <v>67</v>
      </c>
      <c r="C62" s="26" t="s">
        <v>68</v>
      </c>
      <c r="D62" s="28" t="s">
        <v>65</v>
      </c>
      <c r="E62" s="28" t="s">
        <v>1074</v>
      </c>
      <c r="F62" s="28" t="s">
        <v>71</v>
      </c>
      <c r="G62" s="29"/>
      <c r="H62" s="30" t="s">
        <v>811</v>
      </c>
      <c r="I62" s="30" t="s">
        <v>810</v>
      </c>
      <c r="J62" s="30" t="s">
        <v>811</v>
      </c>
      <c r="K62" s="30" t="s">
        <v>811</v>
      </c>
      <c r="L62" s="30" t="s">
        <v>811</v>
      </c>
      <c r="M62" s="30"/>
      <c r="N62" s="31"/>
      <c r="O62" s="31"/>
      <c r="P62" s="31">
        <f t="shared" si="1"/>
        <v>0</v>
      </c>
      <c r="Q62" s="31"/>
      <c r="R62" s="31"/>
      <c r="S62" s="31"/>
      <c r="T62" s="28" t="s">
        <v>1075</v>
      </c>
      <c r="U62" s="28"/>
    </row>
    <row r="63">
      <c r="A63" s="59" t="s">
        <v>1076</v>
      </c>
      <c r="B63" s="45" t="s">
        <v>1077</v>
      </c>
      <c r="C63" s="45" t="s">
        <v>1078</v>
      </c>
      <c r="D63" s="46" t="s">
        <v>1079</v>
      </c>
      <c r="E63" s="55" t="s">
        <v>1080</v>
      </c>
      <c r="F63" s="46" t="s">
        <v>1078</v>
      </c>
      <c r="G63" s="29"/>
      <c r="H63" s="30" t="s">
        <v>811</v>
      </c>
      <c r="I63" s="30" t="s">
        <v>69</v>
      </c>
      <c r="J63" s="30" t="s">
        <v>811</v>
      </c>
      <c r="K63" s="30" t="s">
        <v>811</v>
      </c>
      <c r="L63" s="30" t="s">
        <v>811</v>
      </c>
      <c r="M63" s="30"/>
      <c r="N63" s="31"/>
      <c r="O63" s="31"/>
      <c r="P63" s="31">
        <f t="shared" si="1"/>
        <v>0</v>
      </c>
      <c r="Q63" s="31"/>
      <c r="R63" s="31"/>
      <c r="S63" s="31"/>
      <c r="T63" s="28" t="s">
        <v>1081</v>
      </c>
      <c r="U63" s="28"/>
    </row>
    <row r="64">
      <c r="A64" s="59" t="s">
        <v>1082</v>
      </c>
      <c r="B64" s="45" t="s">
        <v>1083</v>
      </c>
      <c r="C64" s="45" t="s">
        <v>1084</v>
      </c>
      <c r="D64" s="46" t="s">
        <v>1085</v>
      </c>
      <c r="E64" s="55" t="s">
        <v>1086</v>
      </c>
      <c r="F64" s="55" t="s">
        <v>1087</v>
      </c>
      <c r="G64" s="47"/>
      <c r="H64" s="30" t="s">
        <v>811</v>
      </c>
      <c r="I64" s="30" t="s">
        <v>810</v>
      </c>
      <c r="J64" s="30" t="s">
        <v>811</v>
      </c>
      <c r="K64" s="30" t="s">
        <v>811</v>
      </c>
      <c r="L64" s="30" t="s">
        <v>811</v>
      </c>
      <c r="M64" s="30"/>
      <c r="N64" s="31">
        <v>2149979.0</v>
      </c>
      <c r="O64" s="31">
        <v>3885479.0</v>
      </c>
      <c r="P64" s="31">
        <f t="shared" si="1"/>
        <v>-1735500</v>
      </c>
      <c r="Q64" s="31"/>
      <c r="R64" s="31">
        <f>P64</f>
        <v>-1735500</v>
      </c>
      <c r="S64" s="31">
        <f>R64</f>
        <v>-1735500</v>
      </c>
      <c r="T64" s="28" t="s">
        <v>1088</v>
      </c>
      <c r="U64" s="56"/>
    </row>
    <row r="65">
      <c r="A65" s="25" t="s">
        <v>1089</v>
      </c>
      <c r="B65" s="26" t="s">
        <v>515</v>
      </c>
      <c r="C65" s="62" t="s">
        <v>516</v>
      </c>
      <c r="D65" s="28" t="s">
        <v>513</v>
      </c>
      <c r="E65" s="28"/>
      <c r="F65" s="28" t="s">
        <v>1090</v>
      </c>
      <c r="G65" s="29"/>
      <c r="H65" s="30" t="s">
        <v>811</v>
      </c>
      <c r="I65" s="30" t="s">
        <v>810</v>
      </c>
      <c r="J65" s="30" t="s">
        <v>811</v>
      </c>
      <c r="K65" s="30" t="s">
        <v>811</v>
      </c>
      <c r="L65" s="30" t="s">
        <v>811</v>
      </c>
      <c r="M65" s="30"/>
      <c r="N65" s="31"/>
      <c r="O65" s="31"/>
      <c r="P65" s="31">
        <f t="shared" si="1"/>
        <v>0</v>
      </c>
      <c r="Q65" s="31"/>
      <c r="R65" s="31"/>
      <c r="S65" s="31"/>
      <c r="T65" s="28" t="s">
        <v>1091</v>
      </c>
      <c r="U65" s="30" t="s">
        <v>1092</v>
      </c>
    </row>
    <row r="66">
      <c r="A66" s="59" t="s">
        <v>1093</v>
      </c>
      <c r="B66" s="45" t="s">
        <v>112</v>
      </c>
      <c r="C66" s="45" t="s">
        <v>113</v>
      </c>
      <c r="D66" s="46" t="s">
        <v>110</v>
      </c>
      <c r="E66" s="55" t="s">
        <v>1094</v>
      </c>
      <c r="F66" s="46" t="s">
        <v>113</v>
      </c>
      <c r="G66" s="47"/>
      <c r="H66" s="30" t="s">
        <v>810</v>
      </c>
      <c r="I66" s="30" t="s">
        <v>69</v>
      </c>
      <c r="J66" s="30" t="s">
        <v>811</v>
      </c>
      <c r="K66" s="30" t="s">
        <v>811</v>
      </c>
      <c r="L66" s="30" t="s">
        <v>811</v>
      </c>
      <c r="M66" s="30"/>
      <c r="N66" s="31"/>
      <c r="O66" s="31"/>
      <c r="P66" s="31">
        <f t="shared" si="1"/>
        <v>0</v>
      </c>
      <c r="Q66" s="31"/>
      <c r="R66" s="31"/>
      <c r="S66" s="31"/>
      <c r="T66" s="28" t="s">
        <v>1095</v>
      </c>
      <c r="U66" s="28"/>
    </row>
    <row r="67">
      <c r="A67" s="59" t="s">
        <v>184</v>
      </c>
      <c r="B67" s="45" t="s">
        <v>185</v>
      </c>
      <c r="C67" s="45" t="s">
        <v>186</v>
      </c>
      <c r="D67" s="46" t="s">
        <v>1096</v>
      </c>
      <c r="E67" s="46" t="s">
        <v>1097</v>
      </c>
      <c r="F67" s="46" t="s">
        <v>1098</v>
      </c>
      <c r="G67" s="47"/>
      <c r="H67" s="30" t="s">
        <v>811</v>
      </c>
      <c r="I67" s="30" t="s">
        <v>810</v>
      </c>
      <c r="J67" s="30" t="s">
        <v>811</v>
      </c>
      <c r="K67" s="30" t="s">
        <v>811</v>
      </c>
      <c r="L67" s="30" t="s">
        <v>811</v>
      </c>
      <c r="M67" s="30"/>
      <c r="N67" s="31">
        <v>1.2256195E7</v>
      </c>
      <c r="O67" s="31">
        <v>1.0494896E7</v>
      </c>
      <c r="P67" s="31">
        <f t="shared" si="1"/>
        <v>1761299</v>
      </c>
      <c r="Q67" s="31">
        <f>P67/2</f>
        <v>880649.5</v>
      </c>
      <c r="R67" s="31">
        <f>Q67</f>
        <v>880649.5</v>
      </c>
      <c r="S67" s="31">
        <v>1761299.0</v>
      </c>
      <c r="T67" s="30" t="s">
        <v>1099</v>
      </c>
      <c r="U67" s="28"/>
    </row>
    <row r="68">
      <c r="A68" s="25" t="s">
        <v>1100</v>
      </c>
      <c r="B68" s="26" t="s">
        <v>1101</v>
      </c>
      <c r="C68" s="26" t="s">
        <v>1102</v>
      </c>
      <c r="D68" s="28" t="s">
        <v>1103</v>
      </c>
      <c r="E68" s="28">
        <v>2.76641999E8</v>
      </c>
      <c r="F68" s="28" t="s">
        <v>1104</v>
      </c>
      <c r="G68" s="29"/>
      <c r="H68" s="30" t="s">
        <v>811</v>
      </c>
      <c r="I68" s="30" t="s">
        <v>810</v>
      </c>
      <c r="J68" s="30" t="s">
        <v>811</v>
      </c>
      <c r="K68" s="30" t="s">
        <v>811</v>
      </c>
      <c r="L68" s="30" t="s">
        <v>811</v>
      </c>
      <c r="M68" s="30"/>
      <c r="N68" s="31">
        <v>0.0</v>
      </c>
      <c r="O68" s="31">
        <v>2057721.0</v>
      </c>
      <c r="P68" s="31">
        <f t="shared" si="1"/>
        <v>-2057721</v>
      </c>
      <c r="Q68" s="31"/>
      <c r="R68" s="31">
        <f t="shared" ref="R68:R70" si="7">P68</f>
        <v>-2057721</v>
      </c>
      <c r="S68" s="31">
        <v>0.0</v>
      </c>
      <c r="T68" s="28" t="s">
        <v>1105</v>
      </c>
      <c r="U68" s="28"/>
    </row>
    <row r="69">
      <c r="A69" s="25" t="s">
        <v>1106</v>
      </c>
      <c r="B69" s="26" t="s">
        <v>387</v>
      </c>
      <c r="C69" s="62" t="s">
        <v>388</v>
      </c>
      <c r="D69" s="28" t="s">
        <v>385</v>
      </c>
      <c r="E69" s="28" t="s">
        <v>1107</v>
      </c>
      <c r="F69" s="28" t="s">
        <v>1108</v>
      </c>
      <c r="G69" s="29"/>
      <c r="H69" s="30" t="s">
        <v>811</v>
      </c>
      <c r="I69" s="30" t="s">
        <v>810</v>
      </c>
      <c r="J69" s="30" t="s">
        <v>811</v>
      </c>
      <c r="K69" s="30" t="s">
        <v>811</v>
      </c>
      <c r="L69" s="30" t="s">
        <v>811</v>
      </c>
      <c r="M69" s="30"/>
      <c r="N69" s="31">
        <v>2.16224E7</v>
      </c>
      <c r="O69" s="31">
        <v>4.1027104E7</v>
      </c>
      <c r="P69" s="31">
        <f t="shared" si="1"/>
        <v>-19404704</v>
      </c>
      <c r="Q69" s="31"/>
      <c r="R69" s="31">
        <f t="shared" si="7"/>
        <v>-19404704</v>
      </c>
      <c r="S69" s="31">
        <v>-1.9404704E7</v>
      </c>
      <c r="T69" s="28" t="s">
        <v>1109</v>
      </c>
      <c r="U69" s="28"/>
    </row>
    <row r="70">
      <c r="A70" s="25" t="s">
        <v>1110</v>
      </c>
      <c r="B70" s="26" t="s">
        <v>1111</v>
      </c>
      <c r="C70" s="26" t="s">
        <v>283</v>
      </c>
      <c r="D70" s="28" t="s">
        <v>280</v>
      </c>
      <c r="E70" s="28" t="s">
        <v>284</v>
      </c>
      <c r="F70" s="28" t="s">
        <v>285</v>
      </c>
      <c r="G70" s="63"/>
      <c r="H70" s="30" t="s">
        <v>811</v>
      </c>
      <c r="I70" s="30" t="s">
        <v>810</v>
      </c>
      <c r="J70" s="30" t="s">
        <v>811</v>
      </c>
      <c r="K70" s="30" t="s">
        <v>811</v>
      </c>
      <c r="L70" s="30" t="s">
        <v>811</v>
      </c>
      <c r="M70" s="30"/>
      <c r="N70" s="31">
        <v>0.0</v>
      </c>
      <c r="O70" s="31">
        <v>465416.0</v>
      </c>
      <c r="P70" s="31">
        <f t="shared" si="1"/>
        <v>-465416</v>
      </c>
      <c r="Q70" s="31"/>
      <c r="R70" s="31">
        <f t="shared" si="7"/>
        <v>-465416</v>
      </c>
      <c r="S70" s="31">
        <v>-170000.0</v>
      </c>
      <c r="T70" s="28" t="s">
        <v>1112</v>
      </c>
      <c r="U70" s="28"/>
    </row>
    <row r="71">
      <c r="A71" s="25" t="s">
        <v>1113</v>
      </c>
      <c r="B71" s="26" t="s">
        <v>511</v>
      </c>
      <c r="C71" s="26" t="s">
        <v>512</v>
      </c>
      <c r="D71" s="28" t="s">
        <v>1114</v>
      </c>
      <c r="E71" s="28" t="s">
        <v>1115</v>
      </c>
      <c r="F71" s="28" t="s">
        <v>512</v>
      </c>
      <c r="G71" s="29"/>
      <c r="H71" s="30" t="s">
        <v>811</v>
      </c>
      <c r="I71" s="30" t="s">
        <v>810</v>
      </c>
      <c r="J71" s="30" t="s">
        <v>811</v>
      </c>
      <c r="K71" s="30" t="s">
        <v>811</v>
      </c>
      <c r="L71" s="30" t="s">
        <v>811</v>
      </c>
      <c r="M71" s="30"/>
      <c r="N71" s="31"/>
      <c r="O71" s="31"/>
      <c r="P71" s="31">
        <f t="shared" si="1"/>
        <v>0</v>
      </c>
      <c r="Q71" s="31"/>
      <c r="R71" s="31"/>
      <c r="S71" s="31"/>
      <c r="T71" s="28" t="s">
        <v>1116</v>
      </c>
      <c r="U71" s="28"/>
    </row>
    <row r="72">
      <c r="A72" s="25" t="s">
        <v>1117</v>
      </c>
      <c r="B72" s="26" t="s">
        <v>411</v>
      </c>
      <c r="C72" s="26" t="s">
        <v>412</v>
      </c>
      <c r="D72" s="25" t="s">
        <v>1118</v>
      </c>
      <c r="E72" s="28" t="s">
        <v>1119</v>
      </c>
      <c r="F72" s="28" t="s">
        <v>1120</v>
      </c>
      <c r="G72" s="47"/>
      <c r="H72" s="30" t="s">
        <v>811</v>
      </c>
      <c r="I72" s="30" t="s">
        <v>810</v>
      </c>
      <c r="J72" s="30" t="s">
        <v>811</v>
      </c>
      <c r="K72" s="30" t="s">
        <v>811</v>
      </c>
      <c r="L72" s="30" t="s">
        <v>811</v>
      </c>
      <c r="M72" s="30"/>
      <c r="N72" s="31">
        <v>1.25242232E8</v>
      </c>
      <c r="O72" s="31">
        <v>4.3513022E7</v>
      </c>
      <c r="P72" s="31">
        <f t="shared" si="1"/>
        <v>81729210</v>
      </c>
      <c r="Q72" s="31">
        <f t="shared" ref="Q72:Q73" si="8">P72/2</f>
        <v>40864605</v>
      </c>
      <c r="R72" s="31">
        <f t="shared" ref="R72:R73" si="9">Q72</f>
        <v>40864605</v>
      </c>
      <c r="S72" s="31">
        <v>8.172921E7</v>
      </c>
      <c r="T72" s="28" t="s">
        <v>1121</v>
      </c>
      <c r="U72" s="28"/>
    </row>
    <row r="73">
      <c r="A73" s="64" t="s">
        <v>1122</v>
      </c>
      <c r="B73" s="26" t="s">
        <v>1123</v>
      </c>
      <c r="C73" s="26" t="s">
        <v>119</v>
      </c>
      <c r="D73" s="25" t="s">
        <v>123</v>
      </c>
      <c r="E73" s="28" t="s">
        <v>1124</v>
      </c>
      <c r="F73" s="28" t="s">
        <v>1125</v>
      </c>
      <c r="G73" s="29"/>
      <c r="H73" s="30" t="s">
        <v>811</v>
      </c>
      <c r="I73" s="30" t="s">
        <v>810</v>
      </c>
      <c r="J73" s="30" t="s">
        <v>811</v>
      </c>
      <c r="K73" s="30" t="s">
        <v>810</v>
      </c>
      <c r="L73" s="30" t="s">
        <v>811</v>
      </c>
      <c r="M73" s="30"/>
      <c r="N73" s="31">
        <v>1.58894443E8</v>
      </c>
      <c r="O73" s="31">
        <v>3.6472544E7</v>
      </c>
      <c r="P73" s="31">
        <f t="shared" si="1"/>
        <v>122421899</v>
      </c>
      <c r="Q73" s="31">
        <f t="shared" si="8"/>
        <v>61210949.5</v>
      </c>
      <c r="R73" s="31">
        <f t="shared" si="9"/>
        <v>61210949.5</v>
      </c>
      <c r="S73" s="31">
        <v>1.22421899E8</v>
      </c>
      <c r="T73" s="28" t="s">
        <v>1126</v>
      </c>
      <c r="U73" s="28"/>
    </row>
    <row r="74">
      <c r="A74" s="25" t="s">
        <v>1127</v>
      </c>
      <c r="B74" s="26" t="s">
        <v>642</v>
      </c>
      <c r="C74" s="26" t="s">
        <v>643</v>
      </c>
      <c r="D74" s="28" t="s">
        <v>1128</v>
      </c>
      <c r="E74" s="28" t="s">
        <v>1129</v>
      </c>
      <c r="F74" s="28" t="s">
        <v>1130</v>
      </c>
      <c r="G74" s="29"/>
      <c r="H74" s="30" t="s">
        <v>811</v>
      </c>
      <c r="I74" s="30" t="s">
        <v>810</v>
      </c>
      <c r="J74" s="30" t="s">
        <v>811</v>
      </c>
      <c r="K74" s="30" t="s">
        <v>811</v>
      </c>
      <c r="L74" s="30" t="s">
        <v>811</v>
      </c>
      <c r="M74" s="30"/>
      <c r="N74" s="31"/>
      <c r="O74" s="31"/>
      <c r="P74" s="31">
        <f t="shared" si="1"/>
        <v>0</v>
      </c>
      <c r="Q74" s="31"/>
      <c r="R74" s="31"/>
      <c r="S74" s="31"/>
      <c r="T74" s="28" t="s">
        <v>1131</v>
      </c>
      <c r="U74" s="28"/>
    </row>
    <row r="75">
      <c r="A75" s="25" t="s">
        <v>1132</v>
      </c>
      <c r="B75" s="26" t="s">
        <v>619</v>
      </c>
      <c r="C75" s="26" t="s">
        <v>1133</v>
      </c>
      <c r="D75" s="52" t="s">
        <v>1134</v>
      </c>
      <c r="E75" s="28" t="s">
        <v>1135</v>
      </c>
      <c r="F75" s="28" t="s">
        <v>1136</v>
      </c>
      <c r="G75" s="29"/>
      <c r="H75" s="30" t="s">
        <v>811</v>
      </c>
      <c r="I75" s="30" t="s">
        <v>810</v>
      </c>
      <c r="J75" s="30" t="s">
        <v>811</v>
      </c>
      <c r="K75" s="30" t="s">
        <v>811</v>
      </c>
      <c r="L75" s="30" t="s">
        <v>811</v>
      </c>
      <c r="M75" s="30"/>
      <c r="N75" s="31">
        <v>0.0</v>
      </c>
      <c r="O75" s="31">
        <v>3508568.0</v>
      </c>
      <c r="P75" s="31">
        <f t="shared" si="1"/>
        <v>-3508568</v>
      </c>
      <c r="Q75" s="31"/>
      <c r="R75" s="31">
        <f>P75</f>
        <v>-3508568</v>
      </c>
      <c r="S75" s="31">
        <v>-2464826.0</v>
      </c>
      <c r="T75" s="28" t="s">
        <v>1137</v>
      </c>
      <c r="U75" s="28"/>
    </row>
    <row r="76">
      <c r="A76" s="25" t="s">
        <v>1138</v>
      </c>
      <c r="B76" s="26">
        <v>7.81483168E8</v>
      </c>
      <c r="C76" s="26" t="s">
        <v>654</v>
      </c>
      <c r="D76" s="65" t="s">
        <v>1139</v>
      </c>
      <c r="E76" s="28" t="s">
        <v>1140</v>
      </c>
      <c r="F76" s="28" t="s">
        <v>1141</v>
      </c>
      <c r="G76" s="29"/>
      <c r="H76" s="30" t="s">
        <v>811</v>
      </c>
      <c r="I76" s="30" t="s">
        <v>810</v>
      </c>
      <c r="J76" s="30" t="s">
        <v>811</v>
      </c>
      <c r="K76" s="30" t="s">
        <v>811</v>
      </c>
      <c r="L76" s="30" t="s">
        <v>811</v>
      </c>
      <c r="M76" s="30"/>
      <c r="N76" s="31"/>
      <c r="O76" s="31"/>
      <c r="P76" s="31">
        <f t="shared" si="1"/>
        <v>0</v>
      </c>
      <c r="Q76" s="31"/>
      <c r="R76" s="31"/>
      <c r="S76" s="31"/>
      <c r="T76" s="28" t="s">
        <v>1142</v>
      </c>
      <c r="U76" s="28"/>
    </row>
    <row r="77">
      <c r="A77" s="25" t="s">
        <v>645</v>
      </c>
      <c r="B77" s="26" t="s">
        <v>646</v>
      </c>
      <c r="C77" s="26" t="s">
        <v>647</v>
      </c>
      <c r="D77" s="28" t="s">
        <v>1143</v>
      </c>
      <c r="E77" s="28" t="s">
        <v>1140</v>
      </c>
      <c r="F77" s="66"/>
      <c r="G77" s="29"/>
      <c r="H77" s="30" t="s">
        <v>811</v>
      </c>
      <c r="I77" s="30" t="s">
        <v>810</v>
      </c>
      <c r="J77" s="30" t="s">
        <v>811</v>
      </c>
      <c r="K77" s="30" t="s">
        <v>811</v>
      </c>
      <c r="L77" s="30" t="s">
        <v>811</v>
      </c>
      <c r="M77" s="30"/>
      <c r="N77" s="31"/>
      <c r="O77" s="31"/>
      <c r="P77" s="31">
        <f t="shared" si="1"/>
        <v>0</v>
      </c>
      <c r="Q77" s="31"/>
      <c r="R77" s="31"/>
      <c r="S77" s="31"/>
      <c r="T77" s="66"/>
      <c r="U77" s="66"/>
    </row>
    <row r="78">
      <c r="A78" s="25" t="s">
        <v>575</v>
      </c>
      <c r="B78" s="26" t="s">
        <v>576</v>
      </c>
      <c r="C78" s="26" t="s">
        <v>577</v>
      </c>
      <c r="D78" s="28" t="s">
        <v>1144</v>
      </c>
      <c r="E78" s="28" t="s">
        <v>1145</v>
      </c>
      <c r="F78" s="28" t="s">
        <v>1146</v>
      </c>
      <c r="G78" s="29"/>
      <c r="H78" s="30" t="s">
        <v>811</v>
      </c>
      <c r="I78" s="30" t="s">
        <v>810</v>
      </c>
      <c r="J78" s="30" t="s">
        <v>811</v>
      </c>
      <c r="K78" s="30" t="s">
        <v>811</v>
      </c>
      <c r="L78" s="30" t="s">
        <v>811</v>
      </c>
      <c r="M78" s="30"/>
      <c r="N78" s="31"/>
      <c r="O78" s="31"/>
      <c r="P78" s="31">
        <f t="shared" si="1"/>
        <v>0</v>
      </c>
      <c r="Q78" s="31"/>
      <c r="R78" s="31"/>
      <c r="S78" s="31"/>
      <c r="T78" s="28" t="s">
        <v>1147</v>
      </c>
      <c r="U78" s="28"/>
    </row>
    <row r="79">
      <c r="A79" s="25" t="s">
        <v>146</v>
      </c>
      <c r="B79" s="67" t="s">
        <v>147</v>
      </c>
      <c r="C79" s="26" t="s">
        <v>148</v>
      </c>
      <c r="D79" s="28" t="s">
        <v>1148</v>
      </c>
      <c r="E79" s="28" t="s">
        <v>1149</v>
      </c>
      <c r="F79" s="28" t="s">
        <v>1150</v>
      </c>
      <c r="G79" s="29"/>
      <c r="H79" s="30" t="s">
        <v>811</v>
      </c>
      <c r="I79" s="30" t="s">
        <v>810</v>
      </c>
      <c r="J79" s="30" t="s">
        <v>811</v>
      </c>
      <c r="K79" s="30" t="s">
        <v>811</v>
      </c>
      <c r="L79" s="30" t="s">
        <v>811</v>
      </c>
      <c r="M79" s="30"/>
      <c r="N79" s="31"/>
      <c r="O79" s="31"/>
      <c r="P79" s="31">
        <f t="shared" si="1"/>
        <v>0</v>
      </c>
      <c r="Q79" s="31"/>
      <c r="R79" s="31"/>
      <c r="S79" s="31"/>
      <c r="T79" s="28" t="s">
        <v>1151</v>
      </c>
      <c r="U79" s="28"/>
    </row>
    <row r="80">
      <c r="A80" s="25" t="s">
        <v>1152</v>
      </c>
      <c r="B80" s="26" t="s">
        <v>466</v>
      </c>
      <c r="C80" s="26" t="s">
        <v>462</v>
      </c>
      <c r="D80" s="28" t="s">
        <v>459</v>
      </c>
      <c r="E80" s="66"/>
      <c r="F80" s="66"/>
      <c r="G80" s="29"/>
      <c r="H80" s="30" t="s">
        <v>811</v>
      </c>
      <c r="I80" s="30" t="s">
        <v>810</v>
      </c>
      <c r="J80" s="30" t="s">
        <v>811</v>
      </c>
      <c r="K80" s="30" t="s">
        <v>811</v>
      </c>
      <c r="L80" s="30" t="s">
        <v>811</v>
      </c>
      <c r="M80" s="30"/>
      <c r="N80" s="31">
        <v>9960000.0</v>
      </c>
      <c r="O80" s="31">
        <v>1.38126E7</v>
      </c>
      <c r="P80" s="31">
        <f t="shared" si="1"/>
        <v>-3852600</v>
      </c>
      <c r="Q80" s="31"/>
      <c r="R80" s="31">
        <f>P80</f>
        <v>-3852600</v>
      </c>
      <c r="S80" s="31">
        <v>-1.13026E7</v>
      </c>
      <c r="T80" s="28" t="s">
        <v>1153</v>
      </c>
      <c r="U80" s="66"/>
    </row>
    <row r="81">
      <c r="A81" s="25" t="s">
        <v>1154</v>
      </c>
      <c r="B81" s="26" t="s">
        <v>570</v>
      </c>
      <c r="C81" s="62" t="s">
        <v>571</v>
      </c>
      <c r="D81" s="28" t="s">
        <v>568</v>
      </c>
      <c r="E81" s="28" t="s">
        <v>1155</v>
      </c>
      <c r="F81" s="28" t="s">
        <v>1156</v>
      </c>
      <c r="G81" s="29"/>
      <c r="H81" s="30" t="s">
        <v>811</v>
      </c>
      <c r="I81" s="30" t="s">
        <v>810</v>
      </c>
      <c r="J81" s="30" t="s">
        <v>811</v>
      </c>
      <c r="K81" s="30" t="s">
        <v>811</v>
      </c>
      <c r="L81" s="30" t="s">
        <v>811</v>
      </c>
      <c r="M81" s="30"/>
      <c r="N81" s="31"/>
      <c r="O81" s="31"/>
      <c r="P81" s="31">
        <f t="shared" si="1"/>
        <v>0</v>
      </c>
      <c r="Q81" s="31"/>
      <c r="R81" s="31"/>
      <c r="S81" s="31"/>
      <c r="T81" s="28" t="s">
        <v>1157</v>
      </c>
      <c r="U81" s="28"/>
    </row>
    <row r="82">
      <c r="A82" s="25" t="s">
        <v>1158</v>
      </c>
      <c r="B82" s="26" t="s">
        <v>191</v>
      </c>
      <c r="C82" s="26" t="s">
        <v>192</v>
      </c>
      <c r="D82" s="28" t="s">
        <v>189</v>
      </c>
      <c r="E82" s="28" t="s">
        <v>1159</v>
      </c>
      <c r="F82" s="28" t="s">
        <v>192</v>
      </c>
      <c r="G82" s="29"/>
      <c r="H82" s="30" t="s">
        <v>811</v>
      </c>
      <c r="I82" s="30" t="s">
        <v>810</v>
      </c>
      <c r="J82" s="30" t="s">
        <v>811</v>
      </c>
      <c r="K82" s="30" t="s">
        <v>811</v>
      </c>
      <c r="L82" s="30" t="s">
        <v>811</v>
      </c>
      <c r="M82" s="30"/>
      <c r="N82" s="31"/>
      <c r="O82" s="31"/>
      <c r="P82" s="31">
        <f t="shared" si="1"/>
        <v>0</v>
      </c>
      <c r="Q82" s="31"/>
      <c r="R82" s="31"/>
      <c r="S82" s="31"/>
      <c r="T82" s="28" t="s">
        <v>1160</v>
      </c>
      <c r="U82" s="28"/>
    </row>
    <row r="83">
      <c r="A83" s="25" t="s">
        <v>1161</v>
      </c>
      <c r="B83" s="26" t="s">
        <v>196</v>
      </c>
      <c r="C83" s="26" t="s">
        <v>1162</v>
      </c>
      <c r="D83" s="28" t="s">
        <v>194</v>
      </c>
      <c r="E83" s="28" t="s">
        <v>1163</v>
      </c>
      <c r="F83" s="28" t="s">
        <v>1164</v>
      </c>
      <c r="G83" s="29"/>
      <c r="H83" s="30" t="s">
        <v>811</v>
      </c>
      <c r="I83" s="30" t="s">
        <v>810</v>
      </c>
      <c r="J83" s="30" t="s">
        <v>811</v>
      </c>
      <c r="K83" s="30" t="s">
        <v>811</v>
      </c>
      <c r="L83" s="30" t="s">
        <v>811</v>
      </c>
      <c r="M83" s="30"/>
      <c r="N83" s="31">
        <v>1.4440548E7</v>
      </c>
      <c r="O83" s="31">
        <v>1.2102617E7</v>
      </c>
      <c r="P83" s="31">
        <f t="shared" si="1"/>
        <v>2337931</v>
      </c>
      <c r="Q83" s="31">
        <f t="shared" ref="Q83:Q84" si="10">P83/2</f>
        <v>1168965.5</v>
      </c>
      <c r="R83" s="31">
        <v>1168965.0</v>
      </c>
      <c r="S83" s="31">
        <v>2337931.0</v>
      </c>
      <c r="T83" s="28" t="s">
        <v>1165</v>
      </c>
      <c r="U83" s="28"/>
    </row>
    <row r="84">
      <c r="A84" s="25" t="s">
        <v>1166</v>
      </c>
      <c r="B84" s="26" t="s">
        <v>356</v>
      </c>
      <c r="C84" s="26" t="s">
        <v>359</v>
      </c>
      <c r="D84" s="28" t="s">
        <v>1167</v>
      </c>
      <c r="E84" s="28" t="s">
        <v>1168</v>
      </c>
      <c r="F84" s="28" t="s">
        <v>1169</v>
      </c>
      <c r="G84" s="29"/>
      <c r="H84" s="30" t="s">
        <v>811</v>
      </c>
      <c r="I84" s="30" t="s">
        <v>810</v>
      </c>
      <c r="J84" s="30" t="s">
        <v>811</v>
      </c>
      <c r="K84" s="30" t="s">
        <v>811</v>
      </c>
      <c r="L84" s="30" t="s">
        <v>811</v>
      </c>
      <c r="M84" s="30"/>
      <c r="N84" s="31">
        <v>4.6621084E7</v>
      </c>
      <c r="O84" s="31">
        <v>3.3847588E7</v>
      </c>
      <c r="P84" s="31">
        <f t="shared" si="1"/>
        <v>12773496</v>
      </c>
      <c r="Q84" s="31">
        <f t="shared" si="10"/>
        <v>6386748</v>
      </c>
      <c r="R84" s="31">
        <f>Q84</f>
        <v>6386748</v>
      </c>
      <c r="S84" s="31">
        <v>1.2773496E7</v>
      </c>
      <c r="T84" s="28" t="s">
        <v>1170</v>
      </c>
      <c r="U84" s="30" t="s">
        <v>1171</v>
      </c>
    </row>
    <row r="85">
      <c r="A85" s="25" t="s">
        <v>1172</v>
      </c>
      <c r="B85" s="34" t="s">
        <v>1173</v>
      </c>
      <c r="C85" s="34" t="s">
        <v>1174</v>
      </c>
      <c r="D85" s="68" t="s">
        <v>1175</v>
      </c>
      <c r="E85" s="28" t="s">
        <v>1176</v>
      </c>
      <c r="F85" s="28" t="s">
        <v>1177</v>
      </c>
      <c r="G85" s="29" t="s">
        <v>1178</v>
      </c>
      <c r="H85" s="30" t="s">
        <v>811</v>
      </c>
      <c r="I85" s="48" t="s">
        <v>811</v>
      </c>
      <c r="J85" s="48" t="s">
        <v>811</v>
      </c>
      <c r="K85" s="48" t="s">
        <v>811</v>
      </c>
      <c r="L85" s="48" t="s">
        <v>811</v>
      </c>
      <c r="M85" s="48"/>
      <c r="N85" s="31"/>
      <c r="O85" s="31"/>
      <c r="P85" s="31">
        <f t="shared" si="1"/>
        <v>0</v>
      </c>
      <c r="Q85" s="31"/>
      <c r="R85" s="31"/>
      <c r="S85" s="31"/>
      <c r="T85" s="28" t="s">
        <v>1179</v>
      </c>
      <c r="U85" s="28"/>
    </row>
    <row r="86">
      <c r="A86" s="59" t="s">
        <v>604</v>
      </c>
      <c r="B86" s="45" t="s">
        <v>605</v>
      </c>
      <c r="C86" s="45" t="s">
        <v>606</v>
      </c>
      <c r="D86" s="46" t="s">
        <v>603</v>
      </c>
      <c r="E86" s="46" t="s">
        <v>1180</v>
      </c>
      <c r="F86" s="69"/>
      <c r="G86" s="47"/>
      <c r="H86" s="70" t="s">
        <v>810</v>
      </c>
      <c r="I86" s="70" t="s">
        <v>811</v>
      </c>
      <c r="J86" s="70" t="s">
        <v>811</v>
      </c>
      <c r="K86" s="70" t="s">
        <v>811</v>
      </c>
      <c r="L86" s="70" t="s">
        <v>811</v>
      </c>
      <c r="M86" s="70"/>
      <c r="N86" s="31">
        <v>3.2115E7</v>
      </c>
      <c r="O86" s="31">
        <v>2342928.0</v>
      </c>
      <c r="P86" s="31">
        <f t="shared" si="1"/>
        <v>29772072</v>
      </c>
      <c r="Q86" s="31">
        <f>P86/2</f>
        <v>14886036</v>
      </c>
      <c r="R86" s="31"/>
      <c r="S86" s="31">
        <v>1.2404628E7</v>
      </c>
      <c r="T86" s="28" t="s">
        <v>1181</v>
      </c>
      <c r="U86" s="71" t="s">
        <v>1182</v>
      </c>
    </row>
    <row r="87">
      <c r="A87" s="59" t="s">
        <v>1183</v>
      </c>
      <c r="B87" s="45" t="s">
        <v>1184</v>
      </c>
      <c r="C87" s="45" t="s">
        <v>1185</v>
      </c>
      <c r="D87" s="72" t="s">
        <v>1186</v>
      </c>
      <c r="E87" s="73"/>
      <c r="F87" s="69"/>
      <c r="G87" s="47"/>
      <c r="H87" s="30" t="s">
        <v>811</v>
      </c>
      <c r="I87" s="30" t="s">
        <v>69</v>
      </c>
      <c r="J87" s="30" t="s">
        <v>811</v>
      </c>
      <c r="K87" s="30" t="s">
        <v>811</v>
      </c>
      <c r="L87" s="30" t="s">
        <v>811</v>
      </c>
      <c r="M87" s="30"/>
      <c r="N87" s="31"/>
      <c r="O87" s="31"/>
      <c r="P87" s="31">
        <f t="shared" si="1"/>
        <v>0</v>
      </c>
      <c r="Q87" s="31"/>
      <c r="R87" s="31"/>
      <c r="S87" s="31"/>
      <c r="T87" s="66"/>
      <c r="U87" s="66"/>
    </row>
    <row r="88">
      <c r="A88" s="74" t="s">
        <v>1187</v>
      </c>
      <c r="B88" s="75" t="s">
        <v>612</v>
      </c>
      <c r="C88" s="75" t="s">
        <v>613</v>
      </c>
      <c r="D88" s="76" t="s">
        <v>616</v>
      </c>
      <c r="E88" s="76" t="s">
        <v>1188</v>
      </c>
      <c r="F88" s="76" t="s">
        <v>615</v>
      </c>
      <c r="G88" s="77"/>
      <c r="H88" s="30" t="s">
        <v>811</v>
      </c>
      <c r="I88" s="30" t="s">
        <v>810</v>
      </c>
      <c r="J88" s="30" t="s">
        <v>811</v>
      </c>
      <c r="K88" s="30" t="s">
        <v>811</v>
      </c>
      <c r="L88" s="30" t="s">
        <v>811</v>
      </c>
      <c r="M88" s="30"/>
      <c r="N88" s="31"/>
      <c r="O88" s="31"/>
      <c r="P88" s="31">
        <f t="shared" si="1"/>
        <v>0</v>
      </c>
      <c r="Q88" s="31"/>
      <c r="R88" s="31"/>
      <c r="S88" s="31"/>
      <c r="T88" s="78" t="s">
        <v>1189</v>
      </c>
      <c r="U88" s="76"/>
    </row>
    <row r="89">
      <c r="A89" s="79" t="s">
        <v>469</v>
      </c>
      <c r="B89" s="26" t="s">
        <v>470</v>
      </c>
      <c r="C89" s="26" t="s">
        <v>471</v>
      </c>
      <c r="D89" s="28" t="s">
        <v>1190</v>
      </c>
      <c r="E89" s="28" t="s">
        <v>1191</v>
      </c>
      <c r="F89" s="28" t="s">
        <v>1192</v>
      </c>
      <c r="G89" s="47"/>
      <c r="H89" s="30" t="s">
        <v>811</v>
      </c>
      <c r="I89" s="70" t="s">
        <v>810</v>
      </c>
      <c r="J89" s="70" t="s">
        <v>811</v>
      </c>
      <c r="K89" s="70" t="s">
        <v>811</v>
      </c>
      <c r="L89" s="70" t="s">
        <v>811</v>
      </c>
      <c r="M89" s="70"/>
      <c r="N89" s="31">
        <v>1227732.0</v>
      </c>
      <c r="O89" s="31">
        <v>492416.0</v>
      </c>
      <c r="P89" s="31">
        <f t="shared" si="1"/>
        <v>735316</v>
      </c>
      <c r="Q89" s="31">
        <v>262658.0</v>
      </c>
      <c r="R89" s="80">
        <v>467658.0</v>
      </c>
      <c r="S89" s="31">
        <v>622063.0</v>
      </c>
      <c r="T89" s="28" t="s">
        <v>1193</v>
      </c>
      <c r="U89" s="28"/>
    </row>
    <row r="90">
      <c r="A90" s="25" t="s">
        <v>1194</v>
      </c>
      <c r="B90" s="26" t="s">
        <v>1195</v>
      </c>
      <c r="C90" s="26" t="s">
        <v>546</v>
      </c>
      <c r="D90" s="28" t="s">
        <v>1196</v>
      </c>
      <c r="E90" s="28" t="s">
        <v>1197</v>
      </c>
      <c r="F90" s="28" t="s">
        <v>550</v>
      </c>
      <c r="G90" s="29"/>
      <c r="H90" s="30" t="s">
        <v>811</v>
      </c>
      <c r="I90" s="30" t="s">
        <v>810</v>
      </c>
      <c r="J90" s="30" t="s">
        <v>811</v>
      </c>
      <c r="K90" s="30" t="s">
        <v>811</v>
      </c>
      <c r="L90" s="30" t="s">
        <v>811</v>
      </c>
      <c r="M90" s="30"/>
      <c r="N90" s="31"/>
      <c r="O90" s="31"/>
      <c r="P90" s="31">
        <f t="shared" si="1"/>
        <v>0</v>
      </c>
      <c r="Q90" s="31"/>
      <c r="R90" s="31"/>
      <c r="S90" s="31"/>
      <c r="T90" s="28" t="s">
        <v>1198</v>
      </c>
      <c r="U90" s="28"/>
    </row>
    <row r="91">
      <c r="A91" s="25" t="s">
        <v>1199</v>
      </c>
      <c r="B91" s="26" t="s">
        <v>584</v>
      </c>
      <c r="C91" s="28" t="s">
        <v>585</v>
      </c>
      <c r="D91" s="81" t="s">
        <v>582</v>
      </c>
      <c r="E91" s="28" t="s">
        <v>1200</v>
      </c>
      <c r="F91" s="28" t="s">
        <v>585</v>
      </c>
      <c r="G91" s="54"/>
      <c r="H91" s="30" t="s">
        <v>811</v>
      </c>
      <c r="I91" s="30" t="s">
        <v>810</v>
      </c>
      <c r="J91" s="30" t="s">
        <v>811</v>
      </c>
      <c r="K91" s="30" t="s">
        <v>811</v>
      </c>
      <c r="L91" s="30" t="s">
        <v>811</v>
      </c>
      <c r="M91" s="30"/>
      <c r="N91" s="31">
        <v>4000000.0</v>
      </c>
      <c r="O91" s="31">
        <v>446274.0</v>
      </c>
      <c r="P91" s="31">
        <f t="shared" si="1"/>
        <v>3553726</v>
      </c>
      <c r="Q91" s="31">
        <f>P91/2</f>
        <v>1776863</v>
      </c>
      <c r="R91" s="31">
        <f>Q91</f>
        <v>1776863</v>
      </c>
      <c r="S91" s="31">
        <v>3553726.0</v>
      </c>
      <c r="T91" s="28" t="s">
        <v>1201</v>
      </c>
      <c r="U91" s="28"/>
    </row>
    <row r="92">
      <c r="A92" s="33" t="s">
        <v>1202</v>
      </c>
      <c r="B92" s="34" t="s">
        <v>1203</v>
      </c>
      <c r="C92" s="35" t="s">
        <v>1204</v>
      </c>
      <c r="D92" s="35" t="s">
        <v>1205</v>
      </c>
      <c r="E92" s="82" t="s">
        <v>1206</v>
      </c>
      <c r="F92" s="83"/>
      <c r="G92" s="36"/>
      <c r="H92" s="30" t="s">
        <v>811</v>
      </c>
      <c r="I92" s="37" t="s">
        <v>1207</v>
      </c>
      <c r="J92" s="37" t="s">
        <v>1207</v>
      </c>
      <c r="K92" s="37" t="s">
        <v>1207</v>
      </c>
      <c r="L92" s="37" t="s">
        <v>1207</v>
      </c>
      <c r="M92" s="37"/>
      <c r="N92" s="31"/>
      <c r="O92" s="31"/>
      <c r="P92" s="31">
        <f t="shared" si="1"/>
        <v>0</v>
      </c>
      <c r="Q92" s="31"/>
      <c r="R92" s="31"/>
      <c r="S92" s="31"/>
      <c r="T92" s="84" t="s">
        <v>1208</v>
      </c>
      <c r="U92" s="83"/>
    </row>
    <row r="93">
      <c r="A93" s="25" t="s">
        <v>1209</v>
      </c>
      <c r="B93" s="26" t="s">
        <v>590</v>
      </c>
      <c r="C93" s="28" t="s">
        <v>1210</v>
      </c>
      <c r="D93" s="28" t="s">
        <v>1211</v>
      </c>
      <c r="E93" s="66"/>
      <c r="F93" s="66"/>
      <c r="G93" s="54"/>
      <c r="H93" s="30" t="s">
        <v>811</v>
      </c>
      <c r="I93" s="30" t="s">
        <v>69</v>
      </c>
      <c r="J93" s="30" t="s">
        <v>811</v>
      </c>
      <c r="K93" s="30" t="s">
        <v>811</v>
      </c>
      <c r="L93" s="30" t="s">
        <v>811</v>
      </c>
      <c r="M93" s="30"/>
      <c r="N93" s="31"/>
      <c r="O93" s="31"/>
      <c r="P93" s="31">
        <f t="shared" si="1"/>
        <v>0</v>
      </c>
      <c r="Q93" s="31"/>
      <c r="R93" s="31"/>
      <c r="S93" s="31"/>
      <c r="T93" s="66"/>
      <c r="U93" s="66"/>
    </row>
    <row r="94">
      <c r="A94" s="25" t="s">
        <v>1212</v>
      </c>
      <c r="B94" s="85" t="s">
        <v>256</v>
      </c>
      <c r="C94" s="86" t="s">
        <v>257</v>
      </c>
      <c r="D94" s="85" t="s">
        <v>260</v>
      </c>
      <c r="E94" s="87" t="s">
        <v>1213</v>
      </c>
      <c r="F94" s="66"/>
      <c r="G94" s="54"/>
      <c r="H94" s="30" t="s">
        <v>811</v>
      </c>
      <c r="I94" s="30" t="s">
        <v>810</v>
      </c>
      <c r="J94" s="30" t="s">
        <v>811</v>
      </c>
      <c r="K94" s="30" t="s">
        <v>811</v>
      </c>
      <c r="L94" s="30" t="s">
        <v>811</v>
      </c>
      <c r="M94" s="30"/>
      <c r="N94" s="31"/>
      <c r="O94" s="31"/>
      <c r="P94" s="31">
        <f t="shared" si="1"/>
        <v>0</v>
      </c>
      <c r="Q94" s="31"/>
      <c r="R94" s="31"/>
      <c r="S94" s="31"/>
      <c r="T94" s="66"/>
      <c r="U94" s="66"/>
    </row>
    <row r="95">
      <c r="A95" s="25" t="s">
        <v>1214</v>
      </c>
      <c r="B95" s="26" t="s">
        <v>300</v>
      </c>
      <c r="C95" s="28" t="s">
        <v>301</v>
      </c>
      <c r="D95" s="28" t="s">
        <v>298</v>
      </c>
      <c r="E95" s="87" t="s">
        <v>1215</v>
      </c>
      <c r="F95" s="66"/>
      <c r="G95" s="54"/>
      <c r="H95" s="30" t="s">
        <v>811</v>
      </c>
      <c r="I95" s="30" t="s">
        <v>810</v>
      </c>
      <c r="J95" s="30" t="s">
        <v>811</v>
      </c>
      <c r="K95" s="30" t="s">
        <v>810</v>
      </c>
      <c r="L95" s="30" t="s">
        <v>811</v>
      </c>
      <c r="M95" s="30"/>
      <c r="N95" s="31">
        <v>5.0778105E7</v>
      </c>
      <c r="O95" s="31">
        <v>7.7819019E7</v>
      </c>
      <c r="P95" s="31">
        <f t="shared" si="1"/>
        <v>-27040914</v>
      </c>
      <c r="Q95" s="31"/>
      <c r="R95" s="31">
        <f>P95</f>
        <v>-27040914</v>
      </c>
      <c r="S95" s="31">
        <v>-6861435.0</v>
      </c>
      <c r="T95" s="66"/>
      <c r="U95" s="66"/>
    </row>
    <row r="96">
      <c r="A96" s="25" t="s">
        <v>1216</v>
      </c>
      <c r="B96" s="26" t="s">
        <v>1217</v>
      </c>
      <c r="C96" s="30" t="s">
        <v>1218</v>
      </c>
      <c r="D96" s="28" t="s">
        <v>1219</v>
      </c>
      <c r="E96" s="66"/>
      <c r="F96" s="66"/>
      <c r="G96" s="88"/>
      <c r="H96" s="30" t="s">
        <v>811</v>
      </c>
      <c r="I96" s="70" t="s">
        <v>69</v>
      </c>
      <c r="J96" s="48" t="s">
        <v>811</v>
      </c>
      <c r="K96" s="48" t="s">
        <v>811</v>
      </c>
      <c r="L96" s="48" t="s">
        <v>811</v>
      </c>
      <c r="M96" s="48"/>
      <c r="N96" s="31"/>
      <c r="O96" s="31"/>
      <c r="P96" s="31">
        <f t="shared" si="1"/>
        <v>0</v>
      </c>
      <c r="Q96" s="31"/>
      <c r="R96" s="31"/>
      <c r="S96" s="31"/>
      <c r="T96" s="66"/>
      <c r="U96" s="66"/>
    </row>
    <row r="97">
      <c r="A97" s="25" t="s">
        <v>1220</v>
      </c>
      <c r="B97" s="26" t="s">
        <v>530</v>
      </c>
      <c r="C97" s="28" t="s">
        <v>531</v>
      </c>
      <c r="D97" s="28" t="s">
        <v>528</v>
      </c>
      <c r="E97" s="87" t="s">
        <v>1221</v>
      </c>
      <c r="F97" s="66"/>
      <c r="G97" s="54"/>
      <c r="H97" s="30" t="s">
        <v>811</v>
      </c>
      <c r="I97" s="30" t="s">
        <v>810</v>
      </c>
      <c r="J97" s="30" t="s">
        <v>811</v>
      </c>
      <c r="K97" s="30" t="s">
        <v>811</v>
      </c>
      <c r="L97" s="30" t="s">
        <v>811</v>
      </c>
      <c r="M97" s="30"/>
      <c r="N97" s="31"/>
      <c r="O97" s="31"/>
      <c r="P97" s="31">
        <f t="shared" si="1"/>
        <v>0</v>
      </c>
      <c r="Q97" s="31"/>
      <c r="R97" s="31"/>
      <c r="S97" s="31"/>
      <c r="T97" s="28" t="s">
        <v>1222</v>
      </c>
      <c r="U97" s="66"/>
    </row>
    <row r="98">
      <c r="A98" s="81" t="s">
        <v>1223</v>
      </c>
      <c r="B98" s="89" t="s">
        <v>1224</v>
      </c>
      <c r="C98" s="86" t="s">
        <v>1225</v>
      </c>
      <c r="D98" s="28" t="s">
        <v>1226</v>
      </c>
      <c r="E98" s="81"/>
      <c r="F98" s="71" t="s">
        <v>1178</v>
      </c>
      <c r="G98" s="54"/>
      <c r="H98" s="30" t="s">
        <v>811</v>
      </c>
      <c r="I98" s="48" t="s">
        <v>811</v>
      </c>
      <c r="J98" s="48" t="s">
        <v>811</v>
      </c>
      <c r="K98" s="48" t="s">
        <v>811</v>
      </c>
      <c r="L98" s="48" t="s">
        <v>811</v>
      </c>
      <c r="M98" s="48"/>
      <c r="N98" s="31"/>
      <c r="O98" s="31"/>
      <c r="P98" s="31">
        <f t="shared" si="1"/>
        <v>0</v>
      </c>
      <c r="Q98" s="31"/>
      <c r="R98" s="31"/>
      <c r="S98" s="31"/>
      <c r="T98" s="66"/>
      <c r="U98" s="66"/>
    </row>
    <row r="99">
      <c r="A99" s="81" t="s">
        <v>1227</v>
      </c>
      <c r="B99" s="26" t="s">
        <v>1228</v>
      </c>
      <c r="C99" s="28" t="s">
        <v>1229</v>
      </c>
      <c r="D99" s="28" t="s">
        <v>1230</v>
      </c>
      <c r="E99" s="66"/>
      <c r="F99" s="66"/>
      <c r="G99" s="88"/>
      <c r="H99" s="30" t="s">
        <v>811</v>
      </c>
      <c r="I99" s="48" t="s">
        <v>811</v>
      </c>
      <c r="J99" s="48" t="s">
        <v>811</v>
      </c>
      <c r="K99" s="48" t="s">
        <v>811</v>
      </c>
      <c r="L99" s="48" t="s">
        <v>811</v>
      </c>
      <c r="M99" s="48"/>
      <c r="N99" s="31"/>
      <c r="O99" s="31"/>
      <c r="P99" s="31">
        <f t="shared" si="1"/>
        <v>0</v>
      </c>
      <c r="Q99" s="31"/>
      <c r="R99" s="31"/>
      <c r="S99" s="31"/>
      <c r="T99" s="66"/>
      <c r="U99" s="66"/>
    </row>
    <row r="100">
      <c r="A100" s="25" t="s">
        <v>1231</v>
      </c>
      <c r="B100" s="85" t="s">
        <v>1232</v>
      </c>
      <c r="C100" s="28" t="s">
        <v>1233</v>
      </c>
      <c r="D100" s="28" t="s">
        <v>1234</v>
      </c>
      <c r="E100" s="66"/>
      <c r="F100" s="66"/>
      <c r="G100" s="54"/>
      <c r="H100" s="30" t="s">
        <v>811</v>
      </c>
      <c r="I100" s="70" t="s">
        <v>810</v>
      </c>
      <c r="J100" s="48" t="s">
        <v>811</v>
      </c>
      <c r="K100" s="48" t="s">
        <v>811</v>
      </c>
      <c r="L100" s="48" t="s">
        <v>811</v>
      </c>
      <c r="M100" s="48"/>
      <c r="N100" s="31">
        <v>0.0</v>
      </c>
      <c r="O100" s="31">
        <v>1456053.0</v>
      </c>
      <c r="P100" s="31">
        <f t="shared" si="1"/>
        <v>-1456053</v>
      </c>
      <c r="Q100" s="31"/>
      <c r="R100" s="31">
        <f>P100</f>
        <v>-1456053</v>
      </c>
      <c r="S100" s="31">
        <f>R100</f>
        <v>-1456053</v>
      </c>
      <c r="T100" s="66"/>
      <c r="U100" s="66"/>
    </row>
    <row r="101">
      <c r="A101" s="25" t="s">
        <v>1235</v>
      </c>
      <c r="B101" s="26">
        <v>7.82295888E8</v>
      </c>
      <c r="C101" s="30" t="s">
        <v>1236</v>
      </c>
      <c r="D101" s="28" t="s">
        <v>1237</v>
      </c>
      <c r="E101" s="66"/>
      <c r="F101" s="71" t="s">
        <v>1178</v>
      </c>
      <c r="G101" s="54"/>
      <c r="H101" s="30" t="s">
        <v>811</v>
      </c>
      <c r="I101" s="48" t="s">
        <v>811</v>
      </c>
      <c r="J101" s="48" t="s">
        <v>811</v>
      </c>
      <c r="K101" s="48" t="s">
        <v>811</v>
      </c>
      <c r="L101" s="48" t="s">
        <v>811</v>
      </c>
      <c r="M101" s="48"/>
      <c r="N101" s="31"/>
      <c r="O101" s="31"/>
      <c r="P101" s="31">
        <f t="shared" si="1"/>
        <v>0</v>
      </c>
      <c r="Q101" s="31"/>
      <c r="R101" s="31"/>
      <c r="S101" s="31"/>
      <c r="T101" s="66"/>
      <c r="U101" s="66"/>
    </row>
    <row r="102">
      <c r="A102" s="25" t="s">
        <v>1238</v>
      </c>
      <c r="B102" s="26" t="s">
        <v>1239</v>
      </c>
      <c r="C102" s="28" t="s">
        <v>1229</v>
      </c>
      <c r="D102" s="28" t="s">
        <v>1240</v>
      </c>
      <c r="E102" s="66"/>
      <c r="F102" s="66"/>
      <c r="G102" s="88"/>
      <c r="H102" s="30" t="s">
        <v>811</v>
      </c>
      <c r="I102" s="48" t="s">
        <v>811</v>
      </c>
      <c r="J102" s="48" t="s">
        <v>811</v>
      </c>
      <c r="K102" s="48" t="s">
        <v>811</v>
      </c>
      <c r="L102" s="48" t="s">
        <v>811</v>
      </c>
      <c r="M102" s="48"/>
      <c r="N102" s="31"/>
      <c r="O102" s="31"/>
      <c r="P102" s="31">
        <f t="shared" si="1"/>
        <v>0</v>
      </c>
      <c r="Q102" s="31"/>
      <c r="R102" s="31"/>
      <c r="S102" s="31"/>
      <c r="T102" s="66"/>
      <c r="U102" s="66"/>
    </row>
    <row r="103">
      <c r="A103" s="81" t="s">
        <v>1241</v>
      </c>
      <c r="B103" s="26" t="s">
        <v>1242</v>
      </c>
      <c r="C103" s="28" t="s">
        <v>486</v>
      </c>
      <c r="D103" s="28" t="s">
        <v>483</v>
      </c>
      <c r="E103" s="28" t="s">
        <v>487</v>
      </c>
      <c r="F103" s="28">
        <v>1421.0</v>
      </c>
      <c r="G103" s="54"/>
      <c r="H103" s="30" t="s">
        <v>811</v>
      </c>
      <c r="I103" s="70" t="s">
        <v>810</v>
      </c>
      <c r="J103" s="48" t="s">
        <v>811</v>
      </c>
      <c r="K103" s="48" t="s">
        <v>811</v>
      </c>
      <c r="L103" s="48" t="s">
        <v>811</v>
      </c>
      <c r="M103" s="48"/>
      <c r="N103" s="31">
        <v>4995105.0</v>
      </c>
      <c r="O103" s="31">
        <v>20000.0</v>
      </c>
      <c r="P103" s="31">
        <f t="shared" si="1"/>
        <v>4975105</v>
      </c>
      <c r="Q103" s="31">
        <f>P103/2</f>
        <v>2487552.5</v>
      </c>
      <c r="R103" s="31">
        <v>2487552.0</v>
      </c>
      <c r="S103" s="31">
        <v>4995105.0</v>
      </c>
      <c r="T103" s="28" t="s">
        <v>1243</v>
      </c>
      <c r="U103" s="28"/>
    </row>
    <row r="104">
      <c r="A104" s="25" t="s">
        <v>1244</v>
      </c>
      <c r="B104" s="26" t="s">
        <v>1245</v>
      </c>
      <c r="C104" s="28" t="s">
        <v>1246</v>
      </c>
      <c r="D104" s="28" t="s">
        <v>1247</v>
      </c>
      <c r="E104" s="28" t="s">
        <v>1248</v>
      </c>
      <c r="F104" s="28" t="s">
        <v>1249</v>
      </c>
      <c r="G104" s="54"/>
      <c r="H104" s="30" t="s">
        <v>811</v>
      </c>
      <c r="I104" s="70" t="s">
        <v>810</v>
      </c>
      <c r="J104" s="48" t="s">
        <v>811</v>
      </c>
      <c r="K104" s="48" t="s">
        <v>811</v>
      </c>
      <c r="L104" s="48" t="s">
        <v>811</v>
      </c>
      <c r="M104" s="48"/>
      <c r="N104" s="31">
        <v>0.0</v>
      </c>
      <c r="O104" s="31">
        <v>508937.0</v>
      </c>
      <c r="P104" s="31">
        <f t="shared" si="1"/>
        <v>-508937</v>
      </c>
      <c r="Q104" s="31"/>
      <c r="R104" s="31">
        <f t="shared" ref="R104:R106" si="11">P104</f>
        <v>-508937</v>
      </c>
      <c r="S104" s="31">
        <f t="shared" ref="S104:S106" si="12">R104</f>
        <v>-508937</v>
      </c>
      <c r="T104" s="28" t="s">
        <v>1250</v>
      </c>
      <c r="U104" s="28"/>
    </row>
    <row r="105">
      <c r="A105" s="81" t="s">
        <v>1251</v>
      </c>
      <c r="B105" s="26" t="s">
        <v>1252</v>
      </c>
      <c r="C105" s="28" t="s">
        <v>1253</v>
      </c>
      <c r="D105" s="28" t="s">
        <v>1254</v>
      </c>
      <c r="E105" s="28" t="s">
        <v>1255</v>
      </c>
      <c r="F105" s="28" t="s">
        <v>1256</v>
      </c>
      <c r="G105" s="54"/>
      <c r="H105" s="30" t="s">
        <v>811</v>
      </c>
      <c r="I105" s="70" t="s">
        <v>810</v>
      </c>
      <c r="J105" s="48" t="s">
        <v>811</v>
      </c>
      <c r="K105" s="48" t="s">
        <v>811</v>
      </c>
      <c r="L105" s="48" t="s">
        <v>811</v>
      </c>
      <c r="M105" s="48"/>
      <c r="N105" s="31">
        <v>0.0</v>
      </c>
      <c r="O105" s="31">
        <v>191305.0</v>
      </c>
      <c r="P105" s="31">
        <f t="shared" si="1"/>
        <v>-191305</v>
      </c>
      <c r="Q105" s="31"/>
      <c r="R105" s="31">
        <f t="shared" si="11"/>
        <v>-191305</v>
      </c>
      <c r="S105" s="31">
        <f t="shared" si="12"/>
        <v>-191305</v>
      </c>
      <c r="T105" s="28" t="s">
        <v>1257</v>
      </c>
      <c r="U105" s="28"/>
    </row>
    <row r="106">
      <c r="A106" s="25" t="s">
        <v>1258</v>
      </c>
      <c r="B106" s="26" t="s">
        <v>1259</v>
      </c>
      <c r="C106" s="28" t="s">
        <v>1260</v>
      </c>
      <c r="D106" s="28" t="s">
        <v>1261</v>
      </c>
      <c r="E106" s="28" t="s">
        <v>1262</v>
      </c>
      <c r="F106" s="28" t="s">
        <v>1263</v>
      </c>
      <c r="G106" s="54"/>
      <c r="H106" s="30" t="s">
        <v>811</v>
      </c>
      <c r="I106" s="70" t="s">
        <v>810</v>
      </c>
      <c r="J106" s="48" t="s">
        <v>811</v>
      </c>
      <c r="K106" s="48" t="s">
        <v>811</v>
      </c>
      <c r="L106" s="48" t="s">
        <v>811</v>
      </c>
      <c r="M106" s="48"/>
      <c r="N106" s="31">
        <v>168.0</v>
      </c>
      <c r="O106" s="31">
        <v>532279.0</v>
      </c>
      <c r="P106" s="31">
        <f t="shared" si="1"/>
        <v>-532111</v>
      </c>
      <c r="Q106" s="31"/>
      <c r="R106" s="31">
        <f t="shared" si="11"/>
        <v>-532111</v>
      </c>
      <c r="S106" s="31">
        <f t="shared" si="12"/>
        <v>-532111</v>
      </c>
      <c r="T106" s="28" t="s">
        <v>1264</v>
      </c>
      <c r="U106" s="28"/>
    </row>
    <row r="107">
      <c r="A107" s="25" t="s">
        <v>1265</v>
      </c>
      <c r="B107" s="26" t="s">
        <v>1266</v>
      </c>
      <c r="C107" s="28" t="s">
        <v>1267</v>
      </c>
      <c r="D107" s="28" t="s">
        <v>1268</v>
      </c>
      <c r="E107" s="66"/>
      <c r="F107" s="66"/>
      <c r="G107" s="54"/>
      <c r="H107" s="30" t="s">
        <v>811</v>
      </c>
      <c r="I107" s="70" t="s">
        <v>810</v>
      </c>
      <c r="J107" s="48" t="s">
        <v>811</v>
      </c>
      <c r="K107" s="48" t="s">
        <v>811</v>
      </c>
      <c r="L107" s="48" t="s">
        <v>811</v>
      </c>
      <c r="M107" s="48"/>
      <c r="N107" s="31"/>
      <c r="O107" s="31"/>
      <c r="P107" s="31">
        <f t="shared" si="1"/>
        <v>0</v>
      </c>
      <c r="Q107" s="31"/>
      <c r="R107" s="31"/>
      <c r="S107" s="31"/>
      <c r="T107" s="66"/>
      <c r="U107" s="66"/>
    </row>
    <row r="108">
      <c r="A108" s="25" t="s">
        <v>1269</v>
      </c>
      <c r="B108" s="26" t="s">
        <v>212</v>
      </c>
      <c r="C108" s="28" t="s">
        <v>213</v>
      </c>
      <c r="D108" s="28" t="s">
        <v>217</v>
      </c>
      <c r="E108" s="87" t="s">
        <v>1270</v>
      </c>
      <c r="F108" s="66"/>
      <c r="G108" s="54"/>
      <c r="H108" s="30" t="s">
        <v>811</v>
      </c>
      <c r="I108" s="70" t="s">
        <v>810</v>
      </c>
      <c r="J108" s="70" t="s">
        <v>810</v>
      </c>
      <c r="K108" s="70" t="s">
        <v>810</v>
      </c>
      <c r="L108" s="48" t="s">
        <v>811</v>
      </c>
      <c r="M108" s="48"/>
      <c r="N108" s="31"/>
      <c r="O108" s="31"/>
      <c r="P108" s="31">
        <f t="shared" si="1"/>
        <v>0</v>
      </c>
      <c r="Q108" s="31"/>
      <c r="R108" s="31"/>
      <c r="S108" s="31"/>
      <c r="T108" s="66"/>
      <c r="U108" s="66"/>
    </row>
    <row r="109">
      <c r="A109" s="25" t="s">
        <v>1271</v>
      </c>
      <c r="B109" s="62" t="s">
        <v>1272</v>
      </c>
      <c r="C109" s="28" t="s">
        <v>809</v>
      </c>
      <c r="D109" s="52" t="s">
        <v>1273</v>
      </c>
      <c r="E109" s="28" t="s">
        <v>1274</v>
      </c>
      <c r="F109" s="66"/>
      <c r="G109" s="88"/>
      <c r="H109" s="30" t="s">
        <v>811</v>
      </c>
      <c r="I109" s="48" t="s">
        <v>811</v>
      </c>
      <c r="J109" s="48" t="s">
        <v>811</v>
      </c>
      <c r="K109" s="48" t="s">
        <v>811</v>
      </c>
      <c r="L109" s="48" t="s">
        <v>811</v>
      </c>
      <c r="M109" s="48"/>
      <c r="N109" s="31"/>
      <c r="O109" s="31"/>
      <c r="P109" s="31">
        <f t="shared" si="1"/>
        <v>0</v>
      </c>
      <c r="Q109" s="31"/>
      <c r="R109" s="31"/>
      <c r="S109" s="31"/>
      <c r="T109" s="66"/>
      <c r="U109" s="66"/>
    </row>
    <row r="110">
      <c r="A110" s="25" t="s">
        <v>1275</v>
      </c>
      <c r="B110" s="26" t="s">
        <v>225</v>
      </c>
      <c r="C110" s="28" t="s">
        <v>226</v>
      </c>
      <c r="D110" s="28" t="s">
        <v>222</v>
      </c>
      <c r="E110" s="28" t="s">
        <v>1276</v>
      </c>
      <c r="F110" s="66"/>
      <c r="G110" s="54"/>
      <c r="H110" s="30" t="s">
        <v>811</v>
      </c>
      <c r="I110" s="70" t="s">
        <v>810</v>
      </c>
      <c r="J110" s="48" t="s">
        <v>811</v>
      </c>
      <c r="K110" s="70" t="s">
        <v>810</v>
      </c>
      <c r="L110" s="48" t="s">
        <v>811</v>
      </c>
      <c r="M110" s="48"/>
      <c r="N110" s="31">
        <v>5.5765268E7</v>
      </c>
      <c r="O110" s="31">
        <v>1.2577454E7</v>
      </c>
      <c r="P110" s="31">
        <f t="shared" si="1"/>
        <v>43187814</v>
      </c>
      <c r="Q110" s="31">
        <v>1.2593907E7</v>
      </c>
      <c r="R110" s="31">
        <v>3.0593907E7</v>
      </c>
      <c r="S110" s="31">
        <v>2.5342373E7</v>
      </c>
      <c r="T110" s="28" t="s">
        <v>1277</v>
      </c>
      <c r="U110" s="66"/>
    </row>
    <row r="111">
      <c r="A111" s="59" t="s">
        <v>1278</v>
      </c>
      <c r="B111" s="46" t="s">
        <v>1279</v>
      </c>
      <c r="C111" s="73" t="s">
        <v>1280</v>
      </c>
      <c r="D111" s="46" t="s">
        <v>1281</v>
      </c>
      <c r="E111" s="46" t="s">
        <v>1282</v>
      </c>
      <c r="F111" s="46" t="s">
        <v>1283</v>
      </c>
      <c r="G111" s="90"/>
      <c r="H111" s="30" t="s">
        <v>811</v>
      </c>
      <c r="I111" s="30" t="s">
        <v>810</v>
      </c>
      <c r="J111" s="30" t="s">
        <v>811</v>
      </c>
      <c r="K111" s="30" t="s">
        <v>811</v>
      </c>
      <c r="L111" s="30" t="s">
        <v>811</v>
      </c>
      <c r="M111" s="30"/>
      <c r="N111" s="31">
        <v>2.9006521E7</v>
      </c>
      <c r="O111" s="31">
        <v>7.2234136E7</v>
      </c>
      <c r="P111" s="31">
        <f t="shared" si="1"/>
        <v>-43227615</v>
      </c>
      <c r="Q111" s="31"/>
      <c r="R111" s="31">
        <f>P111</f>
        <v>-43227615</v>
      </c>
      <c r="S111" s="31">
        <v>1.8692526E7</v>
      </c>
      <c r="T111" s="46" t="s">
        <v>1284</v>
      </c>
      <c r="U111" s="46"/>
    </row>
    <row r="112">
      <c r="A112" s="25" t="s">
        <v>1285</v>
      </c>
      <c r="B112" s="26" t="s">
        <v>711</v>
      </c>
      <c r="C112" s="28" t="s">
        <v>1286</v>
      </c>
      <c r="D112" s="28" t="s">
        <v>709</v>
      </c>
      <c r="E112" s="28" t="s">
        <v>1287</v>
      </c>
      <c r="F112" s="66"/>
      <c r="G112" s="91"/>
      <c r="H112" s="30" t="s">
        <v>811</v>
      </c>
      <c r="I112" s="70" t="s">
        <v>810</v>
      </c>
      <c r="J112" s="48" t="s">
        <v>811</v>
      </c>
      <c r="K112" s="48" t="s">
        <v>811</v>
      </c>
      <c r="L112" s="48" t="s">
        <v>811</v>
      </c>
      <c r="M112" s="48"/>
      <c r="N112" s="31">
        <v>1.0785606E7</v>
      </c>
      <c r="O112" s="31">
        <v>6517171.0</v>
      </c>
      <c r="P112" s="31">
        <f t="shared" si="1"/>
        <v>4268435</v>
      </c>
      <c r="Q112" s="31">
        <f>P112/2</f>
        <v>2134217.5</v>
      </c>
      <c r="R112" s="31">
        <v>2132217.0</v>
      </c>
      <c r="S112" s="31">
        <v>4268435.0</v>
      </c>
      <c r="T112" s="28" t="s">
        <v>1288</v>
      </c>
      <c r="U112" s="66"/>
    </row>
    <row r="113">
      <c r="A113" s="26" t="s">
        <v>1289</v>
      </c>
      <c r="B113" s="28" t="s">
        <v>988</v>
      </c>
      <c r="C113" s="28" t="s">
        <v>989</v>
      </c>
      <c r="D113" s="28" t="s">
        <v>990</v>
      </c>
      <c r="E113" s="66"/>
      <c r="F113" s="66"/>
      <c r="G113" s="54"/>
      <c r="H113" s="30" t="s">
        <v>811</v>
      </c>
      <c r="I113" s="70" t="s">
        <v>810</v>
      </c>
      <c r="J113" s="48" t="s">
        <v>811</v>
      </c>
      <c r="K113" s="48" t="s">
        <v>811</v>
      </c>
      <c r="L113" s="48" t="s">
        <v>811</v>
      </c>
      <c r="M113" s="48"/>
      <c r="N113" s="31">
        <v>36468.0</v>
      </c>
      <c r="O113" s="31">
        <v>3362456.0</v>
      </c>
      <c r="P113" s="31">
        <f t="shared" si="1"/>
        <v>-3325988</v>
      </c>
      <c r="Q113" s="31"/>
      <c r="R113" s="31">
        <v>3325456.0</v>
      </c>
      <c r="S113" s="31">
        <v>3325988.0</v>
      </c>
      <c r="T113" s="66"/>
      <c r="U113" s="66"/>
    </row>
    <row r="114">
      <c r="A114" s="25" t="s">
        <v>1290</v>
      </c>
      <c r="B114" s="26" t="s">
        <v>1291</v>
      </c>
      <c r="C114" s="28" t="s">
        <v>1292</v>
      </c>
      <c r="D114" s="52" t="s">
        <v>1293</v>
      </c>
      <c r="E114" s="28" t="s">
        <v>1294</v>
      </c>
      <c r="F114" s="66"/>
      <c r="G114" s="88"/>
      <c r="H114" s="30" t="s">
        <v>811</v>
      </c>
      <c r="I114" s="70" t="s">
        <v>811</v>
      </c>
      <c r="J114" s="48" t="s">
        <v>811</v>
      </c>
      <c r="K114" s="48" t="s">
        <v>811</v>
      </c>
      <c r="L114" s="48" t="s">
        <v>811</v>
      </c>
      <c r="M114" s="48"/>
      <c r="N114" s="31"/>
      <c r="O114" s="31"/>
      <c r="P114" s="31">
        <f t="shared" si="1"/>
        <v>0</v>
      </c>
      <c r="Q114" s="31"/>
      <c r="R114" s="31"/>
      <c r="S114" s="31"/>
      <c r="T114" s="66"/>
      <c r="U114" s="66"/>
    </row>
    <row r="115">
      <c r="A115" s="25" t="s">
        <v>1295</v>
      </c>
      <c r="B115" s="26" t="s">
        <v>506</v>
      </c>
      <c r="C115" s="92" t="s">
        <v>1296</v>
      </c>
      <c r="D115" s="28" t="s">
        <v>1297</v>
      </c>
      <c r="E115" s="28" t="s">
        <v>506</v>
      </c>
      <c r="F115" s="66"/>
      <c r="G115" s="54"/>
      <c r="H115" s="30" t="s">
        <v>811</v>
      </c>
      <c r="I115" s="30" t="s">
        <v>810</v>
      </c>
      <c r="J115" s="30" t="s">
        <v>811</v>
      </c>
      <c r="K115" s="30" t="s">
        <v>811</v>
      </c>
      <c r="L115" s="30" t="s">
        <v>811</v>
      </c>
      <c r="M115" s="30"/>
      <c r="N115" s="31">
        <v>0.0</v>
      </c>
      <c r="O115" s="31">
        <v>317479.0</v>
      </c>
      <c r="P115" s="31">
        <f t="shared" si="1"/>
        <v>-317479</v>
      </c>
      <c r="Q115" s="31"/>
      <c r="R115" s="31">
        <v>-317479.0</v>
      </c>
      <c r="S115" s="31">
        <f>R115</f>
        <v>-317479</v>
      </c>
      <c r="T115" s="66"/>
      <c r="U115" s="66"/>
    </row>
    <row r="116">
      <c r="A116" s="25" t="s">
        <v>1298</v>
      </c>
      <c r="B116" s="26" t="s">
        <v>1299</v>
      </c>
      <c r="C116" s="28" t="s">
        <v>1300</v>
      </c>
      <c r="D116" s="28" t="s">
        <v>1301</v>
      </c>
      <c r="E116" s="28" t="s">
        <v>1302</v>
      </c>
      <c r="F116" s="71" t="s">
        <v>1178</v>
      </c>
      <c r="G116" s="54"/>
      <c r="H116" s="30" t="s">
        <v>811</v>
      </c>
      <c r="I116" s="48" t="s">
        <v>811</v>
      </c>
      <c r="J116" s="48" t="s">
        <v>811</v>
      </c>
      <c r="K116" s="48" t="s">
        <v>811</v>
      </c>
      <c r="L116" s="48" t="s">
        <v>811</v>
      </c>
      <c r="M116" s="48"/>
      <c r="N116" s="31"/>
      <c r="O116" s="31"/>
      <c r="P116" s="31">
        <f t="shared" si="1"/>
        <v>0</v>
      </c>
      <c r="Q116" s="31"/>
      <c r="R116" s="31"/>
      <c r="S116" s="31"/>
      <c r="T116" s="66"/>
      <c r="U116" s="66"/>
    </row>
    <row r="117">
      <c r="A117" s="65" t="s">
        <v>1303</v>
      </c>
      <c r="B117" s="26" t="s">
        <v>478</v>
      </c>
      <c r="C117" s="93" t="s">
        <v>479</v>
      </c>
      <c r="D117" s="94" t="s">
        <v>1304</v>
      </c>
      <c r="E117" s="28" t="s">
        <v>1305</v>
      </c>
      <c r="F117" s="66"/>
      <c r="G117" s="54"/>
      <c r="H117" s="30" t="s">
        <v>811</v>
      </c>
      <c r="I117" s="30" t="s">
        <v>810</v>
      </c>
      <c r="J117" s="30" t="s">
        <v>811</v>
      </c>
      <c r="K117" s="30" t="s">
        <v>811</v>
      </c>
      <c r="L117" s="30" t="s">
        <v>811</v>
      </c>
      <c r="M117" s="30"/>
      <c r="N117" s="31">
        <v>0.0</v>
      </c>
      <c r="O117" s="31">
        <v>0.0</v>
      </c>
      <c r="P117" s="31">
        <f t="shared" si="1"/>
        <v>0</v>
      </c>
      <c r="Q117" s="31"/>
      <c r="R117" s="31"/>
      <c r="S117" s="31"/>
      <c r="T117" s="66"/>
      <c r="U117" s="66"/>
    </row>
    <row r="118">
      <c r="A118" s="25" t="s">
        <v>1306</v>
      </c>
      <c r="B118" s="26" t="s">
        <v>491</v>
      </c>
      <c r="C118" s="26" t="s">
        <v>492</v>
      </c>
      <c r="D118" s="25" t="s">
        <v>1307</v>
      </c>
      <c r="E118" s="28" t="s">
        <v>1308</v>
      </c>
      <c r="F118" s="28" t="s">
        <v>494</v>
      </c>
      <c r="G118" s="91"/>
      <c r="H118" s="30" t="s">
        <v>811</v>
      </c>
      <c r="I118" s="30" t="s">
        <v>810</v>
      </c>
      <c r="J118" s="30" t="s">
        <v>811</v>
      </c>
      <c r="K118" s="30" t="s">
        <v>810</v>
      </c>
      <c r="L118" s="30" t="s">
        <v>811</v>
      </c>
      <c r="M118" s="30"/>
      <c r="N118" s="31">
        <v>9866610.0</v>
      </c>
      <c r="O118" s="31">
        <v>2.4152189E7</v>
      </c>
      <c r="P118" s="31">
        <f t="shared" si="1"/>
        <v>-14285579</v>
      </c>
      <c r="Q118" s="31">
        <f>P118/2</f>
        <v>-7142789.5</v>
      </c>
      <c r="R118" s="31"/>
      <c r="S118" s="31">
        <v>-1.4285189E7</v>
      </c>
      <c r="T118" s="28" t="s">
        <v>1309</v>
      </c>
      <c r="U118" s="28"/>
    </row>
    <row r="119">
      <c r="A119" s="94" t="s">
        <v>1310</v>
      </c>
      <c r="B119" s="26" t="s">
        <v>1311</v>
      </c>
      <c r="C119" s="28" t="s">
        <v>809</v>
      </c>
      <c r="D119" s="28" t="s">
        <v>1312</v>
      </c>
      <c r="E119" s="28" t="s">
        <v>1313</v>
      </c>
      <c r="F119" s="66"/>
      <c r="G119" s="54"/>
      <c r="H119" s="30" t="s">
        <v>811</v>
      </c>
      <c r="I119" s="48" t="s">
        <v>811</v>
      </c>
      <c r="J119" s="48" t="s">
        <v>811</v>
      </c>
      <c r="K119" s="48" t="s">
        <v>811</v>
      </c>
      <c r="L119" s="48" t="s">
        <v>811</v>
      </c>
      <c r="M119" s="48"/>
      <c r="N119" s="31"/>
      <c r="O119" s="31"/>
      <c r="P119" s="31">
        <f t="shared" si="1"/>
        <v>0</v>
      </c>
      <c r="Q119" s="31"/>
      <c r="R119" s="31"/>
      <c r="S119" s="31"/>
      <c r="T119" s="66"/>
      <c r="U119" s="66"/>
    </row>
    <row r="120">
      <c r="A120" s="40" t="s">
        <v>171</v>
      </c>
      <c r="B120" s="26" t="s">
        <v>172</v>
      </c>
      <c r="C120" s="28" t="s">
        <v>173</v>
      </c>
      <c r="D120" s="28" t="s">
        <v>1314</v>
      </c>
      <c r="E120" s="28" t="s">
        <v>1315</v>
      </c>
      <c r="F120" s="28">
        <v>2806.0</v>
      </c>
      <c r="G120" s="54"/>
      <c r="H120" s="30" t="s">
        <v>811</v>
      </c>
      <c r="I120" s="30" t="s">
        <v>810</v>
      </c>
      <c r="J120" s="30" t="s">
        <v>811</v>
      </c>
      <c r="K120" s="30" t="s">
        <v>811</v>
      </c>
      <c r="L120" s="30" t="s">
        <v>811</v>
      </c>
      <c r="M120" s="30"/>
      <c r="N120" s="31">
        <v>1200000.0</v>
      </c>
      <c r="O120" s="31">
        <v>656774.0</v>
      </c>
      <c r="P120" s="31">
        <f t="shared" si="1"/>
        <v>543226</v>
      </c>
      <c r="Q120" s="31">
        <f t="shared" ref="Q120:Q123" si="13">P120/2</f>
        <v>271613</v>
      </c>
      <c r="R120" s="31">
        <v>271613.0</v>
      </c>
      <c r="S120" s="31">
        <v>543226.0</v>
      </c>
      <c r="T120" s="28" t="s">
        <v>1316</v>
      </c>
      <c r="U120" s="28"/>
    </row>
    <row r="121">
      <c r="A121" s="95" t="s">
        <v>1317</v>
      </c>
      <c r="B121" s="26" t="s">
        <v>1318</v>
      </c>
      <c r="C121" s="96" t="s">
        <v>1319</v>
      </c>
      <c r="D121" s="53" t="s">
        <v>1320</v>
      </c>
      <c r="E121" s="66"/>
      <c r="F121" s="66"/>
      <c r="G121" s="97"/>
      <c r="H121" s="30" t="s">
        <v>811</v>
      </c>
      <c r="I121" s="30" t="s">
        <v>810</v>
      </c>
      <c r="J121" s="30" t="s">
        <v>811</v>
      </c>
      <c r="K121" s="30" t="s">
        <v>811</v>
      </c>
      <c r="L121" s="30" t="s">
        <v>811</v>
      </c>
      <c r="M121" s="30"/>
      <c r="N121" s="31">
        <v>4043421.0</v>
      </c>
      <c r="O121" s="31">
        <v>796216.0</v>
      </c>
      <c r="P121" s="31">
        <f t="shared" si="1"/>
        <v>3247205</v>
      </c>
      <c r="Q121" s="31">
        <f t="shared" si="13"/>
        <v>1623602.5</v>
      </c>
      <c r="R121" s="31">
        <v>1623602.0</v>
      </c>
      <c r="S121" s="31">
        <v>3247205.0</v>
      </c>
      <c r="T121" s="66"/>
      <c r="U121" s="66"/>
    </row>
    <row r="122">
      <c r="A122" s="98" t="s">
        <v>1321</v>
      </c>
      <c r="B122" s="99" t="s">
        <v>674</v>
      </c>
      <c r="C122" s="98" t="s">
        <v>675</v>
      </c>
      <c r="D122" s="98" t="s">
        <v>1322</v>
      </c>
      <c r="E122" s="98" t="s">
        <v>1323</v>
      </c>
      <c r="F122" s="100"/>
      <c r="G122" s="101"/>
      <c r="H122" s="102" t="s">
        <v>811</v>
      </c>
      <c r="I122" s="102" t="s">
        <v>810</v>
      </c>
      <c r="J122" s="102" t="s">
        <v>811</v>
      </c>
      <c r="K122" s="102" t="s">
        <v>811</v>
      </c>
      <c r="L122" s="102" t="s">
        <v>811</v>
      </c>
      <c r="M122" s="102"/>
      <c r="N122" s="103">
        <v>4.4128448E7</v>
      </c>
      <c r="O122" s="103">
        <v>2717783.0</v>
      </c>
      <c r="P122" s="103">
        <f t="shared" si="1"/>
        <v>41410665</v>
      </c>
      <c r="Q122" s="103">
        <f t="shared" si="13"/>
        <v>20705332.5</v>
      </c>
      <c r="R122" s="103">
        <f t="shared" ref="R122:R123" si="14">Q122</f>
        <v>20705332.5</v>
      </c>
      <c r="S122" s="103">
        <v>4.1410665E7</v>
      </c>
      <c r="T122" s="98" t="s">
        <v>1324</v>
      </c>
      <c r="U122" s="100"/>
      <c r="V122" s="100"/>
      <c r="W122" s="100"/>
      <c r="X122" s="100"/>
    </row>
    <row r="123">
      <c r="A123" s="25" t="s">
        <v>1325</v>
      </c>
      <c r="B123" s="26" t="s">
        <v>1326</v>
      </c>
      <c r="C123" s="26" t="s">
        <v>1327</v>
      </c>
      <c r="D123" s="66"/>
      <c r="E123" s="66"/>
      <c r="F123" s="66"/>
      <c r="G123" s="104"/>
      <c r="H123" s="30" t="s">
        <v>811</v>
      </c>
      <c r="I123" s="105" t="s">
        <v>810</v>
      </c>
      <c r="J123" s="106"/>
      <c r="K123" s="106"/>
      <c r="L123" s="105" t="s">
        <v>810</v>
      </c>
      <c r="M123" s="105"/>
      <c r="N123" s="31">
        <v>1.09875E8</v>
      </c>
      <c r="O123" s="31">
        <v>4.8999362E7</v>
      </c>
      <c r="P123" s="31">
        <f t="shared" si="1"/>
        <v>60875638</v>
      </c>
      <c r="Q123" s="31">
        <f t="shared" si="13"/>
        <v>30437819</v>
      </c>
      <c r="R123" s="31">
        <f t="shared" si="14"/>
        <v>30437819</v>
      </c>
      <c r="S123" s="31"/>
      <c r="T123" s="66"/>
      <c r="U123" s="66"/>
    </row>
    <row r="124">
      <c r="A124" s="98" t="s">
        <v>1328</v>
      </c>
      <c r="B124" s="26" t="s">
        <v>1329</v>
      </c>
      <c r="C124" s="71" t="s">
        <v>1330</v>
      </c>
      <c r="D124" s="66"/>
      <c r="E124" s="66"/>
      <c r="F124" s="66"/>
      <c r="G124" s="104"/>
      <c r="H124" s="106"/>
      <c r="I124" s="105" t="s">
        <v>810</v>
      </c>
      <c r="J124" s="106"/>
      <c r="K124" s="106"/>
      <c r="L124" s="106"/>
      <c r="M124" s="106"/>
      <c r="N124" s="31"/>
      <c r="O124" s="31"/>
      <c r="P124" s="31">
        <f t="shared" si="1"/>
        <v>0</v>
      </c>
      <c r="Q124" s="31"/>
      <c r="R124" s="31"/>
      <c r="S124" s="31"/>
      <c r="T124" s="66"/>
      <c r="U124" s="66"/>
    </row>
    <row r="125">
      <c r="A125" s="71" t="s">
        <v>1331</v>
      </c>
      <c r="B125" s="107"/>
      <c r="C125" s="66"/>
      <c r="D125" s="66"/>
      <c r="E125" s="66"/>
      <c r="F125" s="66"/>
      <c r="G125" s="104"/>
      <c r="H125" s="106"/>
      <c r="I125" s="106"/>
      <c r="J125" s="106"/>
      <c r="K125" s="106"/>
      <c r="L125" s="106"/>
      <c r="M125" s="106"/>
      <c r="N125" s="31"/>
      <c r="O125" s="31"/>
      <c r="P125" s="31">
        <f t="shared" si="1"/>
        <v>0</v>
      </c>
      <c r="Q125" s="31"/>
      <c r="R125" s="31"/>
      <c r="S125" s="31"/>
      <c r="T125" s="66"/>
      <c r="U125" s="66"/>
    </row>
    <row r="126">
      <c r="A126" s="71" t="s">
        <v>1332</v>
      </c>
      <c r="B126" s="107"/>
      <c r="C126" s="66"/>
      <c r="D126" s="66"/>
      <c r="E126" s="66"/>
      <c r="F126" s="66"/>
      <c r="G126" s="104"/>
      <c r="H126" s="106"/>
      <c r="I126" s="106"/>
      <c r="J126" s="106"/>
      <c r="K126" s="106"/>
      <c r="L126" s="106"/>
      <c r="M126" s="106"/>
      <c r="N126" s="31"/>
      <c r="O126" s="31"/>
      <c r="P126" s="31">
        <f t="shared" si="1"/>
        <v>0</v>
      </c>
      <c r="Q126" s="31"/>
      <c r="R126" s="31"/>
      <c r="S126" s="31"/>
      <c r="T126" s="66"/>
      <c r="U126" s="66"/>
    </row>
    <row r="127">
      <c r="A127" s="71" t="s">
        <v>1333</v>
      </c>
      <c r="B127" s="107"/>
      <c r="C127" s="66"/>
      <c r="D127" s="66"/>
      <c r="E127" s="66"/>
      <c r="F127" s="66"/>
      <c r="G127" s="104"/>
      <c r="H127" s="106"/>
      <c r="I127" s="106"/>
      <c r="J127" s="106"/>
      <c r="K127" s="106"/>
      <c r="L127" s="106"/>
      <c r="M127" s="106"/>
      <c r="N127" s="31"/>
      <c r="O127" s="31"/>
      <c r="P127" s="31">
        <f t="shared" si="1"/>
        <v>0</v>
      </c>
      <c r="Q127" s="31"/>
      <c r="R127" s="31"/>
      <c r="S127" s="31"/>
      <c r="T127" s="66"/>
      <c r="U127" s="66"/>
    </row>
    <row r="128">
      <c r="A128" s="66"/>
      <c r="B128" s="108"/>
      <c r="C128" s="66"/>
      <c r="D128" s="66"/>
      <c r="E128" s="66"/>
      <c r="F128" s="66"/>
      <c r="G128" s="104"/>
      <c r="H128" s="106"/>
      <c r="I128" s="106"/>
      <c r="J128" s="106"/>
      <c r="K128" s="106"/>
      <c r="L128" s="106"/>
      <c r="M128" s="106"/>
      <c r="N128" s="31"/>
      <c r="O128" s="31"/>
      <c r="P128" s="31">
        <f t="shared" si="1"/>
        <v>0</v>
      </c>
      <c r="Q128" s="31"/>
      <c r="R128" s="31"/>
      <c r="S128" s="31"/>
      <c r="T128" s="66"/>
      <c r="U128" s="66"/>
    </row>
    <row r="129">
      <c r="A129" s="66"/>
      <c r="C129" s="66"/>
      <c r="D129" s="66"/>
      <c r="E129" s="66"/>
      <c r="F129" s="66"/>
      <c r="G129" s="104"/>
      <c r="H129" s="106"/>
      <c r="I129" s="106"/>
      <c r="J129" s="106"/>
      <c r="K129" s="106"/>
      <c r="L129" s="106"/>
      <c r="M129" s="106"/>
      <c r="N129" s="31"/>
      <c r="O129" s="31"/>
      <c r="P129" s="31">
        <f t="shared" si="1"/>
        <v>0</v>
      </c>
      <c r="Q129" s="31"/>
      <c r="R129" s="31"/>
      <c r="S129" s="31"/>
      <c r="T129" s="66"/>
      <c r="U129" s="66"/>
    </row>
    <row r="130">
      <c r="A130" s="66"/>
      <c r="C130" s="66"/>
      <c r="D130" s="66"/>
      <c r="E130" s="66"/>
      <c r="F130" s="66"/>
      <c r="G130" s="104"/>
      <c r="H130" s="106"/>
      <c r="I130" s="106"/>
      <c r="J130" s="106"/>
      <c r="K130" s="106"/>
      <c r="L130" s="106"/>
      <c r="M130" s="106"/>
      <c r="N130" s="31"/>
      <c r="O130" s="31"/>
      <c r="P130" s="31">
        <f t="shared" si="1"/>
        <v>0</v>
      </c>
      <c r="Q130" s="31"/>
      <c r="R130" s="31"/>
      <c r="S130" s="31"/>
      <c r="T130" s="66"/>
      <c r="U130" s="66"/>
    </row>
    <row r="131">
      <c r="A131" s="66"/>
      <c r="C131" s="66"/>
      <c r="D131" s="66"/>
      <c r="E131" s="66"/>
      <c r="F131" s="66"/>
      <c r="G131" s="104"/>
      <c r="H131" s="106"/>
      <c r="I131" s="106"/>
      <c r="J131" s="106"/>
      <c r="K131" s="106"/>
      <c r="L131" s="106"/>
      <c r="M131" s="106"/>
      <c r="N131" s="31"/>
      <c r="O131" s="31"/>
      <c r="P131" s="31">
        <f t="shared" si="1"/>
        <v>0</v>
      </c>
      <c r="Q131" s="31"/>
      <c r="R131" s="31"/>
      <c r="S131" s="31"/>
      <c r="T131" s="66"/>
      <c r="U131" s="66"/>
    </row>
    <row r="132">
      <c r="A132" s="66"/>
      <c r="C132" s="66"/>
      <c r="D132" s="66"/>
      <c r="E132" s="66"/>
      <c r="F132" s="66"/>
      <c r="G132" s="104"/>
      <c r="H132" s="106"/>
      <c r="I132" s="106"/>
      <c r="J132" s="106"/>
      <c r="K132" s="106"/>
      <c r="L132" s="106"/>
      <c r="M132" s="106"/>
      <c r="N132" s="31"/>
      <c r="O132" s="31"/>
      <c r="P132" s="31">
        <f t="shared" si="1"/>
        <v>0</v>
      </c>
      <c r="Q132" s="31"/>
      <c r="R132" s="31"/>
      <c r="S132" s="31"/>
      <c r="T132" s="66"/>
      <c r="U132" s="66"/>
    </row>
    <row r="133">
      <c r="A133" s="66"/>
      <c r="C133" s="66"/>
      <c r="D133" s="66"/>
      <c r="E133" s="66"/>
      <c r="F133" s="66"/>
      <c r="G133" s="104"/>
      <c r="H133" s="106"/>
      <c r="I133" s="106"/>
      <c r="J133" s="106"/>
      <c r="K133" s="106"/>
      <c r="L133" s="106"/>
      <c r="M133" s="106"/>
      <c r="N133" s="31"/>
      <c r="O133" s="31"/>
      <c r="P133" s="31">
        <f t="shared" si="1"/>
        <v>0</v>
      </c>
      <c r="Q133" s="31"/>
      <c r="R133" s="31"/>
      <c r="S133" s="31"/>
      <c r="T133" s="66"/>
      <c r="U133" s="66"/>
    </row>
    <row r="134">
      <c r="A134" s="66"/>
      <c r="C134" s="66"/>
      <c r="D134" s="66"/>
      <c r="E134" s="66"/>
      <c r="F134" s="66"/>
      <c r="G134" s="104"/>
      <c r="H134" s="106"/>
      <c r="I134" s="106"/>
      <c r="J134" s="106"/>
      <c r="K134" s="106"/>
      <c r="L134" s="106"/>
      <c r="M134" s="106"/>
      <c r="N134" s="31"/>
      <c r="O134" s="31"/>
      <c r="P134" s="31">
        <f t="shared" si="1"/>
        <v>0</v>
      </c>
      <c r="Q134" s="31"/>
      <c r="R134" s="31"/>
      <c r="S134" s="31"/>
      <c r="T134" s="66"/>
      <c r="U134" s="66"/>
    </row>
    <row r="135">
      <c r="A135" s="66"/>
      <c r="C135" s="66"/>
      <c r="D135" s="66"/>
      <c r="E135" s="66"/>
      <c r="F135" s="66"/>
      <c r="G135" s="104"/>
      <c r="H135" s="106"/>
      <c r="I135" s="106"/>
      <c r="J135" s="106"/>
      <c r="K135" s="106"/>
      <c r="L135" s="106"/>
      <c r="M135" s="106"/>
      <c r="N135" s="109"/>
      <c r="O135" s="109"/>
      <c r="P135" s="31">
        <f t="shared" si="1"/>
        <v>0</v>
      </c>
      <c r="Q135" s="66"/>
      <c r="R135" s="66"/>
      <c r="S135" s="66"/>
      <c r="T135" s="66"/>
      <c r="U135" s="66"/>
    </row>
    <row r="136">
      <c r="A136" s="66"/>
      <c r="C136" s="66"/>
      <c r="D136" s="66"/>
      <c r="E136" s="66"/>
      <c r="F136" s="66"/>
      <c r="G136" s="104"/>
      <c r="H136" s="106"/>
      <c r="I136" s="106"/>
      <c r="J136" s="106"/>
      <c r="K136" s="106"/>
      <c r="L136" s="106"/>
      <c r="M136" s="106"/>
      <c r="N136" s="109"/>
      <c r="O136" s="109"/>
      <c r="P136" s="31">
        <f t="shared" si="1"/>
        <v>0</v>
      </c>
      <c r="Q136" s="66"/>
      <c r="R136" s="66"/>
      <c r="S136" s="66"/>
      <c r="T136" s="66"/>
      <c r="U136" s="66"/>
    </row>
    <row r="137">
      <c r="A137" s="66"/>
      <c r="C137" s="66"/>
      <c r="D137" s="66"/>
      <c r="E137" s="66"/>
      <c r="F137" s="66"/>
      <c r="G137" s="104"/>
      <c r="H137" s="106"/>
      <c r="I137" s="106"/>
      <c r="J137" s="106"/>
      <c r="K137" s="106"/>
      <c r="L137" s="106"/>
      <c r="M137" s="106"/>
      <c r="N137" s="109"/>
      <c r="O137" s="109"/>
      <c r="P137" s="31">
        <f t="shared" si="1"/>
        <v>0</v>
      </c>
      <c r="Q137" s="66"/>
      <c r="R137" s="66"/>
      <c r="S137" s="66"/>
      <c r="T137" s="66"/>
      <c r="U137" s="66"/>
    </row>
    <row r="138">
      <c r="A138" s="66"/>
      <c r="C138" s="66"/>
      <c r="D138" s="66"/>
      <c r="E138" s="66"/>
      <c r="F138" s="66"/>
      <c r="G138" s="104"/>
      <c r="H138" s="106"/>
      <c r="I138" s="106"/>
      <c r="J138" s="106"/>
      <c r="K138" s="106"/>
      <c r="L138" s="106"/>
      <c r="M138" s="106"/>
      <c r="N138" s="109"/>
      <c r="O138" s="109"/>
      <c r="P138" s="31">
        <f t="shared" si="1"/>
        <v>0</v>
      </c>
      <c r="Q138" s="66"/>
      <c r="R138" s="66"/>
      <c r="S138" s="66"/>
      <c r="T138" s="66"/>
      <c r="U138" s="66"/>
    </row>
    <row r="139">
      <c r="A139" s="66"/>
      <c r="C139" s="66"/>
      <c r="D139" s="66"/>
      <c r="E139" s="66"/>
      <c r="F139" s="66"/>
      <c r="G139" s="104"/>
      <c r="H139" s="106"/>
      <c r="I139" s="106"/>
      <c r="J139" s="106"/>
      <c r="K139" s="106"/>
      <c r="L139" s="106"/>
      <c r="M139" s="106"/>
      <c r="N139" s="109"/>
      <c r="O139" s="109"/>
      <c r="P139" s="31">
        <f t="shared" si="1"/>
        <v>0</v>
      </c>
      <c r="Q139" s="66"/>
      <c r="R139" s="66"/>
      <c r="S139" s="66"/>
      <c r="T139" s="66"/>
      <c r="U139" s="66"/>
    </row>
    <row r="140">
      <c r="A140" s="66"/>
      <c r="C140" s="66"/>
      <c r="D140" s="66"/>
      <c r="E140" s="66"/>
      <c r="F140" s="66"/>
      <c r="G140" s="104"/>
      <c r="H140" s="106"/>
      <c r="I140" s="106"/>
      <c r="J140" s="106"/>
      <c r="K140" s="106"/>
      <c r="L140" s="106"/>
      <c r="M140" s="106"/>
      <c r="N140" s="109"/>
      <c r="O140" s="109"/>
      <c r="P140" s="31">
        <f t="shared" si="1"/>
        <v>0</v>
      </c>
      <c r="Q140" s="66"/>
      <c r="R140" s="66"/>
      <c r="S140" s="66"/>
      <c r="T140" s="66"/>
      <c r="U140" s="66"/>
    </row>
    <row r="141">
      <c r="A141" s="66"/>
      <c r="C141" s="66"/>
      <c r="D141" s="66"/>
      <c r="E141" s="66"/>
      <c r="F141" s="66"/>
      <c r="G141" s="104"/>
      <c r="H141" s="106"/>
      <c r="I141" s="106"/>
      <c r="J141" s="106"/>
      <c r="K141" s="106"/>
      <c r="L141" s="106"/>
      <c r="M141" s="106"/>
      <c r="N141" s="109"/>
      <c r="O141" s="109"/>
      <c r="P141" s="31">
        <f t="shared" si="1"/>
        <v>0</v>
      </c>
      <c r="Q141" s="66"/>
      <c r="R141" s="66"/>
      <c r="S141" s="66"/>
      <c r="T141" s="66"/>
      <c r="U141" s="66"/>
    </row>
    <row r="142">
      <c r="A142" s="66"/>
      <c r="C142" s="66"/>
      <c r="D142" s="66"/>
      <c r="E142" s="66"/>
      <c r="F142" s="66"/>
      <c r="G142" s="104"/>
      <c r="H142" s="106"/>
      <c r="I142" s="106"/>
      <c r="J142" s="106"/>
      <c r="K142" s="106"/>
      <c r="L142" s="106"/>
      <c r="M142" s="106"/>
      <c r="N142" s="109"/>
      <c r="O142" s="109"/>
      <c r="P142" s="31">
        <f t="shared" si="1"/>
        <v>0</v>
      </c>
      <c r="Q142" s="66"/>
      <c r="R142" s="66"/>
      <c r="S142" s="66"/>
      <c r="T142" s="66"/>
      <c r="U142" s="66"/>
    </row>
    <row r="143">
      <c r="A143" s="66"/>
      <c r="C143" s="66"/>
      <c r="D143" s="66"/>
      <c r="E143" s="66"/>
      <c r="F143" s="66"/>
      <c r="G143" s="104"/>
      <c r="H143" s="106"/>
      <c r="I143" s="106"/>
      <c r="J143" s="106"/>
      <c r="K143" s="106"/>
      <c r="L143" s="106"/>
      <c r="M143" s="106"/>
      <c r="N143" s="109"/>
      <c r="O143" s="109"/>
      <c r="P143" s="31">
        <f t="shared" si="1"/>
        <v>0</v>
      </c>
      <c r="Q143" s="66"/>
      <c r="R143" s="66"/>
      <c r="S143" s="66"/>
      <c r="T143" s="66"/>
      <c r="U143" s="66"/>
    </row>
    <row r="144">
      <c r="A144" s="66"/>
      <c r="C144" s="66"/>
      <c r="D144" s="66"/>
      <c r="E144" s="66"/>
      <c r="F144" s="66"/>
      <c r="G144" s="104"/>
      <c r="H144" s="106"/>
      <c r="I144" s="106"/>
      <c r="J144" s="106"/>
      <c r="K144" s="106"/>
      <c r="L144" s="106"/>
      <c r="M144" s="106"/>
      <c r="N144" s="109"/>
      <c r="O144" s="109"/>
      <c r="P144" s="31">
        <f t="shared" si="1"/>
        <v>0</v>
      </c>
      <c r="Q144" s="66"/>
      <c r="R144" s="66"/>
      <c r="S144" s="66"/>
      <c r="T144" s="66"/>
      <c r="U144" s="66"/>
    </row>
    <row r="145">
      <c r="A145" s="66"/>
      <c r="C145" s="66"/>
      <c r="D145" s="66"/>
      <c r="E145" s="66"/>
      <c r="F145" s="66"/>
      <c r="G145" s="104"/>
      <c r="H145" s="106"/>
      <c r="I145" s="106"/>
      <c r="J145" s="106"/>
      <c r="K145" s="106"/>
      <c r="L145" s="106"/>
      <c r="M145" s="106"/>
      <c r="N145" s="109"/>
      <c r="O145" s="109"/>
      <c r="P145" s="31">
        <f t="shared" si="1"/>
        <v>0</v>
      </c>
      <c r="Q145" s="66"/>
      <c r="R145" s="66"/>
      <c r="S145" s="66"/>
      <c r="T145" s="66"/>
      <c r="U145" s="66"/>
    </row>
    <row r="146">
      <c r="A146" s="66"/>
      <c r="C146" s="66"/>
      <c r="D146" s="66"/>
      <c r="E146" s="66"/>
      <c r="F146" s="66"/>
      <c r="G146" s="104"/>
      <c r="H146" s="106"/>
      <c r="I146" s="106"/>
      <c r="J146" s="106"/>
      <c r="K146" s="106"/>
      <c r="L146" s="106"/>
      <c r="M146" s="106"/>
      <c r="N146" s="109"/>
      <c r="O146" s="109"/>
      <c r="P146" s="31">
        <f t="shared" si="1"/>
        <v>0</v>
      </c>
      <c r="Q146" s="66"/>
      <c r="R146" s="66"/>
      <c r="S146" s="66"/>
      <c r="T146" s="66"/>
      <c r="U146" s="66"/>
    </row>
    <row r="147">
      <c r="A147" s="66"/>
      <c r="C147" s="66"/>
      <c r="D147" s="66"/>
      <c r="E147" s="66"/>
      <c r="F147" s="66"/>
      <c r="G147" s="104"/>
      <c r="H147" s="106"/>
      <c r="I147" s="106"/>
      <c r="J147" s="106"/>
      <c r="K147" s="106"/>
      <c r="L147" s="106"/>
      <c r="M147" s="106"/>
      <c r="N147" s="109"/>
      <c r="O147" s="109"/>
      <c r="P147" s="31">
        <f t="shared" si="1"/>
        <v>0</v>
      </c>
      <c r="Q147" s="66"/>
      <c r="R147" s="66"/>
      <c r="S147" s="66"/>
      <c r="T147" s="66"/>
      <c r="U147" s="66"/>
    </row>
    <row r="148">
      <c r="A148" s="66"/>
      <c r="C148" s="66"/>
      <c r="D148" s="66"/>
      <c r="E148" s="66"/>
      <c r="F148" s="66"/>
      <c r="G148" s="104"/>
      <c r="H148" s="106"/>
      <c r="I148" s="106"/>
      <c r="J148" s="106"/>
      <c r="K148" s="106"/>
      <c r="L148" s="106"/>
      <c r="M148" s="106"/>
      <c r="N148" s="109"/>
      <c r="O148" s="109"/>
      <c r="P148" s="31">
        <f t="shared" si="1"/>
        <v>0</v>
      </c>
      <c r="Q148" s="66"/>
      <c r="R148" s="66"/>
      <c r="S148" s="66"/>
      <c r="T148" s="66"/>
      <c r="U148" s="66"/>
    </row>
    <row r="149">
      <c r="A149" s="66"/>
      <c r="C149" s="66"/>
      <c r="D149" s="66"/>
      <c r="E149" s="66"/>
      <c r="F149" s="66"/>
      <c r="G149" s="104"/>
      <c r="H149" s="106"/>
      <c r="I149" s="106"/>
      <c r="J149" s="106"/>
      <c r="K149" s="106"/>
      <c r="L149" s="106"/>
      <c r="M149" s="106"/>
      <c r="N149" s="109"/>
      <c r="O149" s="109"/>
      <c r="P149" s="31">
        <f t="shared" si="1"/>
        <v>0</v>
      </c>
      <c r="Q149" s="66"/>
      <c r="R149" s="66"/>
      <c r="S149" s="66"/>
      <c r="T149" s="66"/>
      <c r="U149" s="66"/>
    </row>
    <row r="150">
      <c r="A150" s="66"/>
      <c r="C150" s="66"/>
      <c r="D150" s="66"/>
      <c r="E150" s="66"/>
      <c r="F150" s="66"/>
      <c r="G150" s="104"/>
      <c r="H150" s="106"/>
      <c r="I150" s="106"/>
      <c r="J150" s="106"/>
      <c r="K150" s="106"/>
      <c r="L150" s="106"/>
      <c r="M150" s="106"/>
      <c r="N150" s="109"/>
      <c r="O150" s="109"/>
      <c r="P150" s="31">
        <f t="shared" si="1"/>
        <v>0</v>
      </c>
      <c r="Q150" s="66"/>
      <c r="R150" s="66"/>
      <c r="S150" s="66"/>
      <c r="T150" s="66"/>
      <c r="U150" s="66"/>
    </row>
    <row r="151">
      <c r="A151" s="66"/>
      <c r="C151" s="66"/>
      <c r="D151" s="66"/>
      <c r="E151" s="66"/>
      <c r="F151" s="66"/>
      <c r="G151" s="104"/>
      <c r="H151" s="106"/>
      <c r="I151" s="106"/>
      <c r="J151" s="106"/>
      <c r="K151" s="106"/>
      <c r="L151" s="106"/>
      <c r="M151" s="106"/>
      <c r="N151" s="109"/>
      <c r="O151" s="109"/>
      <c r="P151" s="31">
        <f t="shared" si="1"/>
        <v>0</v>
      </c>
      <c r="Q151" s="66"/>
      <c r="R151" s="66"/>
      <c r="S151" s="66"/>
      <c r="T151" s="66"/>
      <c r="U151" s="66"/>
    </row>
    <row r="152">
      <c r="A152" s="66"/>
      <c r="C152" s="66"/>
      <c r="D152" s="66"/>
      <c r="E152" s="66"/>
      <c r="F152" s="66"/>
      <c r="G152" s="104"/>
      <c r="H152" s="106"/>
      <c r="I152" s="106"/>
      <c r="J152" s="106"/>
      <c r="K152" s="106"/>
      <c r="L152" s="106"/>
      <c r="M152" s="106"/>
      <c r="N152" s="109"/>
      <c r="O152" s="109"/>
      <c r="P152" s="31">
        <f t="shared" si="1"/>
        <v>0</v>
      </c>
      <c r="Q152" s="66"/>
      <c r="R152" s="66"/>
      <c r="S152" s="66"/>
      <c r="T152" s="66"/>
      <c r="U152" s="66"/>
    </row>
    <row r="153">
      <c r="A153" s="66"/>
      <c r="C153" s="66"/>
      <c r="D153" s="66"/>
      <c r="E153" s="66"/>
      <c r="F153" s="66"/>
      <c r="G153" s="104"/>
      <c r="H153" s="106"/>
      <c r="I153" s="106"/>
      <c r="J153" s="106"/>
      <c r="K153" s="106"/>
      <c r="L153" s="106"/>
      <c r="M153" s="106"/>
      <c r="N153" s="109"/>
      <c r="O153" s="109"/>
      <c r="P153" s="31">
        <f t="shared" si="1"/>
        <v>0</v>
      </c>
      <c r="Q153" s="66"/>
      <c r="R153" s="66"/>
      <c r="S153" s="66"/>
      <c r="T153" s="66"/>
      <c r="U153" s="66"/>
    </row>
    <row r="154">
      <c r="A154" s="66"/>
      <c r="C154" s="66"/>
      <c r="D154" s="66"/>
      <c r="E154" s="66"/>
      <c r="F154" s="66"/>
      <c r="G154" s="104"/>
      <c r="H154" s="106"/>
      <c r="I154" s="106"/>
      <c r="J154" s="106"/>
      <c r="K154" s="106"/>
      <c r="L154" s="106"/>
      <c r="M154" s="106"/>
      <c r="N154" s="109"/>
      <c r="O154" s="109"/>
      <c r="P154" s="31">
        <f t="shared" si="1"/>
        <v>0</v>
      </c>
      <c r="Q154" s="66"/>
      <c r="R154" s="66"/>
      <c r="S154" s="66"/>
      <c r="T154" s="66"/>
      <c r="U154" s="66"/>
    </row>
    <row r="155">
      <c r="A155" s="66"/>
      <c r="C155" s="66"/>
      <c r="D155" s="66"/>
      <c r="E155" s="66"/>
      <c r="F155" s="66"/>
      <c r="G155" s="104"/>
      <c r="H155" s="106"/>
      <c r="I155" s="106"/>
      <c r="J155" s="106"/>
      <c r="K155" s="106"/>
      <c r="L155" s="106"/>
      <c r="M155" s="106"/>
      <c r="N155" s="109"/>
      <c r="O155" s="109"/>
      <c r="P155" s="31">
        <f t="shared" si="1"/>
        <v>0</v>
      </c>
      <c r="Q155" s="66"/>
      <c r="R155" s="66"/>
      <c r="S155" s="66"/>
      <c r="T155" s="66"/>
      <c r="U155" s="66"/>
    </row>
    <row r="156">
      <c r="A156" s="66"/>
      <c r="C156" s="66"/>
      <c r="D156" s="66"/>
      <c r="E156" s="66"/>
      <c r="F156" s="66"/>
      <c r="G156" s="104"/>
      <c r="H156" s="106"/>
      <c r="I156" s="106"/>
      <c r="J156" s="106"/>
      <c r="K156" s="106"/>
      <c r="L156" s="106"/>
      <c r="M156" s="106"/>
      <c r="N156" s="109"/>
      <c r="O156" s="109"/>
      <c r="P156" s="31">
        <f t="shared" si="1"/>
        <v>0</v>
      </c>
      <c r="Q156" s="66"/>
      <c r="R156" s="66"/>
      <c r="S156" s="66"/>
      <c r="T156" s="66"/>
      <c r="U156" s="66"/>
    </row>
    <row r="157">
      <c r="A157" s="66"/>
      <c r="C157" s="66"/>
      <c r="D157" s="66"/>
      <c r="E157" s="66"/>
      <c r="F157" s="66"/>
      <c r="G157" s="104"/>
      <c r="H157" s="106"/>
      <c r="I157" s="106"/>
      <c r="J157" s="106"/>
      <c r="K157" s="106"/>
      <c r="L157" s="106"/>
      <c r="M157" s="106"/>
      <c r="N157" s="109"/>
      <c r="O157" s="109"/>
      <c r="P157" s="31">
        <f t="shared" si="1"/>
        <v>0</v>
      </c>
      <c r="Q157" s="66"/>
      <c r="R157" s="66"/>
      <c r="S157" s="66"/>
      <c r="T157" s="66"/>
      <c r="U157" s="66"/>
    </row>
    <row r="158">
      <c r="A158" s="66"/>
      <c r="C158" s="66"/>
      <c r="D158" s="66"/>
      <c r="E158" s="66"/>
      <c r="F158" s="66"/>
      <c r="G158" s="104"/>
      <c r="H158" s="106"/>
      <c r="I158" s="106"/>
      <c r="J158" s="106"/>
      <c r="K158" s="106"/>
      <c r="L158" s="106"/>
      <c r="M158" s="106"/>
      <c r="N158" s="109"/>
      <c r="O158" s="109"/>
      <c r="P158" s="31">
        <f t="shared" si="1"/>
        <v>0</v>
      </c>
      <c r="Q158" s="66"/>
      <c r="R158" s="66"/>
      <c r="S158" s="66"/>
      <c r="T158" s="66"/>
      <c r="U158" s="66"/>
    </row>
    <row r="159">
      <c r="A159" s="66"/>
      <c r="C159" s="66"/>
      <c r="D159" s="66"/>
      <c r="E159" s="66"/>
      <c r="F159" s="66"/>
      <c r="G159" s="104"/>
      <c r="H159" s="106"/>
      <c r="I159" s="106"/>
      <c r="J159" s="106"/>
      <c r="K159" s="106"/>
      <c r="L159" s="106"/>
      <c r="M159" s="106"/>
      <c r="N159" s="109"/>
      <c r="O159" s="109"/>
      <c r="P159" s="31">
        <f t="shared" si="1"/>
        <v>0</v>
      </c>
      <c r="Q159" s="66"/>
      <c r="R159" s="66"/>
      <c r="S159" s="66"/>
      <c r="T159" s="66"/>
      <c r="U159" s="66"/>
    </row>
    <row r="160">
      <c r="A160" s="66"/>
      <c r="C160" s="66"/>
      <c r="D160" s="66"/>
      <c r="E160" s="66"/>
      <c r="F160" s="66"/>
      <c r="G160" s="104"/>
      <c r="H160" s="106"/>
      <c r="I160" s="106"/>
      <c r="J160" s="106"/>
      <c r="K160" s="106"/>
      <c r="L160" s="106"/>
      <c r="M160" s="106"/>
      <c r="N160" s="109"/>
      <c r="O160" s="109"/>
      <c r="P160" s="109"/>
      <c r="Q160" s="66"/>
      <c r="R160" s="66"/>
      <c r="S160" s="66"/>
      <c r="T160" s="66"/>
      <c r="U160" s="66"/>
    </row>
    <row r="161">
      <c r="A161" s="66"/>
      <c r="C161" s="66"/>
      <c r="D161" s="66"/>
      <c r="E161" s="66"/>
      <c r="F161" s="66"/>
      <c r="G161" s="104"/>
      <c r="H161" s="106"/>
      <c r="I161" s="106"/>
      <c r="J161" s="106"/>
      <c r="K161" s="106"/>
      <c r="L161" s="106"/>
      <c r="M161" s="106"/>
      <c r="N161" s="109"/>
      <c r="O161" s="109"/>
      <c r="P161" s="109"/>
      <c r="Q161" s="66"/>
      <c r="R161" s="66"/>
      <c r="S161" s="66"/>
      <c r="T161" s="66"/>
      <c r="U161" s="66"/>
    </row>
    <row r="162">
      <c r="A162" s="66"/>
      <c r="C162" s="66"/>
      <c r="D162" s="66"/>
      <c r="E162" s="66"/>
      <c r="F162" s="66"/>
      <c r="G162" s="104"/>
      <c r="H162" s="106"/>
      <c r="I162" s="106"/>
      <c r="J162" s="106"/>
      <c r="K162" s="106"/>
      <c r="L162" s="106"/>
      <c r="M162" s="106"/>
      <c r="N162" s="109"/>
      <c r="O162" s="109"/>
      <c r="P162" s="109"/>
      <c r="Q162" s="66"/>
      <c r="R162" s="66"/>
      <c r="S162" s="66"/>
      <c r="T162" s="66"/>
      <c r="U162" s="66"/>
    </row>
    <row r="163">
      <c r="A163" s="66"/>
      <c r="C163" s="66"/>
      <c r="D163" s="66"/>
      <c r="E163" s="66"/>
      <c r="F163" s="66"/>
      <c r="G163" s="104"/>
      <c r="H163" s="106"/>
      <c r="I163" s="106"/>
      <c r="J163" s="106"/>
      <c r="K163" s="106"/>
      <c r="L163" s="106"/>
      <c r="M163" s="106"/>
      <c r="N163" s="109"/>
      <c r="O163" s="109"/>
      <c r="P163" s="109"/>
      <c r="Q163" s="66"/>
      <c r="R163" s="66"/>
      <c r="S163" s="66"/>
      <c r="T163" s="66"/>
      <c r="U163" s="66"/>
    </row>
    <row r="164">
      <c r="A164" s="66"/>
      <c r="C164" s="66"/>
      <c r="D164" s="66"/>
      <c r="E164" s="66"/>
      <c r="F164" s="66"/>
      <c r="G164" s="104"/>
      <c r="H164" s="106"/>
      <c r="I164" s="106"/>
      <c r="J164" s="106"/>
      <c r="K164" s="106"/>
      <c r="L164" s="106"/>
      <c r="M164" s="106"/>
      <c r="N164" s="109"/>
      <c r="O164" s="109"/>
      <c r="P164" s="109"/>
      <c r="Q164" s="66"/>
      <c r="R164" s="66"/>
      <c r="S164" s="66"/>
      <c r="T164" s="66"/>
      <c r="U164" s="66"/>
    </row>
    <row r="165">
      <c r="A165" s="66"/>
      <c r="C165" s="66"/>
      <c r="D165" s="66"/>
      <c r="E165" s="66"/>
      <c r="F165" s="66"/>
      <c r="G165" s="104"/>
      <c r="H165" s="106"/>
      <c r="I165" s="106"/>
      <c r="J165" s="106"/>
      <c r="K165" s="106"/>
      <c r="L165" s="106"/>
      <c r="M165" s="106"/>
      <c r="N165" s="109"/>
      <c r="O165" s="109"/>
      <c r="P165" s="109"/>
      <c r="Q165" s="66"/>
      <c r="R165" s="66"/>
      <c r="S165" s="66"/>
      <c r="T165" s="66"/>
      <c r="U165" s="66"/>
    </row>
    <row r="166">
      <c r="A166" s="66"/>
      <c r="C166" s="66"/>
      <c r="D166" s="66"/>
      <c r="E166" s="66"/>
      <c r="F166" s="66"/>
      <c r="G166" s="104"/>
      <c r="H166" s="106"/>
      <c r="I166" s="106"/>
      <c r="J166" s="106"/>
      <c r="K166" s="106"/>
      <c r="L166" s="106"/>
      <c r="M166" s="106"/>
      <c r="N166" s="109"/>
      <c r="O166" s="109"/>
      <c r="P166" s="109"/>
      <c r="Q166" s="66"/>
      <c r="R166" s="66"/>
      <c r="S166" s="66"/>
      <c r="T166" s="66"/>
      <c r="U166" s="66"/>
    </row>
    <row r="167">
      <c r="A167" s="66"/>
      <c r="C167" s="66"/>
      <c r="D167" s="66"/>
      <c r="E167" s="66"/>
      <c r="F167" s="66"/>
      <c r="G167" s="104"/>
      <c r="H167" s="106"/>
      <c r="I167" s="106"/>
      <c r="J167" s="106"/>
      <c r="K167" s="106"/>
      <c r="L167" s="106"/>
      <c r="M167" s="106"/>
      <c r="N167" s="109"/>
      <c r="O167" s="109"/>
      <c r="P167" s="109"/>
      <c r="Q167" s="66"/>
      <c r="R167" s="66"/>
      <c r="S167" s="66"/>
      <c r="T167" s="66"/>
      <c r="U167" s="66"/>
    </row>
    <row r="168">
      <c r="A168" s="66"/>
      <c r="C168" s="66"/>
      <c r="D168" s="66"/>
      <c r="E168" s="66"/>
      <c r="F168" s="66"/>
      <c r="G168" s="104"/>
      <c r="H168" s="106"/>
      <c r="I168" s="106"/>
      <c r="J168" s="106"/>
      <c r="K168" s="106"/>
      <c r="L168" s="106"/>
      <c r="M168" s="106"/>
      <c r="N168" s="109"/>
      <c r="O168" s="109"/>
      <c r="P168" s="109"/>
      <c r="Q168" s="66"/>
      <c r="R168" s="66"/>
      <c r="S168" s="66"/>
      <c r="T168" s="66"/>
      <c r="U168" s="66"/>
    </row>
    <row r="169">
      <c r="A169" s="66"/>
      <c r="B169" s="110"/>
      <c r="C169" s="66"/>
      <c r="D169" s="66"/>
      <c r="E169" s="66"/>
      <c r="F169" s="66"/>
      <c r="G169" s="104"/>
      <c r="H169" s="106"/>
      <c r="I169" s="106"/>
      <c r="J169" s="106"/>
      <c r="K169" s="106"/>
      <c r="L169" s="106"/>
      <c r="M169" s="106"/>
      <c r="N169" s="109"/>
      <c r="O169" s="109"/>
      <c r="P169" s="109"/>
      <c r="Q169" s="66"/>
      <c r="R169" s="66"/>
      <c r="S169" s="66"/>
      <c r="T169" s="66"/>
      <c r="U169" s="66"/>
    </row>
    <row r="170">
      <c r="A170" s="66"/>
      <c r="C170" s="66"/>
      <c r="D170" s="66"/>
      <c r="E170" s="66"/>
      <c r="F170" s="66"/>
      <c r="G170" s="104"/>
      <c r="H170" s="106"/>
      <c r="I170" s="106"/>
      <c r="J170" s="106"/>
      <c r="K170" s="106"/>
      <c r="L170" s="106"/>
      <c r="M170" s="106"/>
      <c r="N170" s="109"/>
      <c r="O170" s="109"/>
      <c r="P170" s="109"/>
      <c r="Q170" s="66"/>
      <c r="R170" s="66"/>
      <c r="S170" s="66"/>
      <c r="T170" s="66"/>
      <c r="U170" s="66"/>
    </row>
    <row r="171">
      <c r="A171" s="66"/>
      <c r="C171" s="66"/>
      <c r="D171" s="66"/>
      <c r="E171" s="66"/>
      <c r="F171" s="66"/>
      <c r="G171" s="104"/>
      <c r="H171" s="106"/>
      <c r="I171" s="106"/>
      <c r="J171" s="106"/>
      <c r="K171" s="106"/>
      <c r="L171" s="106"/>
      <c r="M171" s="106"/>
      <c r="N171" s="109"/>
      <c r="O171" s="109"/>
      <c r="P171" s="109"/>
      <c r="Q171" s="66"/>
      <c r="R171" s="66"/>
      <c r="S171" s="66"/>
      <c r="T171" s="66"/>
      <c r="U171" s="66"/>
    </row>
    <row r="172">
      <c r="A172" s="66"/>
      <c r="C172" s="66"/>
      <c r="D172" s="66"/>
      <c r="E172" s="66"/>
      <c r="F172" s="66"/>
      <c r="G172" s="104"/>
      <c r="H172" s="106"/>
      <c r="I172" s="106"/>
      <c r="J172" s="106"/>
      <c r="K172" s="106"/>
      <c r="L172" s="106"/>
      <c r="M172" s="106"/>
      <c r="N172" s="109"/>
      <c r="O172" s="109"/>
      <c r="P172" s="109"/>
      <c r="Q172" s="66"/>
      <c r="R172" s="66"/>
      <c r="S172" s="66"/>
      <c r="T172" s="66"/>
      <c r="U172" s="66"/>
    </row>
    <row r="173">
      <c r="A173" s="66"/>
      <c r="C173" s="66"/>
      <c r="D173" s="66"/>
      <c r="E173" s="66"/>
      <c r="F173" s="66"/>
      <c r="G173" s="104"/>
      <c r="H173" s="106"/>
      <c r="I173" s="106"/>
      <c r="J173" s="106"/>
      <c r="K173" s="106"/>
      <c r="L173" s="106"/>
      <c r="M173" s="106"/>
      <c r="N173" s="109"/>
      <c r="O173" s="109"/>
      <c r="P173" s="109"/>
      <c r="Q173" s="66"/>
      <c r="R173" s="66"/>
      <c r="S173" s="66"/>
      <c r="T173" s="66"/>
      <c r="U173" s="66"/>
    </row>
    <row r="174">
      <c r="A174" s="66"/>
      <c r="C174" s="66"/>
      <c r="D174" s="66"/>
      <c r="E174" s="66"/>
      <c r="F174" s="66"/>
      <c r="G174" s="104"/>
      <c r="H174" s="106"/>
      <c r="I174" s="106"/>
      <c r="J174" s="106"/>
      <c r="K174" s="106"/>
      <c r="L174" s="106"/>
      <c r="M174" s="106"/>
      <c r="N174" s="109"/>
      <c r="O174" s="109"/>
      <c r="P174" s="109"/>
      <c r="Q174" s="66"/>
      <c r="R174" s="66"/>
      <c r="S174" s="66"/>
      <c r="T174" s="66"/>
      <c r="U174" s="66"/>
    </row>
    <row r="175">
      <c r="A175" s="66"/>
      <c r="C175" s="66"/>
      <c r="D175" s="66"/>
      <c r="E175" s="66"/>
      <c r="F175" s="66"/>
      <c r="G175" s="104"/>
      <c r="H175" s="106"/>
      <c r="I175" s="106"/>
      <c r="J175" s="106"/>
      <c r="K175" s="106"/>
      <c r="L175" s="106"/>
      <c r="M175" s="106"/>
      <c r="N175" s="109"/>
      <c r="O175" s="109"/>
      <c r="P175" s="109"/>
      <c r="Q175" s="66"/>
      <c r="R175" s="66"/>
      <c r="S175" s="66"/>
      <c r="T175" s="66"/>
      <c r="U175" s="66"/>
    </row>
    <row r="176">
      <c r="A176" s="66"/>
      <c r="C176" s="66"/>
      <c r="D176" s="66"/>
      <c r="E176" s="66"/>
      <c r="F176" s="66"/>
      <c r="G176" s="104"/>
      <c r="H176" s="106"/>
      <c r="I176" s="106"/>
      <c r="J176" s="106"/>
      <c r="K176" s="106"/>
      <c r="L176" s="106"/>
      <c r="M176" s="106"/>
      <c r="N176" s="109"/>
      <c r="O176" s="109"/>
      <c r="P176" s="109"/>
      <c r="Q176" s="66"/>
      <c r="R176" s="66"/>
      <c r="S176" s="66"/>
      <c r="T176" s="66"/>
      <c r="U176" s="66"/>
    </row>
    <row r="177">
      <c r="A177" s="66"/>
      <c r="C177" s="66"/>
      <c r="D177" s="66"/>
      <c r="E177" s="66"/>
      <c r="F177" s="66"/>
      <c r="G177" s="104"/>
      <c r="H177" s="106"/>
      <c r="I177" s="106"/>
      <c r="J177" s="106"/>
      <c r="K177" s="106"/>
      <c r="L177" s="106"/>
      <c r="M177" s="106"/>
      <c r="N177" s="109"/>
      <c r="O177" s="109"/>
      <c r="P177" s="109"/>
      <c r="Q177" s="66"/>
      <c r="R177" s="66"/>
      <c r="S177" s="66"/>
      <c r="T177" s="66"/>
      <c r="U177" s="66"/>
    </row>
    <row r="178">
      <c r="A178" s="66"/>
      <c r="C178" s="66"/>
      <c r="D178" s="66"/>
      <c r="E178" s="66"/>
      <c r="F178" s="66"/>
      <c r="G178" s="104"/>
      <c r="H178" s="106"/>
      <c r="I178" s="106"/>
      <c r="J178" s="106"/>
      <c r="K178" s="106"/>
      <c r="L178" s="106"/>
      <c r="M178" s="106"/>
      <c r="N178" s="109"/>
      <c r="O178" s="109"/>
      <c r="P178" s="109"/>
      <c r="Q178" s="66"/>
      <c r="R178" s="66"/>
      <c r="S178" s="66"/>
      <c r="T178" s="66"/>
      <c r="U178" s="66"/>
    </row>
    <row r="179">
      <c r="A179" s="66"/>
      <c r="C179" s="66"/>
      <c r="D179" s="66"/>
      <c r="E179" s="66"/>
      <c r="F179" s="66"/>
      <c r="G179" s="104"/>
      <c r="H179" s="106"/>
      <c r="I179" s="106"/>
      <c r="J179" s="106"/>
      <c r="K179" s="106"/>
      <c r="L179" s="106"/>
      <c r="M179" s="106"/>
      <c r="N179" s="109"/>
      <c r="O179" s="109"/>
      <c r="P179" s="109"/>
      <c r="Q179" s="66"/>
      <c r="R179" s="66"/>
      <c r="S179" s="66"/>
      <c r="T179" s="66"/>
      <c r="U179" s="66"/>
    </row>
    <row r="180">
      <c r="A180" s="66"/>
      <c r="C180" s="66"/>
      <c r="D180" s="66"/>
      <c r="E180" s="66"/>
      <c r="F180" s="66"/>
      <c r="G180" s="104"/>
      <c r="H180" s="106"/>
      <c r="I180" s="106"/>
      <c r="J180" s="106"/>
      <c r="K180" s="106"/>
      <c r="L180" s="106"/>
      <c r="M180" s="106"/>
      <c r="N180" s="109"/>
      <c r="O180" s="109"/>
      <c r="P180" s="109"/>
      <c r="Q180" s="66"/>
      <c r="R180" s="66"/>
      <c r="S180" s="66"/>
      <c r="T180" s="66"/>
      <c r="U180" s="66"/>
    </row>
    <row r="181">
      <c r="A181" s="66"/>
      <c r="C181" s="66"/>
      <c r="D181" s="66"/>
      <c r="E181" s="66"/>
      <c r="F181" s="66"/>
      <c r="G181" s="104"/>
      <c r="H181" s="106"/>
      <c r="I181" s="106"/>
      <c r="J181" s="106"/>
      <c r="K181" s="106"/>
      <c r="L181" s="106"/>
      <c r="M181" s="106"/>
      <c r="N181" s="109"/>
      <c r="O181" s="109"/>
      <c r="P181" s="109"/>
      <c r="Q181" s="66"/>
      <c r="R181" s="66"/>
      <c r="S181" s="66"/>
      <c r="T181" s="66"/>
      <c r="U181" s="66"/>
    </row>
    <row r="182">
      <c r="A182" s="66"/>
      <c r="C182" s="66"/>
      <c r="D182" s="66"/>
      <c r="E182" s="66"/>
      <c r="F182" s="66"/>
      <c r="G182" s="104"/>
      <c r="H182" s="106"/>
      <c r="I182" s="106"/>
      <c r="J182" s="106"/>
      <c r="K182" s="106"/>
      <c r="L182" s="106"/>
      <c r="M182" s="106"/>
      <c r="N182" s="109"/>
      <c r="O182" s="109"/>
      <c r="P182" s="109"/>
      <c r="Q182" s="66"/>
      <c r="R182" s="66"/>
      <c r="S182" s="66"/>
      <c r="T182" s="66"/>
      <c r="U182" s="66"/>
    </row>
    <row r="183">
      <c r="A183" s="66"/>
      <c r="C183" s="66"/>
      <c r="D183" s="66"/>
      <c r="E183" s="66"/>
      <c r="F183" s="66"/>
      <c r="G183" s="104"/>
      <c r="H183" s="106"/>
      <c r="I183" s="106"/>
      <c r="J183" s="106"/>
      <c r="K183" s="106"/>
      <c r="L183" s="106"/>
      <c r="M183" s="106"/>
      <c r="N183" s="109"/>
      <c r="O183" s="109"/>
      <c r="P183" s="109"/>
      <c r="Q183" s="66"/>
      <c r="R183" s="66"/>
      <c r="S183" s="66"/>
      <c r="T183" s="66"/>
      <c r="U183" s="66"/>
    </row>
    <row r="184">
      <c r="A184" s="66"/>
      <c r="C184" s="66"/>
      <c r="D184" s="66"/>
      <c r="E184" s="66"/>
      <c r="F184" s="66"/>
      <c r="G184" s="104"/>
      <c r="H184" s="106"/>
      <c r="I184" s="106"/>
      <c r="J184" s="106"/>
      <c r="K184" s="106"/>
      <c r="L184" s="106"/>
      <c r="M184" s="106"/>
      <c r="N184" s="109"/>
      <c r="O184" s="109"/>
      <c r="P184" s="109"/>
      <c r="Q184" s="66"/>
      <c r="R184" s="66"/>
      <c r="S184" s="66"/>
      <c r="T184" s="66"/>
      <c r="U184" s="66"/>
    </row>
    <row r="185">
      <c r="A185" s="66"/>
      <c r="C185" s="66"/>
      <c r="D185" s="66"/>
      <c r="E185" s="66"/>
      <c r="F185" s="66"/>
      <c r="G185" s="104"/>
      <c r="H185" s="106"/>
      <c r="I185" s="106"/>
      <c r="J185" s="106"/>
      <c r="K185" s="106"/>
      <c r="L185" s="106"/>
      <c r="M185" s="106"/>
      <c r="N185" s="109"/>
      <c r="O185" s="109"/>
      <c r="P185" s="109"/>
      <c r="Q185" s="66"/>
      <c r="R185" s="66"/>
      <c r="S185" s="66"/>
      <c r="T185" s="66"/>
      <c r="U185" s="66"/>
    </row>
    <row r="186">
      <c r="A186" s="66"/>
      <c r="C186" s="66"/>
      <c r="D186" s="66"/>
      <c r="E186" s="66"/>
      <c r="F186" s="66"/>
      <c r="G186" s="104"/>
      <c r="H186" s="106"/>
      <c r="I186" s="106"/>
      <c r="J186" s="106"/>
      <c r="K186" s="106"/>
      <c r="L186" s="106"/>
      <c r="M186" s="106"/>
      <c r="N186" s="109"/>
      <c r="O186" s="109"/>
      <c r="P186" s="109"/>
      <c r="Q186" s="66"/>
      <c r="R186" s="66"/>
      <c r="S186" s="66"/>
      <c r="T186" s="66"/>
      <c r="U186" s="66"/>
    </row>
    <row r="187">
      <c r="A187" s="66"/>
      <c r="C187" s="66"/>
      <c r="D187" s="66"/>
      <c r="E187" s="66"/>
      <c r="F187" s="66"/>
      <c r="G187" s="104"/>
      <c r="H187" s="106"/>
      <c r="I187" s="106"/>
      <c r="J187" s="106"/>
      <c r="K187" s="106"/>
      <c r="L187" s="106"/>
      <c r="M187" s="106"/>
      <c r="N187" s="109"/>
      <c r="O187" s="109"/>
      <c r="P187" s="109"/>
      <c r="Q187" s="66"/>
      <c r="R187" s="66"/>
      <c r="S187" s="66"/>
      <c r="T187" s="66"/>
      <c r="U187" s="66"/>
    </row>
    <row r="188">
      <c r="A188" s="66"/>
      <c r="C188" s="66"/>
      <c r="D188" s="66"/>
      <c r="E188" s="66"/>
      <c r="F188" s="66"/>
      <c r="G188" s="104"/>
      <c r="H188" s="106"/>
      <c r="I188" s="106"/>
      <c r="J188" s="106"/>
      <c r="K188" s="106"/>
      <c r="L188" s="106"/>
      <c r="M188" s="106"/>
      <c r="N188" s="109"/>
      <c r="O188" s="109"/>
      <c r="P188" s="109"/>
      <c r="Q188" s="66"/>
      <c r="R188" s="66"/>
      <c r="S188" s="66"/>
      <c r="T188" s="66"/>
      <c r="U188" s="66"/>
    </row>
    <row r="189">
      <c r="A189" s="66"/>
      <c r="C189" s="66"/>
      <c r="D189" s="66"/>
      <c r="E189" s="66"/>
      <c r="F189" s="66"/>
      <c r="G189" s="104"/>
      <c r="H189" s="106"/>
      <c r="I189" s="106"/>
      <c r="J189" s="106"/>
      <c r="K189" s="106"/>
      <c r="L189" s="106"/>
      <c r="M189" s="106"/>
      <c r="N189" s="109"/>
      <c r="O189" s="109"/>
      <c r="P189" s="109"/>
      <c r="Q189" s="66"/>
      <c r="R189" s="66"/>
      <c r="S189" s="66"/>
      <c r="T189" s="66"/>
      <c r="U189" s="66"/>
    </row>
    <row r="190">
      <c r="A190" s="66"/>
      <c r="C190" s="66"/>
      <c r="D190" s="66"/>
      <c r="E190" s="66"/>
      <c r="F190" s="66"/>
      <c r="G190" s="104"/>
      <c r="H190" s="106"/>
      <c r="I190" s="106"/>
      <c r="J190" s="106"/>
      <c r="K190" s="106"/>
      <c r="L190" s="106"/>
      <c r="M190" s="106"/>
      <c r="N190" s="109"/>
      <c r="O190" s="109"/>
      <c r="P190" s="109"/>
      <c r="Q190" s="66"/>
      <c r="R190" s="66"/>
      <c r="S190" s="66"/>
      <c r="T190" s="66"/>
      <c r="U190" s="66"/>
    </row>
    <row r="191">
      <c r="A191" s="66"/>
      <c r="C191" s="66"/>
      <c r="D191" s="66"/>
      <c r="E191" s="66"/>
      <c r="F191" s="66"/>
      <c r="G191" s="104"/>
      <c r="H191" s="106"/>
      <c r="I191" s="106"/>
      <c r="J191" s="106"/>
      <c r="K191" s="106"/>
      <c r="L191" s="106"/>
      <c r="M191" s="106"/>
      <c r="N191" s="109"/>
      <c r="O191" s="109"/>
      <c r="P191" s="109"/>
      <c r="Q191" s="66"/>
      <c r="R191" s="66"/>
      <c r="S191" s="66"/>
      <c r="T191" s="66"/>
      <c r="U191" s="66"/>
    </row>
    <row r="192">
      <c r="A192" s="66"/>
      <c r="C192" s="66"/>
      <c r="D192" s="66"/>
      <c r="E192" s="66"/>
      <c r="F192" s="66"/>
      <c r="G192" s="104"/>
      <c r="H192" s="106"/>
      <c r="I192" s="106"/>
      <c r="J192" s="106"/>
      <c r="K192" s="106"/>
      <c r="L192" s="106"/>
      <c r="M192" s="106"/>
      <c r="N192" s="109"/>
      <c r="O192" s="109"/>
      <c r="P192" s="109"/>
      <c r="Q192" s="66"/>
      <c r="R192" s="66"/>
      <c r="S192" s="66"/>
      <c r="T192" s="66"/>
      <c r="U192" s="66"/>
    </row>
    <row r="193">
      <c r="A193" s="66"/>
      <c r="C193" s="66"/>
      <c r="D193" s="66"/>
      <c r="E193" s="66"/>
      <c r="F193" s="66"/>
      <c r="G193" s="104"/>
      <c r="H193" s="106"/>
      <c r="I193" s="106"/>
      <c r="J193" s="106"/>
      <c r="K193" s="106"/>
      <c r="L193" s="106"/>
      <c r="M193" s="106"/>
      <c r="N193" s="109"/>
      <c r="O193" s="109"/>
      <c r="P193" s="109"/>
      <c r="Q193" s="66"/>
      <c r="R193" s="66"/>
      <c r="S193" s="66"/>
      <c r="T193" s="66"/>
      <c r="U193" s="66"/>
    </row>
    <row r="194">
      <c r="A194" s="66"/>
      <c r="C194" s="66"/>
      <c r="D194" s="66"/>
      <c r="E194" s="66"/>
      <c r="F194" s="66"/>
      <c r="G194" s="104"/>
      <c r="H194" s="106"/>
      <c r="I194" s="106"/>
      <c r="J194" s="106"/>
      <c r="K194" s="106"/>
      <c r="L194" s="106"/>
      <c r="M194" s="106"/>
      <c r="N194" s="109"/>
      <c r="O194" s="109"/>
      <c r="P194" s="109"/>
      <c r="Q194" s="66"/>
      <c r="R194" s="66"/>
      <c r="S194" s="66"/>
      <c r="T194" s="66"/>
      <c r="U194" s="66"/>
    </row>
    <row r="195">
      <c r="A195" s="66"/>
      <c r="C195" s="66"/>
      <c r="D195" s="66"/>
      <c r="E195" s="66"/>
      <c r="F195" s="66"/>
      <c r="G195" s="104"/>
      <c r="H195" s="106"/>
      <c r="I195" s="106"/>
      <c r="J195" s="106"/>
      <c r="K195" s="106"/>
      <c r="L195" s="106"/>
      <c r="M195" s="106"/>
      <c r="N195" s="109"/>
      <c r="O195" s="109"/>
      <c r="P195" s="109"/>
      <c r="Q195" s="66"/>
      <c r="R195" s="66"/>
      <c r="S195" s="66"/>
      <c r="T195" s="66"/>
      <c r="U195" s="66"/>
    </row>
    <row r="196">
      <c r="A196" s="66"/>
      <c r="C196" s="66"/>
      <c r="D196" s="66"/>
      <c r="E196" s="66"/>
      <c r="F196" s="66"/>
      <c r="G196" s="104"/>
      <c r="H196" s="106"/>
      <c r="I196" s="106"/>
      <c r="J196" s="106"/>
      <c r="K196" s="106"/>
      <c r="L196" s="106"/>
      <c r="M196" s="106"/>
      <c r="N196" s="109"/>
      <c r="O196" s="109"/>
      <c r="P196" s="109"/>
      <c r="Q196" s="66"/>
      <c r="R196" s="66"/>
      <c r="S196" s="66"/>
      <c r="T196" s="66"/>
      <c r="U196" s="66"/>
    </row>
    <row r="197">
      <c r="A197" s="66"/>
      <c r="C197" s="66"/>
      <c r="D197" s="66"/>
      <c r="E197" s="66"/>
      <c r="F197" s="66"/>
      <c r="G197" s="104"/>
      <c r="H197" s="106"/>
      <c r="I197" s="106"/>
      <c r="J197" s="106"/>
      <c r="K197" s="106"/>
      <c r="L197" s="106"/>
      <c r="M197" s="106"/>
      <c r="N197" s="109"/>
      <c r="O197" s="109"/>
      <c r="P197" s="109"/>
      <c r="Q197" s="66"/>
      <c r="R197" s="66"/>
      <c r="S197" s="66"/>
      <c r="T197" s="66"/>
      <c r="U197" s="66"/>
    </row>
    <row r="198">
      <c r="A198" s="66"/>
      <c r="C198" s="66"/>
      <c r="D198" s="66"/>
      <c r="E198" s="66"/>
      <c r="F198" s="66"/>
      <c r="G198" s="104"/>
      <c r="H198" s="106"/>
      <c r="I198" s="106"/>
      <c r="J198" s="106"/>
      <c r="K198" s="106"/>
      <c r="L198" s="106"/>
      <c r="M198" s="106"/>
      <c r="N198" s="109"/>
      <c r="O198" s="109"/>
      <c r="P198" s="109"/>
      <c r="Q198" s="66"/>
      <c r="R198" s="66"/>
      <c r="S198" s="66"/>
      <c r="T198" s="66"/>
      <c r="U198" s="66"/>
    </row>
    <row r="199">
      <c r="A199" s="66"/>
      <c r="C199" s="66"/>
      <c r="D199" s="66"/>
      <c r="E199" s="66"/>
      <c r="F199" s="66"/>
      <c r="G199" s="104"/>
      <c r="H199" s="106"/>
      <c r="I199" s="106"/>
      <c r="J199" s="106"/>
      <c r="K199" s="106"/>
      <c r="L199" s="106"/>
      <c r="M199" s="106"/>
      <c r="N199" s="109"/>
      <c r="O199" s="109"/>
      <c r="P199" s="109"/>
      <c r="Q199" s="66"/>
      <c r="R199" s="66"/>
      <c r="S199" s="66"/>
      <c r="T199" s="66"/>
      <c r="U199" s="66"/>
    </row>
    <row r="200">
      <c r="A200" s="66"/>
      <c r="C200" s="66"/>
      <c r="D200" s="66"/>
      <c r="E200" s="66"/>
      <c r="F200" s="66"/>
      <c r="G200" s="104"/>
      <c r="H200" s="106"/>
      <c r="I200" s="106"/>
      <c r="J200" s="106"/>
      <c r="K200" s="106"/>
      <c r="L200" s="106"/>
      <c r="M200" s="106"/>
      <c r="N200" s="109"/>
      <c r="O200" s="109"/>
      <c r="P200" s="109"/>
      <c r="Q200" s="66"/>
      <c r="R200" s="66"/>
      <c r="S200" s="66"/>
      <c r="T200" s="66"/>
      <c r="U200" s="66"/>
    </row>
    <row r="201">
      <c r="A201" s="66"/>
      <c r="C201" s="66"/>
      <c r="D201" s="66"/>
      <c r="E201" s="66"/>
      <c r="F201" s="66"/>
      <c r="G201" s="104"/>
      <c r="H201" s="106"/>
      <c r="I201" s="106"/>
      <c r="J201" s="106"/>
      <c r="K201" s="106"/>
      <c r="L201" s="106"/>
      <c r="M201" s="106"/>
      <c r="N201" s="109"/>
      <c r="O201" s="109"/>
      <c r="P201" s="109"/>
      <c r="Q201" s="66"/>
      <c r="R201" s="66"/>
      <c r="S201" s="66"/>
      <c r="T201" s="66"/>
      <c r="U201" s="66"/>
    </row>
    <row r="202">
      <c r="A202" s="66"/>
      <c r="C202" s="66"/>
      <c r="D202" s="66"/>
      <c r="E202" s="66"/>
      <c r="F202" s="66"/>
      <c r="G202" s="104"/>
      <c r="H202" s="106"/>
      <c r="I202" s="106"/>
      <c r="J202" s="106"/>
      <c r="K202" s="106"/>
      <c r="L202" s="106"/>
      <c r="M202" s="106"/>
      <c r="N202" s="109"/>
      <c r="O202" s="109"/>
      <c r="P202" s="109"/>
      <c r="Q202" s="66"/>
      <c r="R202" s="66"/>
      <c r="S202" s="66"/>
      <c r="T202" s="66"/>
      <c r="U202" s="66"/>
    </row>
    <row r="203">
      <c r="A203" s="66"/>
      <c r="C203" s="66"/>
      <c r="D203" s="66"/>
      <c r="E203" s="66"/>
      <c r="F203" s="66"/>
      <c r="G203" s="104"/>
      <c r="H203" s="106"/>
      <c r="I203" s="106"/>
      <c r="J203" s="106"/>
      <c r="K203" s="106"/>
      <c r="L203" s="106"/>
      <c r="M203" s="106"/>
      <c r="N203" s="109"/>
      <c r="O203" s="109"/>
      <c r="P203" s="109"/>
      <c r="Q203" s="66"/>
      <c r="R203" s="66"/>
      <c r="S203" s="66"/>
      <c r="T203" s="66"/>
      <c r="U203" s="66"/>
    </row>
    <row r="204">
      <c r="A204" s="66"/>
      <c r="C204" s="66"/>
      <c r="D204" s="66"/>
      <c r="E204" s="66"/>
      <c r="F204" s="66"/>
      <c r="G204" s="104"/>
      <c r="H204" s="106"/>
      <c r="I204" s="106"/>
      <c r="J204" s="106"/>
      <c r="K204" s="106"/>
      <c r="L204" s="106"/>
      <c r="M204" s="106"/>
      <c r="N204" s="109"/>
      <c r="O204" s="109"/>
      <c r="P204" s="109"/>
      <c r="Q204" s="66"/>
      <c r="R204" s="66"/>
      <c r="S204" s="66"/>
      <c r="T204" s="66"/>
      <c r="U204" s="66"/>
    </row>
    <row r="205">
      <c r="A205" s="66"/>
      <c r="C205" s="66"/>
      <c r="D205" s="66"/>
      <c r="E205" s="66"/>
      <c r="F205" s="66"/>
      <c r="G205" s="104"/>
      <c r="H205" s="106"/>
      <c r="I205" s="106"/>
      <c r="J205" s="106"/>
      <c r="K205" s="106"/>
      <c r="L205" s="106"/>
      <c r="M205" s="106"/>
      <c r="N205" s="109"/>
      <c r="O205" s="109"/>
      <c r="P205" s="109"/>
      <c r="Q205" s="66"/>
      <c r="R205" s="66"/>
      <c r="S205" s="66"/>
      <c r="T205" s="66"/>
      <c r="U205" s="66"/>
    </row>
    <row r="206">
      <c r="A206" s="66"/>
      <c r="C206" s="66"/>
      <c r="D206" s="66"/>
      <c r="E206" s="66"/>
      <c r="F206" s="66"/>
      <c r="G206" s="104"/>
      <c r="H206" s="106"/>
      <c r="I206" s="106"/>
      <c r="J206" s="106"/>
      <c r="K206" s="106"/>
      <c r="L206" s="106"/>
      <c r="M206" s="106"/>
      <c r="N206" s="109"/>
      <c r="O206" s="109"/>
      <c r="P206" s="109"/>
      <c r="Q206" s="66"/>
      <c r="R206" s="66"/>
      <c r="S206" s="66"/>
      <c r="T206" s="66"/>
      <c r="U206" s="66"/>
    </row>
    <row r="207">
      <c r="A207" s="66"/>
      <c r="C207" s="66"/>
      <c r="D207" s="66"/>
      <c r="E207" s="66"/>
      <c r="F207" s="66"/>
      <c r="G207" s="104"/>
      <c r="H207" s="106"/>
      <c r="I207" s="106"/>
      <c r="J207" s="106"/>
      <c r="K207" s="106"/>
      <c r="L207" s="106"/>
      <c r="M207" s="106"/>
      <c r="N207" s="109"/>
      <c r="O207" s="109"/>
      <c r="P207" s="109"/>
      <c r="Q207" s="66"/>
      <c r="R207" s="66"/>
      <c r="S207" s="66"/>
      <c r="T207" s="66"/>
      <c r="U207" s="66"/>
    </row>
    <row r="208">
      <c r="N208" s="111"/>
      <c r="O208" s="111"/>
      <c r="P208" s="111"/>
    </row>
    <row r="209">
      <c r="N209" s="111"/>
      <c r="O209" s="111"/>
      <c r="P209" s="111"/>
    </row>
    <row r="210">
      <c r="N210" s="111"/>
      <c r="O210" s="111"/>
      <c r="P210" s="111"/>
    </row>
    <row r="211">
      <c r="N211" s="111"/>
      <c r="O211" s="111"/>
      <c r="P211" s="111"/>
    </row>
    <row r="212">
      <c r="N212" s="111"/>
      <c r="O212" s="111"/>
      <c r="P212" s="111"/>
    </row>
    <row r="213">
      <c r="N213" s="111"/>
      <c r="O213" s="111"/>
      <c r="P213" s="111"/>
    </row>
    <row r="214">
      <c r="N214" s="111"/>
      <c r="O214" s="111"/>
      <c r="P214" s="111"/>
    </row>
    <row r="215">
      <c r="N215" s="111"/>
      <c r="O215" s="111"/>
      <c r="P215" s="111"/>
    </row>
    <row r="216">
      <c r="N216" s="111"/>
      <c r="O216" s="111"/>
      <c r="P216" s="111"/>
    </row>
    <row r="217">
      <c r="N217" s="111"/>
      <c r="O217" s="111"/>
      <c r="P217" s="111"/>
    </row>
    <row r="218">
      <c r="N218" s="111"/>
      <c r="O218" s="111"/>
      <c r="P218" s="111"/>
    </row>
    <row r="219">
      <c r="N219" s="111"/>
      <c r="O219" s="111"/>
      <c r="P219" s="111"/>
    </row>
    <row r="220">
      <c r="N220" s="111"/>
      <c r="O220" s="111"/>
      <c r="P220" s="111"/>
    </row>
    <row r="221">
      <c r="N221" s="111"/>
      <c r="O221" s="111"/>
      <c r="P221" s="111"/>
    </row>
    <row r="222">
      <c r="N222" s="111"/>
      <c r="O222" s="111"/>
      <c r="P222" s="111"/>
    </row>
    <row r="223">
      <c r="N223" s="111"/>
      <c r="O223" s="111"/>
      <c r="P223" s="111"/>
    </row>
    <row r="224">
      <c r="N224" s="111"/>
      <c r="O224" s="111"/>
      <c r="P224" s="111"/>
    </row>
    <row r="225">
      <c r="N225" s="111"/>
      <c r="O225" s="111"/>
      <c r="P225" s="111"/>
    </row>
    <row r="226">
      <c r="N226" s="111"/>
      <c r="O226" s="111"/>
      <c r="P226" s="111"/>
    </row>
    <row r="227">
      <c r="N227" s="111"/>
      <c r="O227" s="111"/>
      <c r="P227" s="111"/>
    </row>
    <row r="228">
      <c r="N228" s="111"/>
      <c r="O228" s="111"/>
      <c r="P228" s="111"/>
    </row>
    <row r="229">
      <c r="N229" s="111"/>
      <c r="O229" s="111"/>
      <c r="P229" s="111"/>
    </row>
    <row r="230">
      <c r="N230" s="111"/>
      <c r="O230" s="111"/>
      <c r="P230" s="111"/>
    </row>
    <row r="231">
      <c r="N231" s="111"/>
      <c r="O231" s="111"/>
      <c r="P231" s="111"/>
    </row>
    <row r="232">
      <c r="N232" s="111"/>
      <c r="O232" s="111"/>
      <c r="P232" s="111"/>
    </row>
    <row r="233">
      <c r="N233" s="111"/>
      <c r="O233" s="111"/>
      <c r="P233" s="111"/>
    </row>
    <row r="234">
      <c r="N234" s="111"/>
      <c r="O234" s="111"/>
      <c r="P234" s="111"/>
    </row>
    <row r="235">
      <c r="N235" s="111"/>
      <c r="O235" s="111"/>
      <c r="P235" s="111"/>
    </row>
    <row r="236">
      <c r="N236" s="111"/>
      <c r="O236" s="111"/>
      <c r="P236" s="111"/>
    </row>
    <row r="237">
      <c r="N237" s="111"/>
      <c r="O237" s="111"/>
      <c r="P237" s="111"/>
    </row>
    <row r="238">
      <c r="N238" s="111"/>
      <c r="O238" s="111"/>
      <c r="P238" s="111"/>
    </row>
    <row r="239">
      <c r="N239" s="111"/>
      <c r="O239" s="111"/>
      <c r="P239" s="111"/>
    </row>
    <row r="240">
      <c r="N240" s="111"/>
      <c r="O240" s="111"/>
      <c r="P240" s="111"/>
    </row>
    <row r="241">
      <c r="N241" s="111"/>
      <c r="O241" s="111"/>
      <c r="P241" s="111"/>
    </row>
    <row r="242">
      <c r="N242" s="111"/>
      <c r="O242" s="111"/>
      <c r="P242" s="111"/>
    </row>
    <row r="243">
      <c r="N243" s="111"/>
      <c r="O243" s="111"/>
      <c r="P243" s="111"/>
    </row>
    <row r="244">
      <c r="N244" s="111"/>
      <c r="O244" s="111"/>
      <c r="P244" s="111"/>
    </row>
    <row r="245">
      <c r="N245" s="111"/>
      <c r="O245" s="111"/>
      <c r="P245" s="111"/>
    </row>
    <row r="246">
      <c r="N246" s="111"/>
      <c r="O246" s="111"/>
      <c r="P246" s="111"/>
    </row>
    <row r="247">
      <c r="N247" s="111"/>
      <c r="O247" s="111"/>
      <c r="P247" s="111"/>
    </row>
    <row r="248">
      <c r="N248" s="111"/>
      <c r="O248" s="111"/>
      <c r="P248" s="111"/>
    </row>
    <row r="249">
      <c r="N249" s="111"/>
      <c r="O249" s="111"/>
      <c r="P249" s="111"/>
    </row>
    <row r="250">
      <c r="N250" s="111"/>
      <c r="O250" s="111"/>
      <c r="P250" s="111"/>
    </row>
    <row r="251">
      <c r="N251" s="111"/>
      <c r="O251" s="111"/>
      <c r="P251" s="111"/>
    </row>
    <row r="252">
      <c r="N252" s="111"/>
      <c r="O252" s="111"/>
      <c r="P252" s="111"/>
    </row>
    <row r="253">
      <c r="N253" s="111"/>
      <c r="O253" s="111"/>
      <c r="P253" s="111"/>
    </row>
    <row r="254">
      <c r="N254" s="111"/>
      <c r="O254" s="111"/>
      <c r="P254" s="111"/>
    </row>
    <row r="255">
      <c r="N255" s="111"/>
      <c r="O255" s="111"/>
      <c r="P255" s="111"/>
    </row>
    <row r="256">
      <c r="N256" s="111"/>
      <c r="O256" s="111"/>
      <c r="P256" s="111"/>
    </row>
    <row r="257">
      <c r="N257" s="111"/>
      <c r="O257" s="111"/>
      <c r="P257" s="111"/>
    </row>
    <row r="258">
      <c r="N258" s="111"/>
      <c r="O258" s="111"/>
      <c r="P258" s="111"/>
    </row>
    <row r="259">
      <c r="N259" s="111"/>
      <c r="O259" s="111"/>
      <c r="P259" s="111"/>
    </row>
    <row r="260">
      <c r="N260" s="111"/>
      <c r="O260" s="111"/>
      <c r="P260" s="111"/>
    </row>
    <row r="261">
      <c r="N261" s="111"/>
      <c r="O261" s="111"/>
      <c r="P261" s="111"/>
    </row>
    <row r="262">
      <c r="N262" s="111"/>
      <c r="O262" s="111"/>
      <c r="P262" s="111"/>
    </row>
    <row r="263">
      <c r="N263" s="111"/>
      <c r="O263" s="111"/>
      <c r="P263" s="111"/>
    </row>
    <row r="264">
      <c r="N264" s="111"/>
      <c r="O264" s="111"/>
      <c r="P264" s="111"/>
    </row>
    <row r="265">
      <c r="N265" s="111"/>
      <c r="O265" s="111"/>
      <c r="P265" s="111"/>
    </row>
    <row r="266">
      <c r="N266" s="111"/>
      <c r="O266" s="111"/>
      <c r="P266" s="111"/>
    </row>
    <row r="267">
      <c r="N267" s="111"/>
      <c r="O267" s="111"/>
      <c r="P267" s="111"/>
    </row>
    <row r="268">
      <c r="N268" s="111"/>
      <c r="O268" s="111"/>
      <c r="P268" s="111"/>
    </row>
    <row r="269">
      <c r="N269" s="111"/>
      <c r="O269" s="111"/>
      <c r="P269" s="111"/>
    </row>
    <row r="270">
      <c r="N270" s="111"/>
      <c r="O270" s="111"/>
      <c r="P270" s="111"/>
    </row>
    <row r="271">
      <c r="N271" s="111"/>
      <c r="O271" s="111"/>
      <c r="P271" s="111"/>
    </row>
    <row r="272">
      <c r="N272" s="111"/>
      <c r="O272" s="111"/>
      <c r="P272" s="111"/>
    </row>
    <row r="273">
      <c r="N273" s="111"/>
      <c r="O273" s="111"/>
      <c r="P273" s="111"/>
    </row>
    <row r="274">
      <c r="N274" s="111"/>
      <c r="O274" s="111"/>
      <c r="P274" s="111"/>
    </row>
    <row r="275">
      <c r="N275" s="111"/>
      <c r="O275" s="111"/>
      <c r="P275" s="111"/>
    </row>
    <row r="276">
      <c r="N276" s="111"/>
      <c r="O276" s="111"/>
      <c r="P276" s="111"/>
    </row>
    <row r="277">
      <c r="N277" s="111"/>
      <c r="O277" s="111"/>
      <c r="P277" s="111"/>
    </row>
    <row r="278">
      <c r="N278" s="111"/>
      <c r="O278" s="111"/>
      <c r="P278" s="111"/>
    </row>
    <row r="279">
      <c r="N279" s="111"/>
      <c r="O279" s="111"/>
      <c r="P279" s="111"/>
    </row>
    <row r="280">
      <c r="N280" s="111"/>
      <c r="O280" s="111"/>
      <c r="P280" s="111"/>
    </row>
    <row r="281">
      <c r="N281" s="111"/>
      <c r="O281" s="111"/>
      <c r="P281" s="111"/>
    </row>
    <row r="282">
      <c r="N282" s="111"/>
      <c r="O282" s="111"/>
      <c r="P282" s="111"/>
    </row>
    <row r="283">
      <c r="N283" s="111"/>
      <c r="O283" s="111"/>
      <c r="P283" s="111"/>
    </row>
    <row r="284">
      <c r="N284" s="111"/>
      <c r="O284" s="111"/>
      <c r="P284" s="111"/>
    </row>
    <row r="285">
      <c r="N285" s="111"/>
      <c r="O285" s="111"/>
      <c r="P285" s="111"/>
    </row>
    <row r="286">
      <c r="N286" s="111"/>
      <c r="O286" s="111"/>
      <c r="P286" s="111"/>
    </row>
    <row r="287">
      <c r="N287" s="111"/>
      <c r="O287" s="111"/>
      <c r="P287" s="111"/>
    </row>
    <row r="288">
      <c r="N288" s="111"/>
      <c r="O288" s="111"/>
      <c r="P288" s="111"/>
    </row>
    <row r="289">
      <c r="N289" s="111"/>
      <c r="O289" s="111"/>
      <c r="P289" s="111"/>
    </row>
    <row r="290">
      <c r="N290" s="111"/>
      <c r="O290" s="111"/>
      <c r="P290" s="111"/>
    </row>
    <row r="291">
      <c r="N291" s="111"/>
      <c r="O291" s="111"/>
      <c r="P291" s="111"/>
    </row>
    <row r="292">
      <c r="N292" s="111"/>
      <c r="O292" s="111"/>
      <c r="P292" s="111"/>
    </row>
    <row r="293">
      <c r="N293" s="111"/>
      <c r="O293" s="111"/>
      <c r="P293" s="111"/>
    </row>
    <row r="294">
      <c r="N294" s="111"/>
      <c r="O294" s="111"/>
      <c r="P294" s="111"/>
    </row>
    <row r="295">
      <c r="N295" s="111"/>
      <c r="O295" s="111"/>
      <c r="P295" s="111"/>
    </row>
    <row r="296">
      <c r="N296" s="111"/>
      <c r="O296" s="111"/>
      <c r="P296" s="111"/>
    </row>
    <row r="297">
      <c r="N297" s="111"/>
      <c r="O297" s="111"/>
      <c r="P297" s="111"/>
    </row>
    <row r="298">
      <c r="N298" s="111"/>
      <c r="O298" s="111"/>
      <c r="P298" s="111"/>
    </row>
    <row r="299">
      <c r="N299" s="111"/>
      <c r="O299" s="111"/>
      <c r="P299" s="111"/>
    </row>
    <row r="300">
      <c r="N300" s="111"/>
      <c r="O300" s="111"/>
      <c r="P300" s="111"/>
    </row>
    <row r="301">
      <c r="N301" s="111"/>
      <c r="O301" s="111"/>
      <c r="P301" s="111"/>
    </row>
    <row r="302">
      <c r="N302" s="111"/>
      <c r="O302" s="111"/>
      <c r="P302" s="111"/>
    </row>
    <row r="303">
      <c r="N303" s="111"/>
      <c r="O303" s="111"/>
      <c r="P303" s="111"/>
    </row>
    <row r="304">
      <c r="N304" s="111"/>
      <c r="O304" s="111"/>
      <c r="P304" s="111"/>
    </row>
    <row r="305">
      <c r="N305" s="111"/>
      <c r="O305" s="111"/>
      <c r="P305" s="111"/>
    </row>
    <row r="306">
      <c r="N306" s="111"/>
      <c r="O306" s="111"/>
      <c r="P306" s="111"/>
    </row>
    <row r="307">
      <c r="N307" s="111"/>
      <c r="O307" s="111"/>
      <c r="P307" s="111"/>
    </row>
    <row r="308">
      <c r="N308" s="111"/>
      <c r="O308" s="111"/>
      <c r="P308" s="111"/>
    </row>
    <row r="309">
      <c r="N309" s="111"/>
      <c r="O309" s="111"/>
      <c r="P309" s="111"/>
    </row>
    <row r="310">
      <c r="N310" s="111"/>
      <c r="O310" s="111"/>
      <c r="P310" s="111"/>
    </row>
    <row r="311">
      <c r="N311" s="111"/>
      <c r="O311" s="111"/>
      <c r="P311" s="111"/>
    </row>
    <row r="312">
      <c r="N312" s="111"/>
      <c r="O312" s="111"/>
      <c r="P312" s="111"/>
    </row>
    <row r="313">
      <c r="N313" s="111"/>
      <c r="O313" s="111"/>
      <c r="P313" s="111"/>
    </row>
    <row r="314">
      <c r="N314" s="111"/>
      <c r="O314" s="111"/>
      <c r="P314" s="111"/>
    </row>
    <row r="315">
      <c r="N315" s="111"/>
      <c r="O315" s="111"/>
      <c r="P315" s="111"/>
    </row>
    <row r="316">
      <c r="N316" s="111"/>
      <c r="O316" s="111"/>
      <c r="P316" s="111"/>
    </row>
    <row r="317">
      <c r="N317" s="111"/>
      <c r="O317" s="111"/>
      <c r="P317" s="111"/>
    </row>
    <row r="318">
      <c r="N318" s="111"/>
      <c r="O318" s="111"/>
      <c r="P318" s="111"/>
    </row>
    <row r="319">
      <c r="N319" s="111"/>
      <c r="O319" s="111"/>
      <c r="P319" s="111"/>
    </row>
    <row r="320">
      <c r="N320" s="111"/>
      <c r="O320" s="111"/>
      <c r="P320" s="111"/>
    </row>
    <row r="321">
      <c r="N321" s="111"/>
      <c r="O321" s="111"/>
      <c r="P321" s="111"/>
    </row>
    <row r="322">
      <c r="N322" s="111"/>
      <c r="O322" s="111"/>
      <c r="P322" s="111"/>
    </row>
    <row r="323">
      <c r="N323" s="111"/>
      <c r="O323" s="111"/>
      <c r="P323" s="111"/>
    </row>
    <row r="324">
      <c r="N324" s="111"/>
      <c r="O324" s="111"/>
      <c r="P324" s="111"/>
    </row>
    <row r="325">
      <c r="N325" s="111"/>
      <c r="O325" s="111"/>
      <c r="P325" s="111"/>
    </row>
    <row r="326">
      <c r="N326" s="111"/>
      <c r="O326" s="111"/>
      <c r="P326" s="111"/>
    </row>
    <row r="327">
      <c r="N327" s="111"/>
      <c r="O327" s="111"/>
      <c r="P327" s="111"/>
    </row>
    <row r="328">
      <c r="N328" s="111"/>
      <c r="O328" s="111"/>
      <c r="P328" s="111"/>
    </row>
    <row r="329">
      <c r="N329" s="111"/>
      <c r="O329" s="111"/>
      <c r="P329" s="111"/>
    </row>
    <row r="330">
      <c r="N330" s="111"/>
      <c r="O330" s="111"/>
      <c r="P330" s="111"/>
    </row>
    <row r="331">
      <c r="N331" s="111"/>
      <c r="O331" s="111"/>
      <c r="P331" s="111"/>
    </row>
    <row r="332">
      <c r="N332" s="111"/>
      <c r="O332" s="111"/>
      <c r="P332" s="111"/>
    </row>
    <row r="333">
      <c r="N333" s="111"/>
      <c r="O333" s="111"/>
      <c r="P333" s="111"/>
    </row>
    <row r="334">
      <c r="N334" s="111"/>
      <c r="O334" s="111"/>
      <c r="P334" s="111"/>
    </row>
    <row r="335">
      <c r="N335" s="111"/>
      <c r="O335" s="111"/>
      <c r="P335" s="111"/>
    </row>
    <row r="336">
      <c r="N336" s="111"/>
      <c r="O336" s="111"/>
      <c r="P336" s="111"/>
    </row>
    <row r="337">
      <c r="N337" s="111"/>
      <c r="O337" s="111"/>
      <c r="P337" s="111"/>
    </row>
    <row r="338">
      <c r="N338" s="111"/>
      <c r="O338" s="111"/>
      <c r="P338" s="111"/>
    </row>
    <row r="339">
      <c r="N339" s="111"/>
      <c r="O339" s="111"/>
      <c r="P339" s="111"/>
    </row>
    <row r="340">
      <c r="N340" s="111"/>
      <c r="O340" s="111"/>
      <c r="P340" s="111"/>
    </row>
    <row r="341">
      <c r="N341" s="111"/>
      <c r="O341" s="111"/>
      <c r="P341" s="111"/>
    </row>
    <row r="342">
      <c r="N342" s="111"/>
      <c r="O342" s="111"/>
      <c r="P342" s="111"/>
    </row>
    <row r="343">
      <c r="N343" s="111"/>
      <c r="O343" s="111"/>
      <c r="P343" s="111"/>
    </row>
    <row r="344">
      <c r="N344" s="111"/>
      <c r="O344" s="111"/>
      <c r="P344" s="111"/>
    </row>
    <row r="345">
      <c r="N345" s="111"/>
      <c r="O345" s="111"/>
      <c r="P345" s="111"/>
    </row>
    <row r="346">
      <c r="N346" s="111"/>
      <c r="O346" s="111"/>
      <c r="P346" s="111"/>
    </row>
    <row r="347">
      <c r="N347" s="111"/>
      <c r="O347" s="111"/>
      <c r="P347" s="111"/>
    </row>
    <row r="348">
      <c r="N348" s="111"/>
      <c r="O348" s="111"/>
      <c r="P348" s="111"/>
    </row>
    <row r="349">
      <c r="N349" s="111"/>
      <c r="O349" s="111"/>
      <c r="P349" s="111"/>
    </row>
    <row r="350">
      <c r="N350" s="111"/>
      <c r="O350" s="111"/>
      <c r="P350" s="111"/>
    </row>
    <row r="351">
      <c r="N351" s="111"/>
      <c r="O351" s="111"/>
      <c r="P351" s="111"/>
    </row>
    <row r="352">
      <c r="N352" s="111"/>
      <c r="O352" s="111"/>
      <c r="P352" s="111"/>
    </row>
    <row r="353">
      <c r="N353" s="111"/>
      <c r="O353" s="111"/>
      <c r="P353" s="111"/>
    </row>
    <row r="354">
      <c r="N354" s="111"/>
      <c r="O354" s="111"/>
      <c r="P354" s="111"/>
    </row>
    <row r="355">
      <c r="N355" s="111"/>
      <c r="O355" s="111"/>
      <c r="P355" s="111"/>
    </row>
    <row r="356">
      <c r="N356" s="111"/>
      <c r="O356" s="111"/>
      <c r="P356" s="111"/>
    </row>
    <row r="357">
      <c r="N357" s="111"/>
      <c r="O357" s="111"/>
      <c r="P357" s="111"/>
    </row>
    <row r="358">
      <c r="N358" s="111"/>
      <c r="O358" s="111"/>
      <c r="P358" s="111"/>
    </row>
    <row r="359">
      <c r="N359" s="111"/>
      <c r="O359" s="111"/>
      <c r="P359" s="111"/>
    </row>
    <row r="360">
      <c r="N360" s="111"/>
      <c r="O360" s="111"/>
      <c r="P360" s="111"/>
    </row>
    <row r="361">
      <c r="N361" s="111"/>
      <c r="O361" s="111"/>
      <c r="P361" s="111"/>
    </row>
    <row r="362">
      <c r="N362" s="111"/>
      <c r="O362" s="111"/>
      <c r="P362" s="111"/>
    </row>
    <row r="363">
      <c r="N363" s="111"/>
      <c r="O363" s="111"/>
      <c r="P363" s="111"/>
    </row>
    <row r="364">
      <c r="N364" s="111"/>
      <c r="O364" s="111"/>
      <c r="P364" s="111"/>
    </row>
    <row r="365">
      <c r="N365" s="111"/>
      <c r="O365" s="111"/>
      <c r="P365" s="111"/>
    </row>
    <row r="366">
      <c r="N366" s="111"/>
      <c r="O366" s="111"/>
      <c r="P366" s="111"/>
    </row>
    <row r="367">
      <c r="N367" s="111"/>
      <c r="O367" s="111"/>
      <c r="P367" s="111"/>
    </row>
    <row r="368">
      <c r="N368" s="111"/>
      <c r="O368" s="111"/>
      <c r="P368" s="111"/>
    </row>
    <row r="369">
      <c r="N369" s="111"/>
      <c r="O369" s="111"/>
      <c r="P369" s="111"/>
    </row>
    <row r="370">
      <c r="N370" s="111"/>
      <c r="O370" s="111"/>
      <c r="P370" s="111"/>
    </row>
    <row r="371">
      <c r="N371" s="111"/>
      <c r="O371" s="111"/>
      <c r="P371" s="111"/>
    </row>
    <row r="372">
      <c r="N372" s="111"/>
      <c r="O372" s="111"/>
      <c r="P372" s="111"/>
    </row>
    <row r="373">
      <c r="N373" s="111"/>
      <c r="O373" s="111"/>
      <c r="P373" s="111"/>
    </row>
    <row r="374">
      <c r="N374" s="111"/>
      <c r="O374" s="111"/>
      <c r="P374" s="111"/>
    </row>
    <row r="375">
      <c r="N375" s="111"/>
      <c r="O375" s="111"/>
      <c r="P375" s="111"/>
    </row>
    <row r="376">
      <c r="N376" s="111"/>
      <c r="O376" s="111"/>
      <c r="P376" s="111"/>
    </row>
    <row r="377">
      <c r="N377" s="111"/>
      <c r="O377" s="111"/>
      <c r="P377" s="111"/>
    </row>
    <row r="378">
      <c r="N378" s="111"/>
      <c r="O378" s="111"/>
      <c r="P378" s="111"/>
    </row>
    <row r="379">
      <c r="N379" s="111"/>
      <c r="O379" s="111"/>
      <c r="P379" s="111"/>
    </row>
    <row r="380">
      <c r="N380" s="111"/>
      <c r="O380" s="111"/>
      <c r="P380" s="111"/>
    </row>
    <row r="381">
      <c r="N381" s="111"/>
      <c r="O381" s="111"/>
      <c r="P381" s="111"/>
    </row>
    <row r="382">
      <c r="N382" s="111"/>
      <c r="O382" s="111"/>
      <c r="P382" s="111"/>
    </row>
    <row r="383">
      <c r="N383" s="111"/>
      <c r="O383" s="111"/>
      <c r="P383" s="111"/>
    </row>
    <row r="384">
      <c r="N384" s="111"/>
      <c r="O384" s="111"/>
      <c r="P384" s="111"/>
    </row>
    <row r="385">
      <c r="N385" s="111"/>
      <c r="O385" s="111"/>
      <c r="P385" s="111"/>
    </row>
    <row r="386">
      <c r="N386" s="111"/>
      <c r="O386" s="111"/>
      <c r="P386" s="111"/>
    </row>
    <row r="387">
      <c r="N387" s="111"/>
      <c r="O387" s="111"/>
      <c r="P387" s="111"/>
    </row>
    <row r="388">
      <c r="N388" s="111"/>
      <c r="O388" s="111"/>
      <c r="P388" s="111"/>
    </row>
    <row r="389">
      <c r="N389" s="111"/>
      <c r="O389" s="111"/>
      <c r="P389" s="111"/>
    </row>
    <row r="390">
      <c r="N390" s="111"/>
      <c r="O390" s="111"/>
      <c r="P390" s="111"/>
    </row>
    <row r="391">
      <c r="N391" s="111"/>
      <c r="O391" s="111"/>
      <c r="P391" s="111"/>
    </row>
    <row r="392">
      <c r="N392" s="111"/>
      <c r="O392" s="111"/>
      <c r="P392" s="111"/>
    </row>
    <row r="393">
      <c r="N393" s="111"/>
      <c r="O393" s="111"/>
      <c r="P393" s="111"/>
    </row>
    <row r="394">
      <c r="N394" s="111"/>
      <c r="O394" s="111"/>
      <c r="P394" s="111"/>
    </row>
    <row r="395">
      <c r="N395" s="111"/>
      <c r="O395" s="111"/>
      <c r="P395" s="111"/>
    </row>
    <row r="396">
      <c r="N396" s="111"/>
      <c r="O396" s="111"/>
      <c r="P396" s="111"/>
    </row>
    <row r="397">
      <c r="N397" s="111"/>
      <c r="O397" s="111"/>
      <c r="P397" s="111"/>
    </row>
    <row r="398">
      <c r="N398" s="111"/>
      <c r="O398" s="111"/>
      <c r="P398" s="111"/>
    </row>
    <row r="399">
      <c r="N399" s="111"/>
      <c r="O399" s="111"/>
      <c r="P399" s="111"/>
    </row>
    <row r="400">
      <c r="N400" s="111"/>
      <c r="O400" s="111"/>
      <c r="P400" s="111"/>
    </row>
    <row r="401">
      <c r="N401" s="111"/>
      <c r="O401" s="111"/>
      <c r="P401" s="111"/>
    </row>
    <row r="402">
      <c r="N402" s="111"/>
      <c r="O402" s="111"/>
      <c r="P402" s="111"/>
    </row>
    <row r="403">
      <c r="N403" s="111"/>
      <c r="O403" s="111"/>
      <c r="P403" s="111"/>
    </row>
    <row r="404">
      <c r="N404" s="111"/>
      <c r="O404" s="111"/>
      <c r="P404" s="111"/>
    </row>
    <row r="405">
      <c r="N405" s="111"/>
      <c r="O405" s="111"/>
      <c r="P405" s="111"/>
    </row>
    <row r="406">
      <c r="N406" s="111"/>
      <c r="O406" s="111"/>
      <c r="P406" s="111"/>
    </row>
    <row r="407">
      <c r="N407" s="111"/>
      <c r="O407" s="111"/>
      <c r="P407" s="111"/>
    </row>
    <row r="408">
      <c r="N408" s="111"/>
      <c r="O408" s="111"/>
      <c r="P408" s="111"/>
    </row>
    <row r="409">
      <c r="N409" s="111"/>
      <c r="O409" s="111"/>
      <c r="P409" s="111"/>
    </row>
    <row r="410">
      <c r="N410" s="111"/>
      <c r="O410" s="111"/>
      <c r="P410" s="111"/>
    </row>
    <row r="411">
      <c r="N411" s="111"/>
      <c r="O411" s="111"/>
      <c r="P411" s="111"/>
    </row>
    <row r="412">
      <c r="N412" s="111"/>
      <c r="O412" s="111"/>
      <c r="P412" s="111"/>
    </row>
    <row r="413">
      <c r="N413" s="111"/>
      <c r="O413" s="111"/>
      <c r="P413" s="111"/>
    </row>
    <row r="414">
      <c r="N414" s="111"/>
      <c r="O414" s="111"/>
      <c r="P414" s="111"/>
    </row>
    <row r="415">
      <c r="N415" s="111"/>
      <c r="O415" s="111"/>
      <c r="P415" s="111"/>
    </row>
    <row r="416">
      <c r="N416" s="111"/>
      <c r="O416" s="111"/>
      <c r="P416" s="111"/>
    </row>
    <row r="417">
      <c r="N417" s="111"/>
      <c r="O417" s="111"/>
      <c r="P417" s="111"/>
    </row>
    <row r="418">
      <c r="N418" s="111"/>
      <c r="O418" s="111"/>
      <c r="P418" s="111"/>
    </row>
    <row r="419">
      <c r="N419" s="111"/>
      <c r="O419" s="111"/>
      <c r="P419" s="111"/>
    </row>
    <row r="420">
      <c r="N420" s="111"/>
      <c r="O420" s="111"/>
      <c r="P420" s="111"/>
    </row>
    <row r="421">
      <c r="N421" s="111"/>
      <c r="O421" s="111"/>
      <c r="P421" s="111"/>
    </row>
    <row r="422">
      <c r="N422" s="111"/>
      <c r="O422" s="111"/>
      <c r="P422" s="111"/>
    </row>
    <row r="423">
      <c r="N423" s="111"/>
      <c r="O423" s="111"/>
      <c r="P423" s="111"/>
    </row>
    <row r="424">
      <c r="N424" s="111"/>
      <c r="O424" s="111"/>
      <c r="P424" s="111"/>
    </row>
    <row r="425">
      <c r="N425" s="111"/>
      <c r="O425" s="111"/>
      <c r="P425" s="111"/>
    </row>
    <row r="426">
      <c r="N426" s="111"/>
      <c r="O426" s="111"/>
      <c r="P426" s="111"/>
    </row>
    <row r="427">
      <c r="N427" s="111"/>
      <c r="O427" s="111"/>
      <c r="P427" s="111"/>
    </row>
    <row r="428">
      <c r="N428" s="111"/>
      <c r="O428" s="111"/>
      <c r="P428" s="111"/>
    </row>
    <row r="429">
      <c r="N429" s="111"/>
      <c r="O429" s="111"/>
      <c r="P429" s="111"/>
    </row>
    <row r="430">
      <c r="N430" s="111"/>
      <c r="O430" s="111"/>
      <c r="P430" s="111"/>
    </row>
    <row r="431">
      <c r="N431" s="111"/>
      <c r="O431" s="111"/>
      <c r="P431" s="111"/>
    </row>
    <row r="432">
      <c r="N432" s="111"/>
      <c r="O432" s="111"/>
      <c r="P432" s="111"/>
    </row>
    <row r="433">
      <c r="N433" s="111"/>
      <c r="O433" s="111"/>
      <c r="P433" s="111"/>
    </row>
    <row r="434">
      <c r="N434" s="111"/>
      <c r="O434" s="111"/>
      <c r="P434" s="111"/>
    </row>
    <row r="435">
      <c r="N435" s="111"/>
      <c r="O435" s="111"/>
      <c r="P435" s="111"/>
    </row>
    <row r="436">
      <c r="N436" s="111"/>
      <c r="O436" s="111"/>
      <c r="P436" s="111"/>
    </row>
    <row r="437">
      <c r="N437" s="111"/>
      <c r="O437" s="111"/>
      <c r="P437" s="111"/>
    </row>
    <row r="438">
      <c r="N438" s="111"/>
      <c r="O438" s="111"/>
      <c r="P438" s="111"/>
    </row>
    <row r="439">
      <c r="N439" s="111"/>
      <c r="O439" s="111"/>
      <c r="P439" s="111"/>
    </row>
    <row r="440">
      <c r="N440" s="111"/>
      <c r="O440" s="111"/>
      <c r="P440" s="111"/>
    </row>
    <row r="441">
      <c r="N441" s="111"/>
      <c r="O441" s="111"/>
      <c r="P441" s="111"/>
    </row>
    <row r="442">
      <c r="N442" s="111"/>
      <c r="O442" s="111"/>
      <c r="P442" s="111"/>
    </row>
    <row r="443">
      <c r="N443" s="111"/>
      <c r="O443" s="111"/>
      <c r="P443" s="111"/>
    </row>
    <row r="444">
      <c r="N444" s="111"/>
      <c r="O444" s="111"/>
      <c r="P444" s="111"/>
    </row>
    <row r="445">
      <c r="N445" s="111"/>
      <c r="O445" s="111"/>
      <c r="P445" s="111"/>
    </row>
    <row r="446">
      <c r="N446" s="111"/>
      <c r="O446" s="111"/>
      <c r="P446" s="111"/>
    </row>
    <row r="447">
      <c r="N447" s="111"/>
      <c r="O447" s="111"/>
      <c r="P447" s="111"/>
    </row>
    <row r="448">
      <c r="N448" s="111"/>
      <c r="O448" s="111"/>
      <c r="P448" s="111"/>
    </row>
    <row r="449">
      <c r="N449" s="111"/>
      <c r="O449" s="111"/>
      <c r="P449" s="111"/>
    </row>
    <row r="450">
      <c r="N450" s="111"/>
      <c r="O450" s="111"/>
      <c r="P450" s="111"/>
    </row>
    <row r="451">
      <c r="N451" s="111"/>
      <c r="O451" s="111"/>
      <c r="P451" s="111"/>
    </row>
    <row r="452">
      <c r="N452" s="111"/>
      <c r="O452" s="111"/>
      <c r="P452" s="111"/>
    </row>
    <row r="453">
      <c r="N453" s="111"/>
      <c r="O453" s="111"/>
      <c r="P453" s="111"/>
    </row>
    <row r="454">
      <c r="N454" s="111"/>
      <c r="O454" s="111"/>
      <c r="P454" s="111"/>
    </row>
    <row r="455">
      <c r="N455" s="111"/>
      <c r="O455" s="111"/>
      <c r="P455" s="111"/>
    </row>
    <row r="456">
      <c r="N456" s="111"/>
      <c r="O456" s="111"/>
      <c r="P456" s="111"/>
    </row>
    <row r="457">
      <c r="N457" s="111"/>
      <c r="O457" s="111"/>
      <c r="P457" s="111"/>
    </row>
    <row r="458">
      <c r="N458" s="111"/>
      <c r="O458" s="111"/>
      <c r="P458" s="111"/>
    </row>
    <row r="459">
      <c r="N459" s="111"/>
      <c r="O459" s="111"/>
      <c r="P459" s="111"/>
    </row>
    <row r="460">
      <c r="N460" s="111"/>
      <c r="O460" s="111"/>
      <c r="P460" s="111"/>
    </row>
    <row r="461">
      <c r="N461" s="111"/>
      <c r="O461" s="111"/>
      <c r="P461" s="111"/>
    </row>
    <row r="462">
      <c r="N462" s="111"/>
      <c r="O462" s="111"/>
      <c r="P462" s="111"/>
    </row>
    <row r="463">
      <c r="N463" s="111"/>
      <c r="O463" s="111"/>
      <c r="P463" s="111"/>
    </row>
    <row r="464">
      <c r="N464" s="111"/>
      <c r="O464" s="111"/>
      <c r="P464" s="111"/>
    </row>
    <row r="465">
      <c r="N465" s="111"/>
      <c r="O465" s="111"/>
      <c r="P465" s="111"/>
    </row>
    <row r="466">
      <c r="N466" s="111"/>
      <c r="O466" s="111"/>
      <c r="P466" s="111"/>
    </row>
    <row r="467">
      <c r="N467" s="111"/>
      <c r="O467" s="111"/>
      <c r="P467" s="111"/>
    </row>
    <row r="468">
      <c r="N468" s="111"/>
      <c r="O468" s="111"/>
      <c r="P468" s="111"/>
    </row>
    <row r="469">
      <c r="N469" s="111"/>
      <c r="O469" s="111"/>
      <c r="P469" s="111"/>
    </row>
    <row r="470">
      <c r="N470" s="111"/>
      <c r="O470" s="111"/>
      <c r="P470" s="111"/>
    </row>
    <row r="471">
      <c r="N471" s="111"/>
      <c r="O471" s="111"/>
      <c r="P471" s="111"/>
    </row>
    <row r="472">
      <c r="N472" s="111"/>
      <c r="O472" s="111"/>
      <c r="P472" s="111"/>
    </row>
    <row r="473">
      <c r="N473" s="111"/>
      <c r="O473" s="111"/>
      <c r="P473" s="111"/>
    </row>
    <row r="474">
      <c r="N474" s="111"/>
      <c r="O474" s="111"/>
      <c r="P474" s="111"/>
    </row>
    <row r="475">
      <c r="N475" s="111"/>
      <c r="O475" s="111"/>
      <c r="P475" s="111"/>
    </row>
    <row r="476">
      <c r="N476" s="111"/>
      <c r="O476" s="111"/>
      <c r="P476" s="111"/>
    </row>
    <row r="477">
      <c r="N477" s="111"/>
      <c r="O477" s="111"/>
      <c r="P477" s="111"/>
    </row>
    <row r="478">
      <c r="N478" s="111"/>
      <c r="O478" s="111"/>
      <c r="P478" s="111"/>
    </row>
    <row r="479">
      <c r="N479" s="111"/>
      <c r="O479" s="111"/>
      <c r="P479" s="111"/>
    </row>
    <row r="480">
      <c r="N480" s="111"/>
      <c r="O480" s="111"/>
      <c r="P480" s="111"/>
    </row>
    <row r="481">
      <c r="N481" s="111"/>
      <c r="O481" s="111"/>
      <c r="P481" s="111"/>
    </row>
    <row r="482">
      <c r="N482" s="111"/>
      <c r="O482" s="111"/>
      <c r="P482" s="111"/>
    </row>
    <row r="483">
      <c r="N483" s="111"/>
      <c r="O483" s="111"/>
      <c r="P483" s="111"/>
    </row>
    <row r="484">
      <c r="N484" s="111"/>
      <c r="O484" s="111"/>
      <c r="P484" s="111"/>
    </row>
    <row r="485">
      <c r="N485" s="111"/>
      <c r="O485" s="111"/>
      <c r="P485" s="111"/>
    </row>
    <row r="486">
      <c r="N486" s="111"/>
      <c r="O486" s="111"/>
      <c r="P486" s="111"/>
    </row>
    <row r="487">
      <c r="N487" s="111"/>
      <c r="O487" s="111"/>
      <c r="P487" s="111"/>
    </row>
    <row r="488">
      <c r="N488" s="111"/>
      <c r="O488" s="111"/>
      <c r="P488" s="111"/>
    </row>
    <row r="489">
      <c r="N489" s="111"/>
      <c r="O489" s="111"/>
      <c r="P489" s="111"/>
    </row>
    <row r="490">
      <c r="N490" s="111"/>
      <c r="O490" s="111"/>
      <c r="P490" s="111"/>
    </row>
    <row r="491">
      <c r="N491" s="111"/>
      <c r="O491" s="111"/>
      <c r="P491" s="111"/>
    </row>
    <row r="492">
      <c r="N492" s="111"/>
      <c r="O492" s="111"/>
      <c r="P492" s="111"/>
    </row>
    <row r="493">
      <c r="N493" s="111"/>
      <c r="O493" s="111"/>
      <c r="P493" s="111"/>
    </row>
    <row r="494">
      <c r="N494" s="111"/>
      <c r="O494" s="111"/>
      <c r="P494" s="111"/>
    </row>
    <row r="495">
      <c r="N495" s="111"/>
      <c r="O495" s="111"/>
      <c r="P495" s="111"/>
    </row>
    <row r="496">
      <c r="N496" s="111"/>
      <c r="O496" s="111"/>
      <c r="P496" s="111"/>
    </row>
    <row r="497">
      <c r="N497" s="111"/>
      <c r="O497" s="111"/>
      <c r="P497" s="111"/>
    </row>
    <row r="498">
      <c r="N498" s="111"/>
      <c r="O498" s="111"/>
      <c r="P498" s="111"/>
    </row>
    <row r="499">
      <c r="N499" s="111"/>
      <c r="O499" s="111"/>
      <c r="P499" s="111"/>
    </row>
    <row r="500">
      <c r="N500" s="111"/>
      <c r="O500" s="111"/>
      <c r="P500" s="111"/>
    </row>
    <row r="501">
      <c r="N501" s="111"/>
      <c r="O501" s="111"/>
      <c r="P501" s="111"/>
    </row>
    <row r="502">
      <c r="N502" s="111"/>
      <c r="O502" s="111"/>
      <c r="P502" s="111"/>
    </row>
    <row r="503">
      <c r="N503" s="111"/>
      <c r="O503" s="111"/>
      <c r="P503" s="111"/>
    </row>
    <row r="504">
      <c r="N504" s="111"/>
      <c r="O504" s="111"/>
      <c r="P504" s="111"/>
    </row>
    <row r="505">
      <c r="N505" s="111"/>
      <c r="O505" s="111"/>
      <c r="P505" s="111"/>
    </row>
    <row r="506">
      <c r="N506" s="111"/>
      <c r="O506" s="111"/>
      <c r="P506" s="111"/>
    </row>
    <row r="507">
      <c r="N507" s="111"/>
      <c r="O507" s="111"/>
      <c r="P507" s="111"/>
    </row>
    <row r="508">
      <c r="N508" s="111"/>
      <c r="O508" s="111"/>
      <c r="P508" s="111"/>
    </row>
    <row r="509">
      <c r="N509" s="111"/>
      <c r="O509" s="111"/>
      <c r="P509" s="111"/>
    </row>
    <row r="510">
      <c r="N510" s="111"/>
      <c r="O510" s="111"/>
      <c r="P510" s="111"/>
    </row>
    <row r="511">
      <c r="N511" s="111"/>
      <c r="O511" s="111"/>
      <c r="P511" s="111"/>
    </row>
    <row r="512">
      <c r="N512" s="111"/>
      <c r="O512" s="111"/>
      <c r="P512" s="111"/>
    </row>
    <row r="513">
      <c r="N513" s="111"/>
      <c r="O513" s="111"/>
      <c r="P513" s="111"/>
    </row>
    <row r="514">
      <c r="N514" s="111"/>
      <c r="O514" s="111"/>
      <c r="P514" s="111"/>
    </row>
    <row r="515">
      <c r="N515" s="111"/>
      <c r="O515" s="111"/>
      <c r="P515" s="111"/>
    </row>
    <row r="516">
      <c r="N516" s="111"/>
      <c r="O516" s="111"/>
      <c r="P516" s="111"/>
    </row>
    <row r="517">
      <c r="N517" s="111"/>
      <c r="O517" s="111"/>
      <c r="P517" s="111"/>
    </row>
    <row r="518">
      <c r="N518" s="111"/>
      <c r="O518" s="111"/>
      <c r="P518" s="111"/>
    </row>
    <row r="519">
      <c r="N519" s="111"/>
      <c r="O519" s="111"/>
      <c r="P519" s="111"/>
    </row>
    <row r="520">
      <c r="N520" s="111"/>
      <c r="O520" s="111"/>
      <c r="P520" s="111"/>
    </row>
    <row r="521">
      <c r="N521" s="111"/>
      <c r="O521" s="111"/>
      <c r="P521" s="111"/>
    </row>
    <row r="522">
      <c r="N522" s="111"/>
      <c r="O522" s="111"/>
      <c r="P522" s="111"/>
    </row>
    <row r="523">
      <c r="N523" s="111"/>
      <c r="O523" s="111"/>
      <c r="P523" s="111"/>
    </row>
    <row r="524">
      <c r="N524" s="111"/>
      <c r="O524" s="111"/>
      <c r="P524" s="111"/>
    </row>
    <row r="525">
      <c r="N525" s="111"/>
      <c r="O525" s="111"/>
      <c r="P525" s="111"/>
    </row>
    <row r="526">
      <c r="N526" s="111"/>
      <c r="O526" s="111"/>
      <c r="P526" s="111"/>
    </row>
    <row r="527">
      <c r="N527" s="111"/>
      <c r="O527" s="111"/>
      <c r="P527" s="111"/>
    </row>
    <row r="528">
      <c r="N528" s="111"/>
      <c r="O528" s="111"/>
      <c r="P528" s="111"/>
    </row>
    <row r="529">
      <c r="N529" s="111"/>
      <c r="O529" s="111"/>
      <c r="P529" s="111"/>
    </row>
    <row r="530">
      <c r="N530" s="111"/>
      <c r="O530" s="111"/>
      <c r="P530" s="111"/>
    </row>
    <row r="531">
      <c r="N531" s="111"/>
      <c r="O531" s="111"/>
      <c r="P531" s="111"/>
    </row>
    <row r="532">
      <c r="N532" s="111"/>
      <c r="O532" s="111"/>
      <c r="P532" s="111"/>
    </row>
    <row r="533">
      <c r="N533" s="111"/>
      <c r="O533" s="111"/>
      <c r="P533" s="111"/>
    </row>
    <row r="534">
      <c r="N534" s="111"/>
      <c r="O534" s="111"/>
      <c r="P534" s="111"/>
    </row>
    <row r="535">
      <c r="N535" s="111"/>
      <c r="O535" s="111"/>
      <c r="P535" s="111"/>
    </row>
    <row r="536">
      <c r="N536" s="111"/>
      <c r="O536" s="111"/>
      <c r="P536" s="111"/>
    </row>
    <row r="537">
      <c r="N537" s="111"/>
      <c r="O537" s="111"/>
      <c r="P537" s="111"/>
    </row>
    <row r="538">
      <c r="N538" s="111"/>
      <c r="O538" s="111"/>
      <c r="P538" s="111"/>
    </row>
    <row r="539">
      <c r="N539" s="111"/>
      <c r="O539" s="111"/>
      <c r="P539" s="111"/>
    </row>
    <row r="540">
      <c r="N540" s="111"/>
      <c r="O540" s="111"/>
      <c r="P540" s="111"/>
    </row>
    <row r="541">
      <c r="N541" s="111"/>
      <c r="O541" s="111"/>
      <c r="P541" s="111"/>
    </row>
    <row r="542">
      <c r="N542" s="111"/>
      <c r="O542" s="111"/>
      <c r="P542" s="111"/>
    </row>
    <row r="543">
      <c r="N543" s="111"/>
      <c r="O543" s="111"/>
      <c r="P543" s="111"/>
    </row>
    <row r="544">
      <c r="N544" s="111"/>
      <c r="O544" s="111"/>
      <c r="P544" s="111"/>
    </row>
    <row r="545">
      <c r="N545" s="111"/>
      <c r="O545" s="111"/>
      <c r="P545" s="111"/>
    </row>
    <row r="546">
      <c r="N546" s="111"/>
      <c r="O546" s="111"/>
      <c r="P546" s="111"/>
    </row>
    <row r="547">
      <c r="N547" s="111"/>
      <c r="O547" s="111"/>
      <c r="P547" s="111"/>
    </row>
    <row r="548">
      <c r="N548" s="111"/>
      <c r="O548" s="111"/>
      <c r="P548" s="111"/>
    </row>
    <row r="549">
      <c r="N549" s="111"/>
      <c r="O549" s="111"/>
      <c r="P549" s="111"/>
    </row>
    <row r="550">
      <c r="N550" s="111"/>
      <c r="O550" s="111"/>
      <c r="P550" s="111"/>
    </row>
    <row r="551">
      <c r="N551" s="111"/>
      <c r="O551" s="111"/>
      <c r="P551" s="111"/>
    </row>
    <row r="552">
      <c r="N552" s="111"/>
      <c r="O552" s="111"/>
      <c r="P552" s="111"/>
    </row>
    <row r="553">
      <c r="N553" s="111"/>
      <c r="O553" s="111"/>
      <c r="P553" s="111"/>
    </row>
    <row r="554">
      <c r="N554" s="111"/>
      <c r="O554" s="111"/>
      <c r="P554" s="111"/>
    </row>
    <row r="555">
      <c r="N555" s="111"/>
      <c r="O555" s="111"/>
      <c r="P555" s="111"/>
    </row>
    <row r="556">
      <c r="N556" s="111"/>
      <c r="O556" s="111"/>
      <c r="P556" s="111"/>
    </row>
    <row r="557">
      <c r="N557" s="111"/>
      <c r="O557" s="111"/>
      <c r="P557" s="111"/>
    </row>
    <row r="558">
      <c r="N558" s="111"/>
      <c r="O558" s="111"/>
      <c r="P558" s="111"/>
    </row>
    <row r="559">
      <c r="N559" s="111"/>
      <c r="O559" s="111"/>
      <c r="P559" s="111"/>
    </row>
    <row r="560">
      <c r="N560" s="111"/>
      <c r="O560" s="111"/>
      <c r="P560" s="111"/>
    </row>
    <row r="561">
      <c r="N561" s="111"/>
      <c r="O561" s="111"/>
      <c r="P561" s="111"/>
    </row>
    <row r="562">
      <c r="N562" s="111"/>
      <c r="O562" s="111"/>
      <c r="P562" s="111"/>
    </row>
    <row r="563">
      <c r="N563" s="111"/>
      <c r="O563" s="111"/>
      <c r="P563" s="111"/>
    </row>
    <row r="564">
      <c r="N564" s="111"/>
      <c r="O564" s="111"/>
      <c r="P564" s="111"/>
    </row>
    <row r="565">
      <c r="N565" s="111"/>
      <c r="O565" s="111"/>
      <c r="P565" s="111"/>
    </row>
    <row r="566">
      <c r="N566" s="111"/>
      <c r="O566" s="111"/>
      <c r="P566" s="111"/>
    </row>
    <row r="567">
      <c r="N567" s="111"/>
      <c r="O567" s="111"/>
      <c r="P567" s="111"/>
    </row>
    <row r="568">
      <c r="N568" s="111"/>
      <c r="O568" s="111"/>
      <c r="P568" s="111"/>
    </row>
    <row r="569">
      <c r="N569" s="111"/>
      <c r="O569" s="111"/>
      <c r="P569" s="111"/>
    </row>
    <row r="570">
      <c r="N570" s="111"/>
      <c r="O570" s="111"/>
      <c r="P570" s="111"/>
    </row>
    <row r="571">
      <c r="N571" s="111"/>
      <c r="O571" s="111"/>
      <c r="P571" s="111"/>
    </row>
    <row r="572">
      <c r="N572" s="111"/>
      <c r="O572" s="111"/>
      <c r="P572" s="111"/>
    </row>
    <row r="573">
      <c r="N573" s="111"/>
      <c r="O573" s="111"/>
      <c r="P573" s="111"/>
    </row>
    <row r="574">
      <c r="N574" s="111"/>
      <c r="O574" s="111"/>
      <c r="P574" s="111"/>
    </row>
    <row r="575">
      <c r="N575" s="111"/>
      <c r="O575" s="111"/>
      <c r="P575" s="111"/>
    </row>
    <row r="576">
      <c r="N576" s="111"/>
      <c r="O576" s="111"/>
      <c r="P576" s="111"/>
    </row>
    <row r="577">
      <c r="N577" s="111"/>
      <c r="O577" s="111"/>
      <c r="P577" s="111"/>
    </row>
    <row r="578">
      <c r="N578" s="111"/>
      <c r="O578" s="111"/>
      <c r="P578" s="111"/>
    </row>
    <row r="579">
      <c r="N579" s="111"/>
      <c r="O579" s="111"/>
      <c r="P579" s="111"/>
    </row>
    <row r="580">
      <c r="N580" s="111"/>
      <c r="O580" s="111"/>
      <c r="P580" s="111"/>
    </row>
    <row r="581">
      <c r="N581" s="111"/>
      <c r="O581" s="111"/>
      <c r="P581" s="111"/>
    </row>
    <row r="582">
      <c r="N582" s="111"/>
      <c r="O582" s="111"/>
      <c r="P582" s="111"/>
    </row>
    <row r="583">
      <c r="N583" s="111"/>
      <c r="O583" s="111"/>
      <c r="P583" s="111"/>
    </row>
    <row r="584">
      <c r="N584" s="111"/>
      <c r="O584" s="111"/>
      <c r="P584" s="111"/>
    </row>
    <row r="585">
      <c r="N585" s="111"/>
      <c r="O585" s="111"/>
      <c r="P585" s="111"/>
    </row>
    <row r="586">
      <c r="N586" s="111"/>
      <c r="O586" s="111"/>
      <c r="P586" s="111"/>
    </row>
    <row r="587">
      <c r="N587" s="111"/>
      <c r="O587" s="111"/>
      <c r="P587" s="111"/>
    </row>
    <row r="588">
      <c r="N588" s="111"/>
      <c r="O588" s="111"/>
      <c r="P588" s="111"/>
    </row>
    <row r="589">
      <c r="N589" s="111"/>
      <c r="O589" s="111"/>
      <c r="P589" s="111"/>
    </row>
    <row r="590">
      <c r="N590" s="111"/>
      <c r="O590" s="111"/>
      <c r="P590" s="111"/>
    </row>
    <row r="591">
      <c r="N591" s="111"/>
      <c r="O591" s="111"/>
      <c r="P591" s="111"/>
    </row>
    <row r="592">
      <c r="N592" s="111"/>
      <c r="O592" s="111"/>
      <c r="P592" s="111"/>
    </row>
    <row r="593">
      <c r="N593" s="111"/>
      <c r="O593" s="111"/>
      <c r="P593" s="111"/>
    </row>
    <row r="594">
      <c r="N594" s="111"/>
      <c r="O594" s="111"/>
      <c r="P594" s="111"/>
    </row>
    <row r="595">
      <c r="N595" s="111"/>
      <c r="O595" s="111"/>
      <c r="P595" s="111"/>
    </row>
    <row r="596">
      <c r="N596" s="111"/>
      <c r="O596" s="111"/>
      <c r="P596" s="111"/>
    </row>
    <row r="597">
      <c r="N597" s="111"/>
      <c r="O597" s="111"/>
      <c r="P597" s="111"/>
    </row>
    <row r="598">
      <c r="N598" s="111"/>
      <c r="O598" s="111"/>
      <c r="P598" s="111"/>
    </row>
    <row r="599">
      <c r="N599" s="111"/>
      <c r="O599" s="111"/>
      <c r="P599" s="111"/>
    </row>
    <row r="600">
      <c r="N600" s="111"/>
      <c r="O600" s="111"/>
      <c r="P600" s="111"/>
    </row>
    <row r="601">
      <c r="N601" s="111"/>
      <c r="O601" s="111"/>
      <c r="P601" s="111"/>
    </row>
    <row r="602">
      <c r="N602" s="111"/>
      <c r="O602" s="111"/>
      <c r="P602" s="111"/>
    </row>
    <row r="603">
      <c r="N603" s="111"/>
      <c r="O603" s="111"/>
      <c r="P603" s="111"/>
    </row>
    <row r="604">
      <c r="N604" s="111"/>
      <c r="O604" s="111"/>
      <c r="P604" s="111"/>
    </row>
    <row r="605">
      <c r="N605" s="111"/>
      <c r="O605" s="111"/>
      <c r="P605" s="111"/>
    </row>
    <row r="606">
      <c r="N606" s="111"/>
      <c r="O606" s="111"/>
      <c r="P606" s="111"/>
    </row>
    <row r="607">
      <c r="N607" s="111"/>
      <c r="O607" s="111"/>
      <c r="P607" s="111"/>
    </row>
    <row r="608">
      <c r="N608" s="111"/>
      <c r="O608" s="111"/>
      <c r="P608" s="111"/>
    </row>
    <row r="609">
      <c r="N609" s="111"/>
      <c r="O609" s="111"/>
      <c r="P609" s="111"/>
    </row>
    <row r="610">
      <c r="N610" s="111"/>
      <c r="O610" s="111"/>
      <c r="P610" s="111"/>
    </row>
    <row r="611">
      <c r="N611" s="111"/>
      <c r="O611" s="111"/>
      <c r="P611" s="111"/>
    </row>
    <row r="612">
      <c r="N612" s="111"/>
      <c r="O612" s="111"/>
      <c r="P612" s="111"/>
    </row>
    <row r="613">
      <c r="N613" s="111"/>
      <c r="O613" s="111"/>
      <c r="P613" s="111"/>
    </row>
    <row r="614">
      <c r="N614" s="111"/>
      <c r="O614" s="111"/>
      <c r="P614" s="111"/>
    </row>
    <row r="615">
      <c r="N615" s="111"/>
      <c r="O615" s="111"/>
      <c r="P615" s="111"/>
    </row>
    <row r="616">
      <c r="N616" s="111"/>
      <c r="O616" s="111"/>
      <c r="P616" s="111"/>
    </row>
    <row r="617">
      <c r="N617" s="111"/>
      <c r="O617" s="111"/>
      <c r="P617" s="111"/>
    </row>
    <row r="618">
      <c r="N618" s="111"/>
      <c r="O618" s="111"/>
      <c r="P618" s="111"/>
    </row>
    <row r="619">
      <c r="N619" s="111"/>
      <c r="O619" s="111"/>
      <c r="P619" s="111"/>
    </row>
    <row r="620">
      <c r="N620" s="111"/>
      <c r="O620" s="111"/>
      <c r="P620" s="111"/>
    </row>
    <row r="621">
      <c r="N621" s="111"/>
      <c r="O621" s="111"/>
      <c r="P621" s="111"/>
    </row>
    <row r="622">
      <c r="N622" s="111"/>
      <c r="O622" s="111"/>
      <c r="P622" s="111"/>
    </row>
    <row r="623">
      <c r="N623" s="111"/>
      <c r="O623" s="111"/>
      <c r="P623" s="111"/>
    </row>
    <row r="624">
      <c r="N624" s="111"/>
      <c r="O624" s="111"/>
      <c r="P624" s="111"/>
    </row>
    <row r="625">
      <c r="N625" s="111"/>
      <c r="O625" s="111"/>
      <c r="P625" s="111"/>
    </row>
    <row r="626">
      <c r="N626" s="111"/>
      <c r="O626" s="111"/>
      <c r="P626" s="111"/>
    </row>
    <row r="627">
      <c r="N627" s="111"/>
      <c r="O627" s="111"/>
      <c r="P627" s="111"/>
    </row>
    <row r="628">
      <c r="N628" s="111"/>
      <c r="O628" s="111"/>
      <c r="P628" s="111"/>
    </row>
    <row r="629">
      <c r="N629" s="111"/>
      <c r="O629" s="111"/>
      <c r="P629" s="111"/>
    </row>
    <row r="630">
      <c r="N630" s="111"/>
      <c r="O630" s="111"/>
      <c r="P630" s="111"/>
    </row>
    <row r="631">
      <c r="N631" s="111"/>
      <c r="O631" s="111"/>
      <c r="P631" s="111"/>
    </row>
    <row r="632">
      <c r="N632" s="111"/>
      <c r="O632" s="111"/>
      <c r="P632" s="111"/>
    </row>
    <row r="633">
      <c r="N633" s="111"/>
      <c r="O633" s="111"/>
      <c r="P633" s="111"/>
    </row>
    <row r="634">
      <c r="N634" s="111"/>
      <c r="O634" s="111"/>
      <c r="P634" s="111"/>
    </row>
    <row r="635">
      <c r="N635" s="111"/>
      <c r="O635" s="111"/>
      <c r="P635" s="111"/>
    </row>
    <row r="636">
      <c r="N636" s="111"/>
      <c r="O636" s="111"/>
      <c r="P636" s="111"/>
    </row>
    <row r="637">
      <c r="N637" s="111"/>
      <c r="O637" s="111"/>
      <c r="P637" s="111"/>
    </row>
    <row r="638">
      <c r="N638" s="111"/>
      <c r="O638" s="111"/>
      <c r="P638" s="111"/>
    </row>
    <row r="639">
      <c r="N639" s="111"/>
      <c r="O639" s="111"/>
      <c r="P639" s="111"/>
    </row>
    <row r="640">
      <c r="N640" s="111"/>
      <c r="O640" s="111"/>
      <c r="P640" s="111"/>
    </row>
    <row r="641">
      <c r="N641" s="111"/>
      <c r="O641" s="111"/>
      <c r="P641" s="111"/>
    </row>
    <row r="642">
      <c r="N642" s="111"/>
      <c r="O642" s="111"/>
      <c r="P642" s="111"/>
    </row>
    <row r="643">
      <c r="N643" s="111"/>
      <c r="O643" s="111"/>
      <c r="P643" s="111"/>
    </row>
    <row r="644">
      <c r="N644" s="111"/>
      <c r="O644" s="111"/>
      <c r="P644" s="111"/>
    </row>
    <row r="645">
      <c r="N645" s="111"/>
      <c r="O645" s="111"/>
      <c r="P645" s="111"/>
    </row>
    <row r="646">
      <c r="N646" s="111"/>
      <c r="O646" s="111"/>
      <c r="P646" s="111"/>
    </row>
    <row r="647">
      <c r="N647" s="111"/>
      <c r="O647" s="111"/>
      <c r="P647" s="111"/>
    </row>
    <row r="648">
      <c r="N648" s="111"/>
      <c r="O648" s="111"/>
      <c r="P648" s="111"/>
    </row>
    <row r="649">
      <c r="N649" s="111"/>
      <c r="O649" s="111"/>
      <c r="P649" s="111"/>
    </row>
    <row r="650">
      <c r="N650" s="111"/>
      <c r="O650" s="111"/>
      <c r="P650" s="111"/>
    </row>
    <row r="651">
      <c r="N651" s="111"/>
      <c r="O651" s="111"/>
      <c r="P651" s="111"/>
    </row>
    <row r="652">
      <c r="N652" s="111"/>
      <c r="O652" s="111"/>
      <c r="P652" s="111"/>
    </row>
    <row r="653">
      <c r="N653" s="111"/>
      <c r="O653" s="111"/>
      <c r="P653" s="111"/>
    </row>
    <row r="654">
      <c r="N654" s="111"/>
      <c r="O654" s="111"/>
      <c r="P654" s="111"/>
    </row>
    <row r="655">
      <c r="N655" s="111"/>
      <c r="O655" s="111"/>
      <c r="P655" s="111"/>
    </row>
    <row r="656">
      <c r="N656" s="111"/>
      <c r="O656" s="111"/>
      <c r="P656" s="111"/>
    </row>
    <row r="657">
      <c r="N657" s="111"/>
      <c r="O657" s="111"/>
      <c r="P657" s="111"/>
    </row>
    <row r="658">
      <c r="N658" s="111"/>
      <c r="O658" s="111"/>
      <c r="P658" s="111"/>
    </row>
    <row r="659">
      <c r="N659" s="111"/>
      <c r="O659" s="111"/>
      <c r="P659" s="111"/>
    </row>
    <row r="660">
      <c r="N660" s="111"/>
      <c r="O660" s="111"/>
      <c r="P660" s="111"/>
    </row>
    <row r="661">
      <c r="N661" s="111"/>
      <c r="O661" s="111"/>
      <c r="P661" s="111"/>
    </row>
    <row r="662">
      <c r="N662" s="111"/>
      <c r="O662" s="111"/>
      <c r="P662" s="111"/>
    </row>
    <row r="663">
      <c r="N663" s="111"/>
      <c r="O663" s="111"/>
      <c r="P663" s="111"/>
    </row>
    <row r="664">
      <c r="N664" s="111"/>
      <c r="O664" s="111"/>
      <c r="P664" s="111"/>
    </row>
    <row r="665">
      <c r="N665" s="111"/>
      <c r="O665" s="111"/>
      <c r="P665" s="111"/>
    </row>
    <row r="666">
      <c r="N666" s="111"/>
      <c r="O666" s="111"/>
      <c r="P666" s="111"/>
    </row>
    <row r="667">
      <c r="N667" s="111"/>
      <c r="O667" s="111"/>
      <c r="P667" s="111"/>
    </row>
    <row r="668">
      <c r="N668" s="111"/>
      <c r="O668" s="111"/>
      <c r="P668" s="111"/>
    </row>
    <row r="669">
      <c r="N669" s="111"/>
      <c r="O669" s="111"/>
      <c r="P669" s="111"/>
    </row>
    <row r="670">
      <c r="N670" s="111"/>
      <c r="O670" s="111"/>
      <c r="P670" s="111"/>
    </row>
    <row r="671">
      <c r="N671" s="111"/>
      <c r="O671" s="111"/>
      <c r="P671" s="111"/>
    </row>
    <row r="672">
      <c r="N672" s="111"/>
      <c r="O672" s="111"/>
      <c r="P672" s="111"/>
    </row>
    <row r="673">
      <c r="N673" s="111"/>
      <c r="O673" s="111"/>
      <c r="P673" s="111"/>
    </row>
    <row r="674">
      <c r="N674" s="111"/>
      <c r="O674" s="111"/>
      <c r="P674" s="111"/>
    </row>
    <row r="675">
      <c r="N675" s="111"/>
      <c r="O675" s="111"/>
      <c r="P675" s="111"/>
    </row>
    <row r="676">
      <c r="N676" s="111"/>
      <c r="O676" s="111"/>
      <c r="P676" s="111"/>
    </row>
    <row r="677">
      <c r="N677" s="111"/>
      <c r="O677" s="111"/>
      <c r="P677" s="111"/>
    </row>
    <row r="678">
      <c r="N678" s="111"/>
      <c r="O678" s="111"/>
      <c r="P678" s="111"/>
    </row>
    <row r="679">
      <c r="N679" s="111"/>
      <c r="O679" s="111"/>
      <c r="P679" s="111"/>
    </row>
    <row r="680">
      <c r="N680" s="111"/>
      <c r="O680" s="111"/>
      <c r="P680" s="111"/>
    </row>
    <row r="681">
      <c r="N681" s="111"/>
      <c r="O681" s="111"/>
      <c r="P681" s="111"/>
    </row>
    <row r="682">
      <c r="N682" s="111"/>
      <c r="O682" s="111"/>
      <c r="P682" s="111"/>
    </row>
    <row r="683">
      <c r="N683" s="111"/>
      <c r="O683" s="111"/>
      <c r="P683" s="111"/>
    </row>
    <row r="684">
      <c r="N684" s="111"/>
      <c r="O684" s="111"/>
      <c r="P684" s="111"/>
    </row>
    <row r="685">
      <c r="N685" s="111"/>
      <c r="O685" s="111"/>
      <c r="P685" s="111"/>
    </row>
    <row r="686">
      <c r="N686" s="111"/>
      <c r="O686" s="111"/>
      <c r="P686" s="111"/>
    </row>
    <row r="687">
      <c r="N687" s="111"/>
      <c r="O687" s="111"/>
      <c r="P687" s="111"/>
    </row>
    <row r="688">
      <c r="N688" s="111"/>
      <c r="O688" s="111"/>
      <c r="P688" s="111"/>
    </row>
    <row r="689">
      <c r="N689" s="111"/>
      <c r="O689" s="111"/>
      <c r="P689" s="111"/>
    </row>
    <row r="690">
      <c r="N690" s="111"/>
      <c r="O690" s="111"/>
      <c r="P690" s="111"/>
    </row>
    <row r="691">
      <c r="N691" s="111"/>
      <c r="O691" s="111"/>
      <c r="P691" s="111"/>
    </row>
    <row r="692">
      <c r="N692" s="111"/>
      <c r="O692" s="111"/>
      <c r="P692" s="111"/>
    </row>
    <row r="693">
      <c r="N693" s="111"/>
      <c r="O693" s="111"/>
      <c r="P693" s="111"/>
    </row>
    <row r="694">
      <c r="N694" s="111"/>
      <c r="O694" s="111"/>
      <c r="P694" s="111"/>
    </row>
    <row r="695">
      <c r="N695" s="111"/>
      <c r="O695" s="111"/>
      <c r="P695" s="111"/>
    </row>
    <row r="696">
      <c r="N696" s="111"/>
      <c r="O696" s="111"/>
      <c r="P696" s="111"/>
    </row>
    <row r="697">
      <c r="N697" s="111"/>
      <c r="O697" s="111"/>
      <c r="P697" s="111"/>
    </row>
    <row r="698">
      <c r="N698" s="111"/>
      <c r="O698" s="111"/>
      <c r="P698" s="111"/>
    </row>
    <row r="699">
      <c r="N699" s="111"/>
      <c r="O699" s="111"/>
      <c r="P699" s="111"/>
    </row>
    <row r="700">
      <c r="N700" s="111"/>
      <c r="O700" s="111"/>
      <c r="P700" s="111"/>
    </row>
    <row r="701">
      <c r="N701" s="111"/>
      <c r="O701" s="111"/>
      <c r="P701" s="111"/>
    </row>
    <row r="702">
      <c r="N702" s="111"/>
      <c r="O702" s="111"/>
      <c r="P702" s="111"/>
    </row>
    <row r="703">
      <c r="N703" s="111"/>
      <c r="O703" s="111"/>
      <c r="P703" s="111"/>
    </row>
    <row r="704">
      <c r="N704" s="111"/>
      <c r="O704" s="111"/>
      <c r="P704" s="111"/>
    </row>
    <row r="705">
      <c r="N705" s="111"/>
      <c r="O705" s="111"/>
      <c r="P705" s="111"/>
    </row>
    <row r="706">
      <c r="N706" s="111"/>
      <c r="O706" s="111"/>
      <c r="P706" s="111"/>
    </row>
    <row r="707">
      <c r="N707" s="111"/>
      <c r="O707" s="111"/>
      <c r="P707" s="111"/>
    </row>
    <row r="708">
      <c r="N708" s="111"/>
      <c r="O708" s="111"/>
      <c r="P708" s="111"/>
    </row>
    <row r="709">
      <c r="N709" s="111"/>
      <c r="O709" s="111"/>
      <c r="P709" s="111"/>
    </row>
    <row r="710">
      <c r="N710" s="111"/>
      <c r="O710" s="111"/>
      <c r="P710" s="111"/>
    </row>
    <row r="711">
      <c r="N711" s="111"/>
      <c r="O711" s="111"/>
      <c r="P711" s="111"/>
    </row>
    <row r="712">
      <c r="N712" s="111"/>
      <c r="O712" s="111"/>
      <c r="P712" s="111"/>
    </row>
    <row r="713">
      <c r="N713" s="111"/>
      <c r="O713" s="111"/>
      <c r="P713" s="111"/>
    </row>
    <row r="714">
      <c r="N714" s="111"/>
      <c r="O714" s="111"/>
      <c r="P714" s="111"/>
    </row>
    <row r="715">
      <c r="N715" s="111"/>
      <c r="O715" s="111"/>
      <c r="P715" s="111"/>
    </row>
    <row r="716">
      <c r="N716" s="111"/>
      <c r="O716" s="111"/>
      <c r="P716" s="111"/>
    </row>
    <row r="717">
      <c r="N717" s="111"/>
      <c r="O717" s="111"/>
      <c r="P717" s="111"/>
    </row>
    <row r="718">
      <c r="N718" s="111"/>
      <c r="O718" s="111"/>
      <c r="P718" s="111"/>
    </row>
    <row r="719">
      <c r="N719" s="111"/>
      <c r="O719" s="111"/>
      <c r="P719" s="111"/>
    </row>
    <row r="720">
      <c r="N720" s="111"/>
      <c r="O720" s="111"/>
      <c r="P720" s="111"/>
    </row>
    <row r="721">
      <c r="N721" s="111"/>
      <c r="O721" s="111"/>
      <c r="P721" s="111"/>
    </row>
    <row r="722">
      <c r="N722" s="111"/>
      <c r="O722" s="111"/>
      <c r="P722" s="111"/>
    </row>
    <row r="723">
      <c r="N723" s="111"/>
      <c r="O723" s="111"/>
      <c r="P723" s="111"/>
    </row>
    <row r="724">
      <c r="N724" s="111"/>
      <c r="O724" s="111"/>
      <c r="P724" s="111"/>
    </row>
    <row r="725">
      <c r="N725" s="111"/>
      <c r="O725" s="111"/>
      <c r="P725" s="111"/>
    </row>
    <row r="726">
      <c r="N726" s="111"/>
      <c r="O726" s="111"/>
      <c r="P726" s="111"/>
    </row>
    <row r="727">
      <c r="N727" s="111"/>
      <c r="O727" s="111"/>
      <c r="P727" s="111"/>
    </row>
    <row r="728">
      <c r="N728" s="111"/>
      <c r="O728" s="111"/>
      <c r="P728" s="111"/>
    </row>
    <row r="729">
      <c r="N729" s="111"/>
      <c r="O729" s="111"/>
      <c r="P729" s="111"/>
    </row>
    <row r="730">
      <c r="N730" s="111"/>
      <c r="O730" s="111"/>
      <c r="P730" s="111"/>
    </row>
    <row r="731">
      <c r="N731" s="111"/>
      <c r="O731" s="111"/>
      <c r="P731" s="111"/>
    </row>
    <row r="732">
      <c r="N732" s="111"/>
      <c r="O732" s="111"/>
      <c r="P732" s="111"/>
    </row>
    <row r="733">
      <c r="N733" s="111"/>
      <c r="O733" s="111"/>
      <c r="P733" s="111"/>
    </row>
    <row r="734">
      <c r="N734" s="111"/>
      <c r="O734" s="111"/>
      <c r="P734" s="111"/>
    </row>
    <row r="735">
      <c r="N735" s="111"/>
      <c r="O735" s="111"/>
      <c r="P735" s="111"/>
    </row>
    <row r="736">
      <c r="N736" s="111"/>
      <c r="O736" s="111"/>
      <c r="P736" s="111"/>
    </row>
    <row r="737">
      <c r="N737" s="111"/>
      <c r="O737" s="111"/>
      <c r="P737" s="111"/>
    </row>
    <row r="738">
      <c r="N738" s="111"/>
      <c r="O738" s="111"/>
      <c r="P738" s="111"/>
    </row>
    <row r="739">
      <c r="N739" s="111"/>
      <c r="O739" s="111"/>
      <c r="P739" s="111"/>
    </row>
    <row r="740">
      <c r="N740" s="111"/>
      <c r="O740" s="111"/>
      <c r="P740" s="111"/>
    </row>
    <row r="741">
      <c r="N741" s="111"/>
      <c r="O741" s="111"/>
      <c r="P741" s="111"/>
    </row>
    <row r="742">
      <c r="N742" s="111"/>
      <c r="O742" s="111"/>
      <c r="P742" s="111"/>
    </row>
    <row r="743">
      <c r="N743" s="111"/>
      <c r="O743" s="111"/>
      <c r="P743" s="111"/>
    </row>
    <row r="744">
      <c r="N744" s="111"/>
      <c r="O744" s="111"/>
      <c r="P744" s="111"/>
    </row>
    <row r="745">
      <c r="N745" s="111"/>
      <c r="O745" s="111"/>
      <c r="P745" s="111"/>
    </row>
    <row r="746">
      <c r="N746" s="111"/>
      <c r="O746" s="111"/>
      <c r="P746" s="111"/>
    </row>
    <row r="747">
      <c r="N747" s="111"/>
      <c r="O747" s="111"/>
      <c r="P747" s="111"/>
    </row>
    <row r="748">
      <c r="N748" s="111"/>
      <c r="O748" s="111"/>
      <c r="P748" s="111"/>
    </row>
    <row r="749">
      <c r="N749" s="111"/>
      <c r="O749" s="111"/>
      <c r="P749" s="111"/>
    </row>
    <row r="750">
      <c r="N750" s="111"/>
      <c r="O750" s="111"/>
      <c r="P750" s="111"/>
    </row>
    <row r="751">
      <c r="N751" s="111"/>
      <c r="O751" s="111"/>
      <c r="P751" s="111"/>
    </row>
    <row r="752">
      <c r="N752" s="111"/>
      <c r="O752" s="111"/>
      <c r="P752" s="111"/>
    </row>
    <row r="753">
      <c r="N753" s="111"/>
      <c r="O753" s="111"/>
      <c r="P753" s="111"/>
    </row>
    <row r="754">
      <c r="N754" s="111"/>
      <c r="O754" s="111"/>
      <c r="P754" s="111"/>
    </row>
    <row r="755">
      <c r="N755" s="111"/>
      <c r="O755" s="111"/>
      <c r="P755" s="111"/>
    </row>
    <row r="756">
      <c r="N756" s="111"/>
      <c r="O756" s="111"/>
      <c r="P756" s="111"/>
    </row>
    <row r="757">
      <c r="N757" s="111"/>
      <c r="O757" s="111"/>
      <c r="P757" s="111"/>
    </row>
    <row r="758">
      <c r="N758" s="111"/>
      <c r="O758" s="111"/>
      <c r="P758" s="111"/>
    </row>
    <row r="759">
      <c r="N759" s="111"/>
      <c r="O759" s="111"/>
      <c r="P759" s="111"/>
    </row>
    <row r="760">
      <c r="N760" s="111"/>
      <c r="O760" s="111"/>
      <c r="P760" s="111"/>
    </row>
    <row r="761">
      <c r="N761" s="111"/>
      <c r="O761" s="111"/>
      <c r="P761" s="111"/>
    </row>
    <row r="762">
      <c r="N762" s="111"/>
      <c r="O762" s="111"/>
      <c r="P762" s="111"/>
    </row>
    <row r="763">
      <c r="N763" s="111"/>
      <c r="O763" s="111"/>
      <c r="P763" s="111"/>
    </row>
    <row r="764">
      <c r="N764" s="111"/>
      <c r="O764" s="111"/>
      <c r="P764" s="111"/>
    </row>
    <row r="765">
      <c r="N765" s="111"/>
      <c r="O765" s="111"/>
      <c r="P765" s="111"/>
    </row>
    <row r="766">
      <c r="N766" s="111"/>
      <c r="O766" s="111"/>
      <c r="P766" s="111"/>
    </row>
    <row r="767">
      <c r="N767" s="111"/>
      <c r="O767" s="111"/>
      <c r="P767" s="111"/>
    </row>
    <row r="768">
      <c r="N768" s="111"/>
      <c r="O768" s="111"/>
      <c r="P768" s="111"/>
    </row>
    <row r="769">
      <c r="N769" s="111"/>
      <c r="O769" s="111"/>
      <c r="P769" s="111"/>
    </row>
    <row r="770">
      <c r="N770" s="111"/>
      <c r="O770" s="111"/>
      <c r="P770" s="111"/>
    </row>
    <row r="771">
      <c r="N771" s="111"/>
      <c r="O771" s="111"/>
      <c r="P771" s="111"/>
    </row>
    <row r="772">
      <c r="N772" s="111"/>
      <c r="O772" s="111"/>
      <c r="P772" s="111"/>
    </row>
    <row r="773">
      <c r="N773" s="111"/>
      <c r="O773" s="111"/>
      <c r="P773" s="111"/>
    </row>
    <row r="774">
      <c r="N774" s="111"/>
      <c r="O774" s="111"/>
      <c r="P774" s="111"/>
    </row>
    <row r="775">
      <c r="N775" s="111"/>
      <c r="O775" s="111"/>
      <c r="P775" s="111"/>
    </row>
    <row r="776">
      <c r="N776" s="111"/>
      <c r="O776" s="111"/>
      <c r="P776" s="111"/>
    </row>
    <row r="777">
      <c r="N777" s="111"/>
      <c r="O777" s="111"/>
      <c r="P777" s="111"/>
    </row>
    <row r="778">
      <c r="N778" s="111"/>
      <c r="O778" s="111"/>
      <c r="P778" s="111"/>
    </row>
    <row r="779">
      <c r="N779" s="111"/>
      <c r="O779" s="111"/>
      <c r="P779" s="111"/>
    </row>
    <row r="780">
      <c r="N780" s="111"/>
      <c r="O780" s="111"/>
      <c r="P780" s="111"/>
    </row>
    <row r="781">
      <c r="N781" s="111"/>
      <c r="O781" s="111"/>
      <c r="P781" s="111"/>
    </row>
    <row r="782">
      <c r="N782" s="111"/>
      <c r="O782" s="111"/>
      <c r="P782" s="111"/>
    </row>
    <row r="783">
      <c r="N783" s="111"/>
      <c r="O783" s="111"/>
      <c r="P783" s="111"/>
    </row>
    <row r="784">
      <c r="N784" s="111"/>
      <c r="O784" s="111"/>
      <c r="P784" s="111"/>
    </row>
    <row r="785">
      <c r="N785" s="111"/>
      <c r="O785" s="111"/>
      <c r="P785" s="111"/>
    </row>
    <row r="786">
      <c r="N786" s="111"/>
      <c r="O786" s="111"/>
      <c r="P786" s="111"/>
    </row>
    <row r="787">
      <c r="N787" s="111"/>
      <c r="O787" s="111"/>
      <c r="P787" s="111"/>
    </row>
    <row r="788">
      <c r="N788" s="111"/>
      <c r="O788" s="111"/>
      <c r="P788" s="111"/>
    </row>
    <row r="789">
      <c r="N789" s="111"/>
      <c r="O789" s="111"/>
      <c r="P789" s="111"/>
    </row>
    <row r="790">
      <c r="N790" s="111"/>
      <c r="O790" s="111"/>
      <c r="P790" s="111"/>
    </row>
    <row r="791">
      <c r="N791" s="111"/>
      <c r="O791" s="111"/>
      <c r="P791" s="111"/>
    </row>
    <row r="792">
      <c r="N792" s="111"/>
      <c r="O792" s="111"/>
      <c r="P792" s="111"/>
    </row>
    <row r="793">
      <c r="N793" s="111"/>
      <c r="O793" s="111"/>
      <c r="P793" s="111"/>
    </row>
    <row r="794">
      <c r="N794" s="111"/>
      <c r="O794" s="111"/>
      <c r="P794" s="111"/>
    </row>
    <row r="795">
      <c r="N795" s="111"/>
      <c r="O795" s="111"/>
      <c r="P795" s="111"/>
    </row>
    <row r="796">
      <c r="N796" s="111"/>
      <c r="O796" s="111"/>
      <c r="P796" s="111"/>
    </row>
    <row r="797">
      <c r="N797" s="111"/>
      <c r="O797" s="111"/>
      <c r="P797" s="111"/>
    </row>
    <row r="798">
      <c r="N798" s="111"/>
      <c r="O798" s="111"/>
      <c r="P798" s="111"/>
    </row>
    <row r="799">
      <c r="N799" s="111"/>
      <c r="O799" s="111"/>
      <c r="P799" s="111"/>
    </row>
    <row r="800">
      <c r="N800" s="111"/>
      <c r="O800" s="111"/>
      <c r="P800" s="111"/>
    </row>
    <row r="801">
      <c r="N801" s="111"/>
      <c r="O801" s="111"/>
      <c r="P801" s="111"/>
    </row>
    <row r="802">
      <c r="N802" s="111"/>
      <c r="O802" s="111"/>
      <c r="P802" s="111"/>
    </row>
    <row r="803">
      <c r="N803" s="111"/>
      <c r="O803" s="111"/>
      <c r="P803" s="111"/>
    </row>
    <row r="804">
      <c r="N804" s="111"/>
      <c r="O804" s="111"/>
      <c r="P804" s="111"/>
    </row>
    <row r="805">
      <c r="N805" s="111"/>
      <c r="O805" s="111"/>
      <c r="P805" s="111"/>
    </row>
    <row r="806">
      <c r="N806" s="111"/>
      <c r="O806" s="111"/>
      <c r="P806" s="111"/>
    </row>
    <row r="807">
      <c r="N807" s="111"/>
      <c r="O807" s="111"/>
      <c r="P807" s="111"/>
    </row>
    <row r="808">
      <c r="N808" s="111"/>
      <c r="O808" s="111"/>
      <c r="P808" s="111"/>
    </row>
    <row r="809">
      <c r="N809" s="111"/>
      <c r="O809" s="111"/>
      <c r="P809" s="111"/>
    </row>
    <row r="810">
      <c r="N810" s="111"/>
      <c r="O810" s="111"/>
      <c r="P810" s="111"/>
    </row>
    <row r="811">
      <c r="N811" s="111"/>
      <c r="O811" s="111"/>
      <c r="P811" s="111"/>
    </row>
    <row r="812">
      <c r="N812" s="111"/>
      <c r="O812" s="111"/>
      <c r="P812" s="111"/>
    </row>
    <row r="813">
      <c r="N813" s="111"/>
      <c r="O813" s="111"/>
      <c r="P813" s="111"/>
    </row>
    <row r="814">
      <c r="N814" s="111"/>
      <c r="O814" s="111"/>
      <c r="P814" s="111"/>
    </row>
    <row r="815">
      <c r="N815" s="111"/>
      <c r="O815" s="111"/>
      <c r="P815" s="111"/>
    </row>
    <row r="816">
      <c r="N816" s="111"/>
      <c r="O816" s="111"/>
      <c r="P816" s="111"/>
    </row>
    <row r="817">
      <c r="N817" s="111"/>
      <c r="O817" s="111"/>
      <c r="P817" s="111"/>
    </row>
    <row r="818">
      <c r="N818" s="111"/>
      <c r="O818" s="111"/>
      <c r="P818" s="111"/>
    </row>
    <row r="819">
      <c r="N819" s="111"/>
      <c r="O819" s="111"/>
      <c r="P819" s="111"/>
    </row>
    <row r="820">
      <c r="N820" s="111"/>
      <c r="O820" s="111"/>
      <c r="P820" s="111"/>
    </row>
    <row r="821">
      <c r="N821" s="111"/>
      <c r="O821" s="111"/>
      <c r="P821" s="111"/>
    </row>
    <row r="822">
      <c r="N822" s="111"/>
      <c r="O822" s="111"/>
      <c r="P822" s="111"/>
    </row>
    <row r="823">
      <c r="N823" s="111"/>
      <c r="O823" s="111"/>
      <c r="P823" s="111"/>
    </row>
    <row r="824">
      <c r="N824" s="111"/>
      <c r="O824" s="111"/>
      <c r="P824" s="111"/>
    </row>
    <row r="825">
      <c r="N825" s="111"/>
      <c r="O825" s="111"/>
      <c r="P825" s="111"/>
    </row>
    <row r="826">
      <c r="N826" s="111"/>
      <c r="O826" s="111"/>
      <c r="P826" s="111"/>
    </row>
    <row r="827">
      <c r="N827" s="111"/>
      <c r="O827" s="111"/>
      <c r="P827" s="111"/>
    </row>
    <row r="828">
      <c r="N828" s="111"/>
      <c r="O828" s="111"/>
      <c r="P828" s="111"/>
    </row>
    <row r="829">
      <c r="N829" s="111"/>
      <c r="O829" s="111"/>
      <c r="P829" s="111"/>
    </row>
    <row r="830">
      <c r="N830" s="111"/>
      <c r="O830" s="111"/>
      <c r="P830" s="111"/>
    </row>
    <row r="831">
      <c r="N831" s="111"/>
      <c r="O831" s="111"/>
      <c r="P831" s="111"/>
    </row>
    <row r="832">
      <c r="N832" s="111"/>
      <c r="O832" s="111"/>
      <c r="P832" s="111"/>
    </row>
    <row r="833">
      <c r="N833" s="111"/>
      <c r="O833" s="111"/>
      <c r="P833" s="111"/>
    </row>
    <row r="834">
      <c r="N834" s="111"/>
      <c r="O834" s="111"/>
      <c r="P834" s="111"/>
    </row>
    <row r="835">
      <c r="N835" s="111"/>
      <c r="O835" s="111"/>
      <c r="P835" s="111"/>
    </row>
    <row r="836">
      <c r="N836" s="111"/>
      <c r="O836" s="111"/>
      <c r="P836" s="111"/>
    </row>
    <row r="837">
      <c r="N837" s="111"/>
      <c r="O837" s="111"/>
      <c r="P837" s="111"/>
    </row>
    <row r="838">
      <c r="N838" s="111"/>
      <c r="O838" s="111"/>
      <c r="P838" s="111"/>
    </row>
    <row r="839">
      <c r="N839" s="111"/>
      <c r="O839" s="111"/>
      <c r="P839" s="111"/>
    </row>
    <row r="840">
      <c r="N840" s="111"/>
      <c r="O840" s="111"/>
      <c r="P840" s="111"/>
    </row>
    <row r="841">
      <c r="N841" s="111"/>
      <c r="O841" s="111"/>
      <c r="P841" s="111"/>
    </row>
    <row r="842">
      <c r="N842" s="111"/>
      <c r="O842" s="111"/>
      <c r="P842" s="111"/>
    </row>
    <row r="843">
      <c r="N843" s="111"/>
      <c r="O843" s="111"/>
      <c r="P843" s="111"/>
    </row>
    <row r="844">
      <c r="N844" s="111"/>
      <c r="O844" s="111"/>
      <c r="P844" s="111"/>
    </row>
    <row r="845">
      <c r="N845" s="111"/>
      <c r="O845" s="111"/>
      <c r="P845" s="111"/>
    </row>
    <row r="846">
      <c r="N846" s="111"/>
      <c r="O846" s="111"/>
      <c r="P846" s="111"/>
    </row>
    <row r="847">
      <c r="N847" s="111"/>
      <c r="O847" s="111"/>
      <c r="P847" s="111"/>
    </row>
    <row r="848">
      <c r="N848" s="111"/>
      <c r="O848" s="111"/>
      <c r="P848" s="111"/>
    </row>
    <row r="849">
      <c r="N849" s="111"/>
      <c r="O849" s="111"/>
      <c r="P849" s="111"/>
    </row>
    <row r="850">
      <c r="N850" s="111"/>
      <c r="O850" s="111"/>
      <c r="P850" s="111"/>
    </row>
    <row r="851">
      <c r="N851" s="111"/>
      <c r="O851" s="111"/>
      <c r="P851" s="111"/>
    </row>
    <row r="852">
      <c r="N852" s="111"/>
      <c r="O852" s="111"/>
      <c r="P852" s="111"/>
    </row>
    <row r="853">
      <c r="N853" s="111"/>
      <c r="O853" s="111"/>
      <c r="P853" s="111"/>
    </row>
    <row r="854">
      <c r="N854" s="111"/>
      <c r="O854" s="111"/>
      <c r="P854" s="111"/>
    </row>
    <row r="855">
      <c r="N855" s="111"/>
      <c r="O855" s="111"/>
      <c r="P855" s="111"/>
    </row>
    <row r="856">
      <c r="N856" s="111"/>
      <c r="O856" s="111"/>
      <c r="P856" s="111"/>
    </row>
    <row r="857">
      <c r="N857" s="111"/>
      <c r="O857" s="111"/>
      <c r="P857" s="111"/>
    </row>
    <row r="858">
      <c r="N858" s="111"/>
      <c r="O858" s="111"/>
      <c r="P858" s="111"/>
    </row>
    <row r="859">
      <c r="N859" s="111"/>
      <c r="O859" s="111"/>
      <c r="P859" s="111"/>
    </row>
    <row r="860">
      <c r="N860" s="111"/>
      <c r="O860" s="111"/>
      <c r="P860" s="111"/>
    </row>
    <row r="861">
      <c r="N861" s="111"/>
      <c r="O861" s="111"/>
      <c r="P861" s="111"/>
    </row>
    <row r="862">
      <c r="N862" s="111"/>
      <c r="O862" s="111"/>
      <c r="P862" s="111"/>
    </row>
    <row r="863">
      <c r="N863" s="111"/>
      <c r="O863" s="111"/>
      <c r="P863" s="111"/>
    </row>
    <row r="864">
      <c r="N864" s="111"/>
      <c r="O864" s="111"/>
      <c r="P864" s="111"/>
    </row>
    <row r="865">
      <c r="N865" s="111"/>
      <c r="O865" s="111"/>
      <c r="P865" s="111"/>
    </row>
    <row r="866">
      <c r="N866" s="111"/>
      <c r="O866" s="111"/>
      <c r="P866" s="111"/>
    </row>
    <row r="867">
      <c r="N867" s="111"/>
      <c r="O867" s="111"/>
      <c r="P867" s="111"/>
    </row>
    <row r="868">
      <c r="N868" s="111"/>
      <c r="O868" s="111"/>
      <c r="P868" s="111"/>
    </row>
    <row r="869">
      <c r="N869" s="111"/>
      <c r="O869" s="111"/>
      <c r="P869" s="111"/>
    </row>
    <row r="870">
      <c r="N870" s="111"/>
      <c r="O870" s="111"/>
      <c r="P870" s="111"/>
    </row>
    <row r="871">
      <c r="N871" s="111"/>
      <c r="O871" s="111"/>
      <c r="P871" s="111"/>
    </row>
    <row r="872">
      <c r="N872" s="111"/>
      <c r="O872" s="111"/>
      <c r="P872" s="111"/>
    </row>
    <row r="873">
      <c r="N873" s="111"/>
      <c r="O873" s="111"/>
      <c r="P873" s="111"/>
    </row>
    <row r="874">
      <c r="N874" s="111"/>
      <c r="O874" s="111"/>
      <c r="P874" s="111"/>
    </row>
    <row r="875">
      <c r="N875" s="111"/>
      <c r="O875" s="111"/>
      <c r="P875" s="111"/>
    </row>
    <row r="876">
      <c r="N876" s="111"/>
      <c r="O876" s="111"/>
      <c r="P876" s="111"/>
    </row>
    <row r="877">
      <c r="N877" s="111"/>
      <c r="O877" s="111"/>
      <c r="P877" s="111"/>
    </row>
    <row r="878">
      <c r="N878" s="111"/>
      <c r="O878" s="111"/>
      <c r="P878" s="111"/>
    </row>
    <row r="879">
      <c r="N879" s="111"/>
      <c r="O879" s="111"/>
      <c r="P879" s="111"/>
    </row>
    <row r="880">
      <c r="N880" s="111"/>
      <c r="O880" s="111"/>
      <c r="P880" s="111"/>
    </row>
    <row r="881">
      <c r="N881" s="111"/>
      <c r="O881" s="111"/>
      <c r="P881" s="111"/>
    </row>
    <row r="882">
      <c r="N882" s="111"/>
      <c r="O882" s="111"/>
      <c r="P882" s="111"/>
    </row>
    <row r="883">
      <c r="N883" s="111"/>
      <c r="O883" s="111"/>
      <c r="P883" s="111"/>
    </row>
    <row r="884">
      <c r="N884" s="111"/>
      <c r="O884" s="111"/>
      <c r="P884" s="111"/>
    </row>
    <row r="885">
      <c r="N885" s="111"/>
      <c r="O885" s="111"/>
      <c r="P885" s="111"/>
    </row>
    <row r="886">
      <c r="N886" s="111"/>
      <c r="O886" s="111"/>
      <c r="P886" s="111"/>
    </row>
    <row r="887">
      <c r="N887" s="111"/>
      <c r="O887" s="111"/>
      <c r="P887" s="111"/>
    </row>
    <row r="888">
      <c r="N888" s="111"/>
      <c r="O888" s="111"/>
      <c r="P888" s="111"/>
    </row>
    <row r="889">
      <c r="N889" s="111"/>
      <c r="O889" s="111"/>
      <c r="P889" s="111"/>
    </row>
    <row r="890">
      <c r="N890" s="111"/>
      <c r="O890" s="111"/>
      <c r="P890" s="111"/>
    </row>
    <row r="891">
      <c r="N891" s="111"/>
      <c r="O891" s="111"/>
      <c r="P891" s="111"/>
    </row>
    <row r="892">
      <c r="N892" s="111"/>
      <c r="O892" s="111"/>
      <c r="P892" s="111"/>
    </row>
    <row r="893">
      <c r="N893" s="111"/>
      <c r="O893" s="111"/>
      <c r="P893" s="111"/>
    </row>
    <row r="894">
      <c r="N894" s="111"/>
      <c r="O894" s="111"/>
      <c r="P894" s="111"/>
    </row>
    <row r="895">
      <c r="N895" s="111"/>
      <c r="O895" s="111"/>
      <c r="P895" s="111"/>
    </row>
    <row r="896">
      <c r="N896" s="111"/>
      <c r="O896" s="111"/>
      <c r="P896" s="111"/>
    </row>
    <row r="897">
      <c r="N897" s="111"/>
      <c r="O897" s="111"/>
      <c r="P897" s="111"/>
    </row>
    <row r="898">
      <c r="N898" s="111"/>
      <c r="O898" s="111"/>
      <c r="P898" s="111"/>
    </row>
    <row r="899">
      <c r="N899" s="111"/>
      <c r="O899" s="111"/>
      <c r="P899" s="111"/>
    </row>
    <row r="900">
      <c r="N900" s="111"/>
      <c r="O900" s="111"/>
      <c r="P900" s="111"/>
    </row>
    <row r="901">
      <c r="N901" s="111"/>
      <c r="O901" s="111"/>
      <c r="P901" s="111"/>
    </row>
    <row r="902">
      <c r="N902" s="111"/>
      <c r="O902" s="111"/>
      <c r="P902" s="111"/>
    </row>
    <row r="903">
      <c r="N903" s="111"/>
      <c r="O903" s="111"/>
      <c r="P903" s="111"/>
    </row>
    <row r="904">
      <c r="N904" s="111"/>
      <c r="O904" s="111"/>
      <c r="P904" s="111"/>
    </row>
    <row r="905">
      <c r="N905" s="111"/>
      <c r="O905" s="111"/>
      <c r="P905" s="111"/>
    </row>
    <row r="906">
      <c r="N906" s="111"/>
      <c r="O906" s="111"/>
      <c r="P906" s="111"/>
    </row>
    <row r="907">
      <c r="N907" s="111"/>
      <c r="O907" s="111"/>
      <c r="P907" s="111"/>
    </row>
    <row r="908">
      <c r="N908" s="111"/>
      <c r="O908" s="111"/>
      <c r="P908" s="111"/>
    </row>
    <row r="909">
      <c r="N909" s="111"/>
      <c r="O909" s="111"/>
      <c r="P909" s="111"/>
    </row>
    <row r="910">
      <c r="N910" s="111"/>
      <c r="O910" s="111"/>
      <c r="P910" s="111"/>
    </row>
    <row r="911">
      <c r="N911" s="111"/>
      <c r="O911" s="111"/>
      <c r="P911" s="111"/>
    </row>
    <row r="912">
      <c r="N912" s="111"/>
      <c r="O912" s="111"/>
      <c r="P912" s="111"/>
    </row>
    <row r="913">
      <c r="N913" s="111"/>
      <c r="O913" s="111"/>
      <c r="P913" s="111"/>
    </row>
    <row r="914">
      <c r="N914" s="111"/>
      <c r="O914" s="111"/>
      <c r="P914" s="111"/>
    </row>
    <row r="915">
      <c r="N915" s="111"/>
      <c r="O915" s="111"/>
      <c r="P915" s="111"/>
    </row>
    <row r="916">
      <c r="N916" s="111"/>
      <c r="O916" s="111"/>
      <c r="P916" s="111"/>
    </row>
    <row r="917">
      <c r="N917" s="111"/>
      <c r="O917" s="111"/>
      <c r="P917" s="111"/>
    </row>
    <row r="918">
      <c r="N918" s="111"/>
      <c r="O918" s="111"/>
      <c r="P918" s="111"/>
    </row>
    <row r="919">
      <c r="N919" s="111"/>
      <c r="O919" s="111"/>
      <c r="P919" s="111"/>
    </row>
    <row r="920">
      <c r="N920" s="111"/>
      <c r="O920" s="111"/>
      <c r="P920" s="111"/>
    </row>
    <row r="921">
      <c r="N921" s="111"/>
      <c r="O921" s="111"/>
      <c r="P921" s="111"/>
    </row>
    <row r="922">
      <c r="N922" s="111"/>
      <c r="O922" s="111"/>
      <c r="P922" s="111"/>
    </row>
    <row r="923">
      <c r="N923" s="111"/>
      <c r="O923" s="111"/>
      <c r="P923" s="111"/>
    </row>
    <row r="924">
      <c r="N924" s="111"/>
      <c r="O924" s="111"/>
      <c r="P924" s="111"/>
    </row>
    <row r="925">
      <c r="N925" s="111"/>
      <c r="O925" s="111"/>
      <c r="P925" s="111"/>
    </row>
    <row r="926">
      <c r="N926" s="111"/>
      <c r="O926" s="111"/>
      <c r="P926" s="111"/>
    </row>
    <row r="927">
      <c r="N927" s="111"/>
      <c r="O927" s="111"/>
      <c r="P927" s="111"/>
    </row>
    <row r="928">
      <c r="N928" s="111"/>
      <c r="O928" s="111"/>
      <c r="P928" s="111"/>
    </row>
    <row r="929">
      <c r="N929" s="111"/>
      <c r="O929" s="111"/>
      <c r="P929" s="111"/>
    </row>
    <row r="930">
      <c r="N930" s="111"/>
      <c r="O930" s="111"/>
      <c r="P930" s="111"/>
    </row>
    <row r="931">
      <c r="N931" s="111"/>
      <c r="O931" s="111"/>
      <c r="P931" s="111"/>
    </row>
    <row r="932">
      <c r="N932" s="111"/>
      <c r="O932" s="111"/>
      <c r="P932" s="111"/>
    </row>
    <row r="933">
      <c r="N933" s="111"/>
      <c r="O933" s="111"/>
      <c r="P933" s="111"/>
    </row>
    <row r="934">
      <c r="N934" s="111"/>
      <c r="O934" s="111"/>
      <c r="P934" s="111"/>
    </row>
    <row r="935">
      <c r="N935" s="111"/>
      <c r="O935" s="111"/>
      <c r="P935" s="111"/>
    </row>
    <row r="936">
      <c r="N936" s="111"/>
      <c r="O936" s="111"/>
      <c r="P936" s="111"/>
    </row>
    <row r="937">
      <c r="N937" s="111"/>
      <c r="O937" s="111"/>
      <c r="P937" s="111"/>
    </row>
    <row r="938">
      <c r="N938" s="111"/>
      <c r="O938" s="111"/>
      <c r="P938" s="111"/>
    </row>
    <row r="939">
      <c r="N939" s="111"/>
      <c r="O939" s="111"/>
      <c r="P939" s="111"/>
    </row>
    <row r="940">
      <c r="N940" s="111"/>
      <c r="O940" s="111"/>
      <c r="P940" s="111"/>
    </row>
    <row r="941">
      <c r="N941" s="111"/>
      <c r="O941" s="111"/>
      <c r="P941" s="111"/>
    </row>
    <row r="942">
      <c r="N942" s="111"/>
      <c r="O942" s="111"/>
      <c r="P942" s="111"/>
    </row>
    <row r="943">
      <c r="N943" s="111"/>
      <c r="O943" s="111"/>
      <c r="P943" s="111"/>
    </row>
    <row r="944">
      <c r="N944" s="111"/>
      <c r="O944" s="111"/>
      <c r="P944" s="111"/>
    </row>
    <row r="945">
      <c r="N945" s="111"/>
      <c r="O945" s="111"/>
      <c r="P945" s="111"/>
    </row>
    <row r="946">
      <c r="N946" s="111"/>
      <c r="O946" s="111"/>
      <c r="P946" s="111"/>
    </row>
    <row r="947">
      <c r="N947" s="111"/>
      <c r="O947" s="111"/>
      <c r="P947" s="111"/>
    </row>
    <row r="948">
      <c r="N948" s="111"/>
      <c r="O948" s="111"/>
      <c r="P948" s="111"/>
    </row>
    <row r="949">
      <c r="N949" s="111"/>
      <c r="O949" s="111"/>
      <c r="P949" s="111"/>
    </row>
    <row r="950">
      <c r="N950" s="111"/>
      <c r="O950" s="111"/>
      <c r="P950" s="111"/>
    </row>
    <row r="951">
      <c r="N951" s="111"/>
      <c r="O951" s="111"/>
      <c r="P951" s="111"/>
    </row>
    <row r="952">
      <c r="N952" s="111"/>
      <c r="O952" s="111"/>
      <c r="P952" s="111"/>
    </row>
    <row r="953">
      <c r="N953" s="111"/>
      <c r="O953" s="111"/>
      <c r="P953" s="111"/>
    </row>
    <row r="954">
      <c r="N954" s="111"/>
      <c r="O954" s="111"/>
      <c r="P954" s="111"/>
    </row>
    <row r="955">
      <c r="N955" s="111"/>
      <c r="O955" s="111"/>
      <c r="P955" s="111"/>
    </row>
    <row r="956">
      <c r="N956" s="111"/>
      <c r="O956" s="111"/>
      <c r="P956" s="111"/>
    </row>
    <row r="957">
      <c r="N957" s="111"/>
      <c r="O957" s="111"/>
      <c r="P957" s="111"/>
    </row>
    <row r="958">
      <c r="N958" s="111"/>
      <c r="O958" s="111"/>
      <c r="P958" s="111"/>
    </row>
    <row r="959">
      <c r="N959" s="111"/>
      <c r="O959" s="111"/>
      <c r="P959" s="111"/>
    </row>
    <row r="960">
      <c r="N960" s="111"/>
      <c r="O960" s="111"/>
      <c r="P960" s="111"/>
    </row>
    <row r="961">
      <c r="N961" s="111"/>
      <c r="O961" s="111"/>
      <c r="P961" s="111"/>
    </row>
    <row r="962">
      <c r="N962" s="111"/>
      <c r="O962" s="111"/>
      <c r="P962" s="111"/>
    </row>
    <row r="963">
      <c r="N963" s="111"/>
      <c r="O963" s="111"/>
      <c r="P963" s="111"/>
    </row>
    <row r="964">
      <c r="N964" s="111"/>
      <c r="O964" s="111"/>
      <c r="P964" s="111"/>
    </row>
    <row r="965">
      <c r="N965" s="111"/>
      <c r="O965" s="111"/>
      <c r="P965" s="111"/>
    </row>
    <row r="966">
      <c r="N966" s="111"/>
      <c r="O966" s="111"/>
      <c r="P966" s="111"/>
    </row>
    <row r="967">
      <c r="N967" s="111"/>
      <c r="O967" s="111"/>
      <c r="P967" s="111"/>
    </row>
    <row r="968">
      <c r="N968" s="111"/>
      <c r="O968" s="111"/>
      <c r="P968" s="111"/>
    </row>
    <row r="969">
      <c r="N969" s="111"/>
      <c r="O969" s="111"/>
      <c r="P969" s="111"/>
    </row>
    <row r="970">
      <c r="N970" s="111"/>
      <c r="O970" s="111"/>
      <c r="P970" s="111"/>
    </row>
    <row r="971">
      <c r="N971" s="111"/>
      <c r="O971" s="111"/>
      <c r="P971" s="111"/>
    </row>
    <row r="972">
      <c r="N972" s="111"/>
      <c r="O972" s="111"/>
      <c r="P972" s="111"/>
    </row>
    <row r="973">
      <c r="N973" s="111"/>
      <c r="O973" s="111"/>
      <c r="P973" s="111"/>
    </row>
    <row r="974">
      <c r="N974" s="111"/>
      <c r="O974" s="111"/>
      <c r="P974" s="111"/>
    </row>
    <row r="975">
      <c r="N975" s="111"/>
      <c r="O975" s="111"/>
      <c r="P975" s="111"/>
    </row>
    <row r="976">
      <c r="N976" s="111"/>
      <c r="O976" s="111"/>
      <c r="P976" s="111"/>
    </row>
    <row r="977">
      <c r="N977" s="111"/>
      <c r="O977" s="111"/>
      <c r="P977" s="111"/>
    </row>
    <row r="978">
      <c r="N978" s="111"/>
      <c r="O978" s="111"/>
      <c r="P978" s="111"/>
    </row>
    <row r="979">
      <c r="N979" s="111"/>
      <c r="O979" s="111"/>
      <c r="P979" s="111"/>
    </row>
    <row r="980">
      <c r="N980" s="111"/>
      <c r="O980" s="111"/>
      <c r="P980" s="111"/>
    </row>
    <row r="981">
      <c r="N981" s="111"/>
      <c r="O981" s="111"/>
      <c r="P981" s="111"/>
    </row>
    <row r="982">
      <c r="N982" s="111"/>
      <c r="O982" s="111"/>
      <c r="P982" s="111"/>
    </row>
    <row r="983">
      <c r="N983" s="111"/>
      <c r="O983" s="111"/>
      <c r="P983" s="111"/>
    </row>
    <row r="984">
      <c r="N984" s="111"/>
      <c r="O984" s="111"/>
      <c r="P984" s="111"/>
    </row>
    <row r="985">
      <c r="N985" s="111"/>
      <c r="O985" s="111"/>
      <c r="P985" s="111"/>
    </row>
    <row r="986">
      <c r="N986" s="111"/>
      <c r="O986" s="111"/>
      <c r="P986" s="111"/>
    </row>
    <row r="987">
      <c r="N987" s="111"/>
      <c r="O987" s="111"/>
      <c r="P987" s="111"/>
    </row>
    <row r="988">
      <c r="N988" s="111"/>
      <c r="O988" s="111"/>
      <c r="P988" s="111"/>
    </row>
    <row r="989">
      <c r="N989" s="111"/>
      <c r="O989" s="111"/>
      <c r="P989" s="111"/>
    </row>
    <row r="990">
      <c r="N990" s="111"/>
      <c r="O990" s="111"/>
      <c r="P990" s="111"/>
    </row>
    <row r="991">
      <c r="N991" s="111"/>
      <c r="O991" s="111"/>
      <c r="P991" s="111"/>
    </row>
    <row r="992">
      <c r="N992" s="111"/>
      <c r="O992" s="111"/>
      <c r="P992" s="111"/>
    </row>
    <row r="993">
      <c r="N993" s="111"/>
      <c r="O993" s="111"/>
      <c r="P993" s="111"/>
    </row>
    <row r="994">
      <c r="N994" s="111"/>
      <c r="O994" s="111"/>
      <c r="P994" s="111"/>
    </row>
    <row r="995">
      <c r="N995" s="111"/>
      <c r="O995" s="111"/>
      <c r="P995" s="111"/>
    </row>
    <row r="996">
      <c r="N996" s="111"/>
      <c r="O996" s="111"/>
      <c r="P996" s="111"/>
    </row>
    <row r="997">
      <c r="N997" s="111"/>
      <c r="O997" s="111"/>
      <c r="P997" s="111"/>
    </row>
    <row r="998">
      <c r="N998" s="111"/>
      <c r="O998" s="111"/>
      <c r="P998" s="111"/>
    </row>
    <row r="999">
      <c r="N999" s="111"/>
      <c r="O999" s="111"/>
      <c r="P999" s="111"/>
    </row>
  </sheetData>
  <autoFilter ref="$A$1:$X$216"/>
  <conditionalFormatting sqref="B128:B216">
    <cfRule type="expression" dxfId="5" priority="1">
      <formula>COUNTIF($B$2:$B999, B2)&gt;1</formula>
    </cfRule>
  </conditionalFormatting>
  <dataValidations>
    <dataValidation type="list" allowBlank="1" showErrorMessage="1" sqref="I92:M92">
      <formula1>"1RA FACTURA,FREE,NO PAGADO,PAGADO,SERVICIO SUSPENDIDO,TERMINO DE GIRO,DE BAJA,PAGO INCOMPLETO,PRORROGA,VERIFICACIÓN PENDIENTE"</formula1>
    </dataValidation>
    <dataValidation type="list" allowBlank="1" showErrorMessage="1" sqref="H2:M91 H92 H93:M207">
      <formula1>"DECLARADO,PENDIENTE,IMPUGNADO,POSTERGADO,NOTIFICADO,NO DECLARAR,REVISAR,NO APLICA,POSTERGADO"</formula1>
    </dataValidation>
  </dataValidations>
  <hyperlinks>
    <hyperlink r:id="rId1" ref="D44"/>
    <hyperlink r:id="rId2" ref="D75"/>
    <hyperlink r:id="rId3" ref="D85"/>
    <hyperlink r:id="rId4" ref="D109"/>
    <hyperlink r:id="rId5" ref="D114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24.0"/>
    <col customWidth="1" min="3" max="3" width="13.75"/>
    <col customWidth="1" min="4" max="4" width="11.13"/>
    <col customWidth="1" min="6" max="6" width="6.13"/>
    <col customWidth="1" min="7" max="7" width="7.13"/>
    <col customWidth="1" min="11" max="11" width="7.63"/>
    <col customWidth="1" min="12" max="12" width="22.38"/>
    <col customWidth="1" min="15" max="15" width="38.25"/>
    <col customWidth="1" min="18" max="18" width="10.13"/>
    <col customWidth="1" min="23" max="23" width="15.0"/>
    <col customWidth="1" min="26" max="26" width="36.13"/>
  </cols>
  <sheetData>
    <row r="1">
      <c r="A1" s="112"/>
      <c r="B1" s="22" t="s">
        <v>786</v>
      </c>
      <c r="C1" s="23" t="s">
        <v>1334</v>
      </c>
      <c r="D1" s="23" t="s">
        <v>1335</v>
      </c>
      <c r="E1" s="22" t="s">
        <v>1336</v>
      </c>
      <c r="F1" s="113" t="s">
        <v>1337</v>
      </c>
      <c r="G1" s="22" t="s">
        <v>1338</v>
      </c>
      <c r="H1" s="114" t="s">
        <v>1339</v>
      </c>
      <c r="I1" s="113" t="s">
        <v>1340</v>
      </c>
      <c r="J1" s="22" t="s">
        <v>1341</v>
      </c>
      <c r="K1" s="113" t="s">
        <v>1342</v>
      </c>
      <c r="L1" s="22" t="s">
        <v>1343</v>
      </c>
      <c r="M1" s="22" t="s">
        <v>787</v>
      </c>
      <c r="N1" s="22" t="s">
        <v>788</v>
      </c>
      <c r="O1" s="22" t="s">
        <v>789</v>
      </c>
      <c r="P1" s="22" t="s">
        <v>790</v>
      </c>
      <c r="Q1" s="115" t="s">
        <v>1344</v>
      </c>
      <c r="R1" s="23" t="s">
        <v>1345</v>
      </c>
      <c r="S1" s="23" t="s">
        <v>1346</v>
      </c>
      <c r="T1" s="23" t="s">
        <v>1347</v>
      </c>
      <c r="U1" s="22" t="s">
        <v>792</v>
      </c>
      <c r="V1" s="22" t="s">
        <v>1348</v>
      </c>
      <c r="W1" s="22" t="s">
        <v>1349</v>
      </c>
      <c r="X1" s="22" t="s">
        <v>1350</v>
      </c>
      <c r="Y1" s="22" t="s">
        <v>1345</v>
      </c>
      <c r="Z1" s="22" t="s">
        <v>805</v>
      </c>
      <c r="AA1" s="22" t="s">
        <v>791</v>
      </c>
      <c r="AB1" s="22" t="s">
        <v>1351</v>
      </c>
      <c r="AC1" s="22" t="s">
        <v>1352</v>
      </c>
      <c r="AD1" s="22" t="s">
        <v>1353</v>
      </c>
      <c r="AE1" s="116" t="s">
        <v>1354</v>
      </c>
      <c r="AF1" s="117" t="s">
        <v>1355</v>
      </c>
      <c r="AG1" s="117" t="s">
        <v>1356</v>
      </c>
      <c r="AH1" s="117" t="s">
        <v>1357</v>
      </c>
      <c r="AI1" s="117" t="s">
        <v>1358</v>
      </c>
      <c r="AJ1" s="117" t="s">
        <v>1359</v>
      </c>
      <c r="AK1" s="117" t="s">
        <v>1360</v>
      </c>
    </row>
    <row r="2">
      <c r="A2" s="79" t="s">
        <v>1361</v>
      </c>
      <c r="B2" s="25" t="s">
        <v>553</v>
      </c>
      <c r="C2" s="30" t="s">
        <v>38</v>
      </c>
      <c r="D2" s="30" t="s">
        <v>38</v>
      </c>
      <c r="E2" s="28" t="s">
        <v>1362</v>
      </c>
      <c r="F2" s="118"/>
      <c r="G2" s="66"/>
      <c r="H2" s="88">
        <v>25210.0</v>
      </c>
      <c r="I2" s="88">
        <f t="shared" ref="I2:I142" si="1">H2*1.19</f>
        <v>29999.9</v>
      </c>
      <c r="J2" s="30"/>
      <c r="K2" s="104"/>
      <c r="L2" s="119"/>
      <c r="M2" s="26" t="s">
        <v>554</v>
      </c>
      <c r="N2" s="27" t="s">
        <v>807</v>
      </c>
      <c r="O2" s="28" t="s">
        <v>552</v>
      </c>
      <c r="P2" s="28" t="s">
        <v>808</v>
      </c>
      <c r="Q2" s="120" t="s">
        <v>1363</v>
      </c>
      <c r="R2" s="29"/>
      <c r="S2" s="29"/>
      <c r="T2" s="29"/>
      <c r="U2" s="29"/>
      <c r="V2" s="30" t="s">
        <v>811</v>
      </c>
      <c r="W2" s="30" t="s">
        <v>1364</v>
      </c>
      <c r="X2" s="71"/>
      <c r="Y2" s="28" t="s">
        <v>50</v>
      </c>
      <c r="Z2" s="28" t="s">
        <v>812</v>
      </c>
      <c r="AA2" s="28" t="s">
        <v>809</v>
      </c>
      <c r="AB2" s="66"/>
      <c r="AC2" s="66"/>
      <c r="AD2" s="66"/>
      <c r="AE2" s="81"/>
      <c r="AF2" s="121" t="str">
        <f>IFERROR(__xludf.DUMMYFUNCTION("HYPERLINK(
""https://wa.me/""&amp;REGEXREPLACE(Q2,""[^0-9]"","""")&amp;
""?text=""&amp;
ENCODEURL(
""Buenas tardes *""&amp;B2&amp;""*.
Te recordamos que tu plan """"""&amp;E2&amp;"""""" no incluye la declaración de renta. Te enviamos varios correos informando sobre este proceso. Es"&amp;"ta semana vencen las primeras declaraciones juradas, lo que generará multas
Valor: *$""&amp;AG2&amp;""* + IVA = *$""&amp;AH2&amp;""*
El pago puedes hacerlo vía transferencia en la siguiente cuenta:
*CUENTA BANCARIA*
VOLLAIRE &amp; OLIVOS SIMPLE PYME LTDA
Banco BCI
Cuenta "&amp;"corriente
RUT 78.306.207-0
Número de cuenta: 70809538
MATIAS.OLIVOS@VSVCONSULTORES.COM
También puedes pagar con tarjeta de débito o crédito en el siguiente link:
https://www.flow.cl/btn.php?token=xe78c9acb73c3eff5e917d5c932a4a2f7f971abe
Simple Pyme""
)"&amp;",
""Enviar WhatsApp""
)"),"Enviar WhatsApp")</f>
        <v>Enviar WhatsApp</v>
      </c>
      <c r="AG2" s="122">
        <v>125000.0</v>
      </c>
      <c r="AH2" s="123">
        <f>AG2*1.19</f>
        <v>148750</v>
      </c>
      <c r="AI2" s="81"/>
      <c r="AJ2" s="81"/>
      <c r="AK2" s="81"/>
    </row>
    <row r="3">
      <c r="A3" s="79" t="s">
        <v>1361</v>
      </c>
      <c r="B3" s="25" t="s">
        <v>1365</v>
      </c>
      <c r="C3" s="28" t="s">
        <v>50</v>
      </c>
      <c r="D3" s="28"/>
      <c r="E3" s="28" t="s">
        <v>1362</v>
      </c>
      <c r="F3" s="118"/>
      <c r="G3" s="66"/>
      <c r="H3" s="124">
        <v>25210.0</v>
      </c>
      <c r="I3" s="88">
        <f t="shared" si="1"/>
        <v>29999.9</v>
      </c>
      <c r="J3" s="30"/>
      <c r="K3" s="104"/>
      <c r="L3" s="66"/>
      <c r="M3" s="26" t="s">
        <v>1366</v>
      </c>
      <c r="N3" s="26" t="s">
        <v>1367</v>
      </c>
      <c r="O3" s="28" t="s">
        <v>1368</v>
      </c>
      <c r="P3" s="28"/>
      <c r="Q3" s="120" t="s">
        <v>1369</v>
      </c>
      <c r="R3" s="29"/>
      <c r="S3" s="29"/>
      <c r="T3" s="29"/>
      <c r="U3" s="29"/>
      <c r="V3" s="30" t="s">
        <v>811</v>
      </c>
      <c r="W3" s="30" t="s">
        <v>1364</v>
      </c>
      <c r="X3" s="125"/>
      <c r="Y3" s="28" t="s">
        <v>50</v>
      </c>
      <c r="Z3" s="28" t="s">
        <v>1370</v>
      </c>
      <c r="AA3" s="28" t="s">
        <v>809</v>
      </c>
      <c r="AB3" s="66"/>
      <c r="AC3" s="66"/>
      <c r="AD3" s="66"/>
      <c r="AE3" s="81"/>
      <c r="AF3" s="121" t="str">
        <f>IFERROR(__xludf.DUMMYFUNCTION("HYPERLINK(
""https://wa.me/""&amp;REGEXREPLACE(Q3,""[^0-9]"","""")&amp;
""?text=""&amp;
ENCODEURL(
""Buenas tardes *""&amp;B3&amp;""*.
Te recordamos que la operación renta ya comenzó y vencieron las primeras declaracione juradas *EVITA MÁS MULTAS*,  tu plan """"""&amp;E3&amp;"""""""&amp;" no incluye la declaración de renta. Te enviamos varios correos informando sobre este proceso. 
Valor del servicio: *$""&amp;AG3&amp;""* + IVA = *$""&amp;AH3&amp;""*
El pago puedes hacerlo vía transferencia en la siguiente *EN HASTA DOS CUOTAS*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3" s="123">
        <v>187500.0</v>
      </c>
      <c r="AH3" s="123">
        <v>223125.0</v>
      </c>
      <c r="AI3" s="123"/>
      <c r="AJ3" s="123"/>
      <c r="AK3" s="123"/>
    </row>
    <row r="4">
      <c r="A4" s="126" t="s">
        <v>1361</v>
      </c>
      <c r="B4" s="25" t="s">
        <v>814</v>
      </c>
      <c r="C4" s="30" t="s">
        <v>38</v>
      </c>
      <c r="D4" s="30" t="s">
        <v>38</v>
      </c>
      <c r="E4" s="48" t="s">
        <v>1362</v>
      </c>
      <c r="F4" s="118"/>
      <c r="G4" s="66"/>
      <c r="H4" s="88">
        <v>40000.0</v>
      </c>
      <c r="I4" s="88">
        <f t="shared" si="1"/>
        <v>47600</v>
      </c>
      <c r="J4" s="30"/>
      <c r="K4" s="104"/>
      <c r="L4" s="71"/>
      <c r="M4" s="26" t="s">
        <v>154</v>
      </c>
      <c r="N4" s="26" t="s">
        <v>815</v>
      </c>
      <c r="O4" s="28" t="s">
        <v>160</v>
      </c>
      <c r="P4" s="28" t="s">
        <v>816</v>
      </c>
      <c r="Q4" s="30" t="s">
        <v>1371</v>
      </c>
      <c r="R4" s="29"/>
      <c r="S4" s="29"/>
      <c r="T4" s="29"/>
      <c r="U4" s="29"/>
      <c r="V4" s="30" t="s">
        <v>811</v>
      </c>
      <c r="W4" s="30" t="s">
        <v>1364</v>
      </c>
      <c r="X4" s="127">
        <v>46093.0</v>
      </c>
      <c r="Y4" s="48" t="s">
        <v>50</v>
      </c>
      <c r="Z4" s="28" t="s">
        <v>817</v>
      </c>
      <c r="AA4" s="28" t="s">
        <v>809</v>
      </c>
      <c r="AB4" s="106"/>
      <c r="AC4" s="66"/>
      <c r="AD4" s="66"/>
      <c r="AE4" s="81"/>
      <c r="AF4" s="121" t="str">
        <f>IFERROR(__xludf.DUMMYFUNCTION("HYPERLINK(
""https://wa.me/""&amp;REGEXREPLACE(Q4,""[^0-9]"","""")&amp;
""?text=""&amp;
ENCODEURL(
""Hola *""&amp;B4&amp;""*.
Te recordamos que la factura Nº *""&amp;J4&amp;""* por el plan """"""&amp;E4&amp;"""""" se encuentra disponible para pago y vence hoy.
Monto: *$""&amp;I4&amp;""*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" s="81"/>
      <c r="AH4" s="81">
        <f>AG4*1.19</f>
        <v>0</v>
      </c>
      <c r="AI4" s="81"/>
      <c r="AJ4" s="81"/>
      <c r="AK4" s="81"/>
    </row>
    <row r="5">
      <c r="A5" s="126" t="s">
        <v>1361</v>
      </c>
      <c r="B5" s="25" t="s">
        <v>819</v>
      </c>
      <c r="C5" s="30" t="s">
        <v>38</v>
      </c>
      <c r="D5" s="30" t="s">
        <v>38</v>
      </c>
      <c r="E5" s="48" t="s">
        <v>1372</v>
      </c>
      <c r="F5" s="118"/>
      <c r="G5" s="66"/>
      <c r="H5" s="124">
        <v>50000.0</v>
      </c>
      <c r="I5" s="88">
        <f t="shared" si="1"/>
        <v>59500</v>
      </c>
      <c r="J5" s="30"/>
      <c r="K5" s="97" t="s">
        <v>1373</v>
      </c>
      <c r="L5" s="71"/>
      <c r="M5" s="26" t="s">
        <v>725</v>
      </c>
      <c r="N5" s="26" t="s">
        <v>726</v>
      </c>
      <c r="O5" s="28" t="s">
        <v>723</v>
      </c>
      <c r="P5" s="28" t="s">
        <v>820</v>
      </c>
      <c r="Q5" s="120" t="s">
        <v>1374</v>
      </c>
      <c r="R5" s="29"/>
      <c r="S5" s="29"/>
      <c r="T5" s="29"/>
      <c r="U5" s="29"/>
      <c r="V5" s="30" t="s">
        <v>811</v>
      </c>
      <c r="W5" s="30" t="s">
        <v>1364</v>
      </c>
      <c r="X5" s="128">
        <v>46090.0</v>
      </c>
      <c r="Y5" s="48" t="s">
        <v>50</v>
      </c>
      <c r="Z5" s="28" t="s">
        <v>821</v>
      </c>
      <c r="AA5" s="28" t="s">
        <v>728</v>
      </c>
      <c r="AB5" s="48" t="s">
        <v>811</v>
      </c>
      <c r="AC5" s="66"/>
      <c r="AD5" s="66"/>
      <c r="AE5" s="81"/>
      <c r="AF5" s="121" t="str">
        <f>IFERROR(__xludf.DUMMYFUNCTION("HYPERLINK(
""https://wa.me/""&amp;REGEXREPLACE(Q5,""[^0-9]"","""")&amp;
""?text=""&amp;
ENCODEURL(
""Buenas tardes *""&amp;B5&amp;""*.
Te recordamos que tu plan """"""&amp;E5&amp;"""""" no incluye la declaración de renta. Te enviamos varios correos informando sobre este proceso. Es"&amp;"ta semana vencen las primeras declaraciones juradas, lo que generará multas
Valor: *$""&amp;AG5&amp;""* + IVA = *$""&amp;AH5&amp;""*
El pago puedes hacerlo vía transferencia en la siguiente *EN HASTA DOS CUOTAS* cuenta:
*CUENTA BANCARIA*
VOLLAIRE &amp; OLIVOS SIMPLE PYME "&amp;"LTDA
Banco BCI
Cuenta corriente
RUT 78.306.207-0
Número de cuenta: 70809538
MATIAS.OLIVOS@VSVCONSULTORES.COM
También puedes pagar con tarjeta de débito o crédito en el siguiente link:
https://www.flow.cl/btn.php?token=xe78c9acb73c3eff5e917d5c932a4a2f7f97"&amp;"1abe
Simple Pyme""
),
""Enviar WhatsApp""
)"),"Enviar WhatsApp")</f>
        <v>Enviar WhatsApp</v>
      </c>
      <c r="AG5" s="123">
        <v>156250.0</v>
      </c>
      <c r="AH5" s="123">
        <v>185937.5</v>
      </c>
      <c r="AI5" s="123"/>
      <c r="AJ5" s="123"/>
      <c r="AK5" s="123"/>
    </row>
    <row r="6" hidden="1">
      <c r="A6" s="126" t="s">
        <v>1361</v>
      </c>
      <c r="B6" s="25" t="s">
        <v>823</v>
      </c>
      <c r="C6" s="30" t="s">
        <v>38</v>
      </c>
      <c r="D6" s="30" t="s">
        <v>38</v>
      </c>
      <c r="E6" s="48" t="s">
        <v>1375</v>
      </c>
      <c r="F6" s="118"/>
      <c r="G6" s="28" t="s">
        <v>50</v>
      </c>
      <c r="H6" s="54">
        <v>0.0</v>
      </c>
      <c r="I6" s="88">
        <f t="shared" si="1"/>
        <v>0</v>
      </c>
      <c r="J6" s="129" t="s">
        <v>1376</v>
      </c>
      <c r="K6" s="104"/>
      <c r="L6" s="30" t="s">
        <v>1377</v>
      </c>
      <c r="M6" s="26" t="s">
        <v>461</v>
      </c>
      <c r="N6" s="26" t="s">
        <v>462</v>
      </c>
      <c r="O6" s="28" t="s">
        <v>459</v>
      </c>
      <c r="P6" s="28" t="s">
        <v>461</v>
      </c>
      <c r="Q6" s="120">
        <v>9.86455813E8</v>
      </c>
      <c r="R6" s="29"/>
      <c r="S6" s="29"/>
      <c r="T6" s="29"/>
      <c r="U6" s="29"/>
      <c r="V6" s="30" t="s">
        <v>811</v>
      </c>
      <c r="W6" s="48" t="s">
        <v>1375</v>
      </c>
      <c r="X6" s="66"/>
      <c r="Y6" s="48" t="s">
        <v>50</v>
      </c>
      <c r="Z6" s="28" t="s">
        <v>823</v>
      </c>
      <c r="AA6" s="28" t="s">
        <v>824</v>
      </c>
      <c r="AB6" s="106"/>
      <c r="AC6" s="66"/>
      <c r="AD6" s="66"/>
      <c r="AE6" s="81"/>
      <c r="AF6" s="81" t="str">
        <f>IFERROR(__xludf.DUMMYFUNCTION("HYPERLINK(
""https://wa.me/""&amp;REGEXREPLACE(Q6,""[^0-9]"","""")&amp;
""?text=""&amp;
ENCODEURL(
""Hola *""&amp;B6&amp;""*.
Te recordamos que la factura Nº *""&amp;J6&amp;""* por el plan """"""&amp;E6&amp;"""""" se encuentra disponible para pago y vence hoy.
Monto: *$""&amp;I6&amp;""*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*$""&amp;AG6&amp;""*
Valor total febrero (con IVA): *$""&amp;AH6&amp;""*
A partir de mañana el valor aumenta un 25"&amp;"%, correspondiente al valor de diciembre.
Simple Pyme""
),
""Enviar WhatsApp""
)"),"Enviar WhatsApp")</f>
        <v>Enviar WhatsApp</v>
      </c>
      <c r="AG6" s="81"/>
      <c r="AH6" s="81"/>
      <c r="AI6" s="81"/>
      <c r="AJ6" s="81"/>
      <c r="AK6" s="81"/>
    </row>
    <row r="7">
      <c r="A7" s="126" t="s">
        <v>1361</v>
      </c>
      <c r="B7" s="25" t="s">
        <v>88</v>
      </c>
      <c r="C7" s="30" t="s">
        <v>38</v>
      </c>
      <c r="D7" s="30" t="s">
        <v>38</v>
      </c>
      <c r="E7" s="48" t="s">
        <v>1362</v>
      </c>
      <c r="F7" s="118"/>
      <c r="G7" s="66"/>
      <c r="H7" s="88">
        <v>30000.0</v>
      </c>
      <c r="I7" s="88">
        <f t="shared" si="1"/>
        <v>35700</v>
      </c>
      <c r="J7" s="30"/>
      <c r="K7" s="104"/>
      <c r="L7" s="71"/>
      <c r="M7" s="26" t="s">
        <v>89</v>
      </c>
      <c r="N7" s="26" t="s">
        <v>90</v>
      </c>
      <c r="O7" s="28" t="s">
        <v>93</v>
      </c>
      <c r="P7" s="28" t="s">
        <v>825</v>
      </c>
      <c r="Q7" s="120" t="s">
        <v>1378</v>
      </c>
      <c r="R7" s="29"/>
      <c r="S7" s="29"/>
      <c r="T7" s="29"/>
      <c r="U7" s="29"/>
      <c r="V7" s="30" t="s">
        <v>811</v>
      </c>
      <c r="W7" s="30" t="s">
        <v>1364</v>
      </c>
      <c r="X7" s="130"/>
      <c r="Y7" s="48" t="s">
        <v>50</v>
      </c>
      <c r="Z7" s="28" t="s">
        <v>826</v>
      </c>
      <c r="AA7" s="28" t="s">
        <v>92</v>
      </c>
      <c r="AB7" s="106"/>
      <c r="AC7" s="66"/>
      <c r="AD7" s="66"/>
      <c r="AE7" s="81"/>
      <c r="AF7" s="121" t="str">
        <f>IFERROR(__xludf.DUMMYFUNCTION("HYPERLINK(
""https://wa.me/""&amp;REGEXREPLACE(Q7,""[^0-9]"","""")&amp;
""?text=""&amp;
ENCODEURL(
""Hola *""&amp;B7&amp;""*.
Te recordamos que la factura Nº *""&amp;J7&amp;""* por el plan """"""&amp;E7&amp;"""""" se encuentra disponible para pago y vence hoy.
Monto: *$""&amp;I7&amp;""*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7" s="81"/>
      <c r="AH7" s="81">
        <f t="shared" ref="AH7:AH8" si="2">AG7*1.19</f>
        <v>0</v>
      </c>
      <c r="AI7" s="81"/>
      <c r="AJ7" s="81"/>
      <c r="AK7" s="81"/>
    </row>
    <row r="8">
      <c r="A8" s="126" t="s">
        <v>1361</v>
      </c>
      <c r="B8" s="25" t="s">
        <v>827</v>
      </c>
      <c r="C8" s="30" t="s">
        <v>38</v>
      </c>
      <c r="D8" s="30" t="s">
        <v>38</v>
      </c>
      <c r="E8" s="48" t="s">
        <v>1372</v>
      </c>
      <c r="F8" s="118"/>
      <c r="G8" s="66"/>
      <c r="H8" s="88">
        <v>50000.0</v>
      </c>
      <c r="I8" s="88">
        <f t="shared" si="1"/>
        <v>59500</v>
      </c>
      <c r="J8" s="30"/>
      <c r="K8" s="88">
        <v>119000.0</v>
      </c>
      <c r="L8" s="71"/>
      <c r="M8" s="26" t="s">
        <v>828</v>
      </c>
      <c r="N8" s="26" t="s">
        <v>829</v>
      </c>
      <c r="O8" s="28" t="s">
        <v>319</v>
      </c>
      <c r="P8" s="28" t="s">
        <v>830</v>
      </c>
      <c r="Q8" s="30" t="s">
        <v>1379</v>
      </c>
      <c r="R8" s="29"/>
      <c r="S8" s="29"/>
      <c r="T8" s="29"/>
      <c r="U8" s="29"/>
      <c r="V8" s="30" t="s">
        <v>811</v>
      </c>
      <c r="W8" s="30" t="s">
        <v>1364</v>
      </c>
      <c r="X8" s="127">
        <v>46086.0</v>
      </c>
      <c r="Y8" s="48" t="s">
        <v>50</v>
      </c>
      <c r="Z8" s="28" t="s">
        <v>831</v>
      </c>
      <c r="AA8" s="28" t="s">
        <v>325</v>
      </c>
      <c r="AB8" s="106"/>
      <c r="AC8" s="66"/>
      <c r="AD8" s="66"/>
      <c r="AE8" s="81"/>
      <c r="AF8" s="121" t="str">
        <f>IFERROR(__xludf.DUMMYFUNCTION("HYPERLINK(
""https://wa.me/""&amp;REGEXREPLACE(Q8,""[^0-9]"","""")&amp;
""?text=""&amp;
ENCODEURL(
""Hola *""&amp;B8&amp;""*.
Te recordamos que la factura Nº *""&amp;J8&amp;""* por el plan """"""&amp;E8&amp;"""""" se encuentra disponible para pago y vence hoy.
Monto: *$""&amp;I8&amp;""*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*$""&amp;AG8&amp;""*
Valor total febrero (con IVA): *$""&amp;AH8&amp;""*
A partir de mañana el valor aumenta un 25"&amp;"%, correspondiente al valor de diciembre.
Simple Pyme""
),
""Enviar WhatsApp""
)"),"Enviar WhatsApp")</f>
        <v>Enviar WhatsApp</v>
      </c>
      <c r="AG8" s="81"/>
      <c r="AH8" s="81">
        <f t="shared" si="2"/>
        <v>0</v>
      </c>
      <c r="AI8" s="81"/>
      <c r="AJ8" s="81"/>
      <c r="AK8" s="81"/>
    </row>
    <row r="9" hidden="1">
      <c r="A9" s="126" t="s">
        <v>1361</v>
      </c>
      <c r="B9" s="25" t="s">
        <v>832</v>
      </c>
      <c r="C9" s="66"/>
      <c r="D9" s="66"/>
      <c r="E9" s="48" t="s">
        <v>1380</v>
      </c>
      <c r="F9" s="118"/>
      <c r="G9" s="66"/>
      <c r="H9" s="88" t="s">
        <v>1381</v>
      </c>
      <c r="I9" s="88">
        <f t="shared" si="1"/>
        <v>0</v>
      </c>
      <c r="J9" s="129" t="s">
        <v>1376</v>
      </c>
      <c r="K9" s="104"/>
      <c r="L9" s="66"/>
      <c r="M9" s="26" t="s">
        <v>833</v>
      </c>
      <c r="N9" s="26" t="s">
        <v>834</v>
      </c>
      <c r="O9" s="28" t="s">
        <v>277</v>
      </c>
      <c r="P9" s="28" t="s">
        <v>835</v>
      </c>
      <c r="Q9" s="30" t="s">
        <v>1382</v>
      </c>
      <c r="R9" s="47"/>
      <c r="S9" s="47"/>
      <c r="T9" s="47"/>
      <c r="U9" s="47"/>
      <c r="V9" s="30" t="s">
        <v>811</v>
      </c>
      <c r="W9" s="48" t="s">
        <v>1380</v>
      </c>
      <c r="X9" s="66"/>
      <c r="Y9" s="48" t="s">
        <v>50</v>
      </c>
      <c r="Z9" s="28" t="s">
        <v>837</v>
      </c>
      <c r="AA9" s="28" t="s">
        <v>836</v>
      </c>
      <c r="AB9" s="106"/>
      <c r="AC9" s="66"/>
      <c r="AD9" s="66"/>
      <c r="AE9" s="81"/>
      <c r="AF9" s="121" t="str">
        <f>IFERROR(__xludf.DUMMYFUNCTION("HYPERLINK(
""https://wa.me/""&amp;REGEXREPLACE(Q9,""[^0-9]"","""")&amp;
""?text=""&amp;
ENCODEURL(
""Hola *""&amp;B9&amp;""*.
Te recordamos que la factura Nº *""&amp;J9&amp;""* por el plan """"""&amp;E9&amp;"""""" se encuentra disponible para pago y vence hoy.
Monto: *$""&amp;I9&amp;""*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*$""&amp;AG9&amp;""*
Valor total febrero (con IVA): *$""&amp;AH9&amp;""*
A partir de mañana el valor aumenta un 25"&amp;"%, correspondiente al valor de diciembre.
Simple Pyme""
),
""Enviar WhatsApp""
)"),"Enviar WhatsApp")</f>
        <v>Enviar WhatsApp</v>
      </c>
      <c r="AG9" s="81"/>
      <c r="AH9" s="81"/>
      <c r="AI9" s="81"/>
      <c r="AJ9" s="81"/>
      <c r="AK9" s="81"/>
    </row>
    <row r="10" hidden="1">
      <c r="A10" s="126" t="s">
        <v>1361</v>
      </c>
      <c r="B10" s="25" t="s">
        <v>838</v>
      </c>
      <c r="C10" s="66"/>
      <c r="D10" s="66"/>
      <c r="E10" s="48" t="s">
        <v>1380</v>
      </c>
      <c r="F10" s="118"/>
      <c r="G10" s="66"/>
      <c r="H10" s="88" t="s">
        <v>1381</v>
      </c>
      <c r="I10" s="88">
        <f t="shared" si="1"/>
        <v>0</v>
      </c>
      <c r="J10" s="129" t="s">
        <v>1376</v>
      </c>
      <c r="K10" s="104"/>
      <c r="L10" s="66"/>
      <c r="M10" s="26" t="s">
        <v>839</v>
      </c>
      <c r="N10" s="26" t="s">
        <v>840</v>
      </c>
      <c r="O10" s="28" t="s">
        <v>96</v>
      </c>
      <c r="P10" s="28" t="s">
        <v>841</v>
      </c>
      <c r="Q10" s="30" t="s">
        <v>1383</v>
      </c>
      <c r="R10" s="29"/>
      <c r="S10" s="29"/>
      <c r="T10" s="29"/>
      <c r="U10" s="29"/>
      <c r="V10" s="30" t="s">
        <v>811</v>
      </c>
      <c r="W10" s="48" t="s">
        <v>1380</v>
      </c>
      <c r="X10" s="66"/>
      <c r="Y10" s="48" t="s">
        <v>50</v>
      </c>
      <c r="Z10" s="28" t="s">
        <v>843</v>
      </c>
      <c r="AA10" s="28" t="s">
        <v>842</v>
      </c>
      <c r="AB10" s="106"/>
      <c r="AC10" s="66"/>
      <c r="AD10" s="66"/>
      <c r="AE10" s="81"/>
      <c r="AF10" s="121" t="str">
        <f>IFERROR(__xludf.DUMMYFUNCTION("HYPERLINK(
""https://wa.me/""&amp;REGEXREPLACE(Q10,""[^0-9]"","""")&amp;
""?text=""&amp;
ENCODEURL(
""Hola *""&amp;B10&amp;""*.
Te recordamos que la factura Nº *""&amp;J10&amp;""* por el plan """"""&amp;E10&amp;"""""" se encuentra disponible para pago y vence hoy.
Monto: *$""&amp;I10&amp;""*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*$""&amp;AG10&amp;""*
Valor total febrero (con IVA): *$""&amp;AH10&amp;""*
A partir de mañana el valor aument"&amp;"a un 25%, correspondiente al valor de diciembre.
Simple Pyme""
),
""Enviar WhatsApp""
)"),"Enviar WhatsApp")</f>
        <v>Enviar WhatsApp</v>
      </c>
      <c r="AG10" s="81"/>
      <c r="AH10" s="81"/>
      <c r="AI10" s="81"/>
      <c r="AJ10" s="81"/>
      <c r="AK10" s="81"/>
    </row>
    <row r="11" hidden="1">
      <c r="A11" s="126" t="s">
        <v>1361</v>
      </c>
      <c r="B11" s="25" t="s">
        <v>844</v>
      </c>
      <c r="C11" s="66"/>
      <c r="D11" s="66"/>
      <c r="E11" s="48" t="s">
        <v>1380</v>
      </c>
      <c r="F11" s="118"/>
      <c r="G11" s="66"/>
      <c r="H11" s="88" t="s">
        <v>1381</v>
      </c>
      <c r="I11" s="88">
        <f t="shared" si="1"/>
        <v>0</v>
      </c>
      <c r="J11" s="129" t="s">
        <v>1376</v>
      </c>
      <c r="K11" s="104"/>
      <c r="L11" s="66"/>
      <c r="M11" s="26" t="s">
        <v>845</v>
      </c>
      <c r="N11" s="26" t="s">
        <v>846</v>
      </c>
      <c r="O11" s="28" t="s">
        <v>847</v>
      </c>
      <c r="P11" s="28" t="s">
        <v>848</v>
      </c>
      <c r="Q11" s="30" t="s">
        <v>1384</v>
      </c>
      <c r="R11" s="29"/>
      <c r="S11" s="29"/>
      <c r="T11" s="29"/>
      <c r="U11" s="29"/>
      <c r="V11" s="30" t="s">
        <v>811</v>
      </c>
      <c r="W11" s="48" t="s">
        <v>1380</v>
      </c>
      <c r="X11" s="66"/>
      <c r="Y11" s="48" t="s">
        <v>50</v>
      </c>
      <c r="Z11" s="28" t="s">
        <v>1385</v>
      </c>
      <c r="AA11" s="28" t="s">
        <v>849</v>
      </c>
      <c r="AB11" s="106"/>
      <c r="AC11" s="66"/>
      <c r="AD11" s="66"/>
      <c r="AE11" s="81"/>
      <c r="AF11" s="121" t="str">
        <f>IFERROR(__xludf.DUMMYFUNCTION("HYPERLINK(
""https://wa.me/""&amp;REGEXREPLACE(Q11,""[^0-9]"","""")&amp;
""?text=""&amp;
ENCODEURL(
""Hola *""&amp;B11&amp;""*.
Te recordamos que la factura Nº *""&amp;J11&amp;""* por el plan """"""&amp;E11&amp;"""""" se encuentra disponible para pago y vence hoy.
Monto: *$""&amp;I11&amp;""*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*$""&amp;AG11&amp;""*
Valor total febrero (con IVA): *$""&amp;AH11&amp;""*
A partir de mañana el valor aument"&amp;"a un 25%, correspondiente al valor de diciembre.
Simple Pyme""
),
""Enviar WhatsApp""
)"),"Enviar WhatsApp")</f>
        <v>Enviar WhatsApp</v>
      </c>
      <c r="AG11" s="81"/>
      <c r="AH11" s="81"/>
      <c r="AI11" s="81"/>
      <c r="AJ11" s="81"/>
      <c r="AK11" s="81"/>
    </row>
    <row r="12">
      <c r="A12" s="126" t="s">
        <v>1361</v>
      </c>
      <c r="B12" s="25" t="s">
        <v>1325</v>
      </c>
      <c r="C12" s="28" t="s">
        <v>50</v>
      </c>
      <c r="D12" s="28"/>
      <c r="E12" s="48" t="s">
        <v>1372</v>
      </c>
      <c r="F12" s="118"/>
      <c r="G12" s="28">
        <v>3.0</v>
      </c>
      <c r="H12" s="88">
        <v>70000.0</v>
      </c>
      <c r="I12" s="88">
        <f t="shared" si="1"/>
        <v>83300</v>
      </c>
      <c r="J12" s="30"/>
      <c r="K12" s="104"/>
      <c r="L12" s="71"/>
      <c r="M12" s="26" t="s">
        <v>1326</v>
      </c>
      <c r="N12" s="26" t="s">
        <v>1327</v>
      </c>
      <c r="O12" s="28" t="s">
        <v>1386</v>
      </c>
      <c r="P12" s="28" t="s">
        <v>1387</v>
      </c>
      <c r="Q12" s="30" t="s">
        <v>1388</v>
      </c>
      <c r="R12" s="29"/>
      <c r="S12" s="29"/>
      <c r="T12" s="29"/>
      <c r="U12" s="29"/>
      <c r="V12" s="30" t="s">
        <v>811</v>
      </c>
      <c r="W12" s="30" t="s">
        <v>1364</v>
      </c>
      <c r="X12" s="131">
        <v>46089.0</v>
      </c>
      <c r="Y12" s="48" t="s">
        <v>50</v>
      </c>
      <c r="Z12" s="28" t="s">
        <v>1389</v>
      </c>
      <c r="AA12" s="28" t="s">
        <v>1390</v>
      </c>
      <c r="AB12" s="106"/>
      <c r="AC12" s="66"/>
      <c r="AD12" s="66"/>
      <c r="AE12" s="81"/>
      <c r="AF12" s="121" t="str">
        <f>IFERROR(__xludf.DUMMYFUNCTION("HYPERLINK(
""https://wa.me/""&amp;REGEXREPLACE(Q12,""[^0-9]"","""")&amp;
""?text=""&amp;
ENCODEURL(
""Buenas tardes *""&amp;B12&amp;""*.
Te recordamos que la operación renta ya comenzó y vencieron las primeras declaracione juradas *EVITA MÁS MULTAS*,  tu plan """"""&amp;E12&amp;"""&amp;""""" no incluye la declaración de renta. Te enviamos varios correos informando sobre este proceso. 
Valor del servicio: *$""&amp;AG12&amp;""* + IVA = *$""&amp;AH12&amp;""*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12" s="123">
        <v>156250.0</v>
      </c>
      <c r="AH12" s="123">
        <v>185937.5</v>
      </c>
      <c r="AI12" s="123"/>
      <c r="AJ12" s="123"/>
      <c r="AK12" s="123"/>
    </row>
    <row r="13">
      <c r="A13" s="79" t="s">
        <v>1361</v>
      </c>
      <c r="B13" s="40" t="s">
        <v>498</v>
      </c>
      <c r="C13" s="30" t="s">
        <v>38</v>
      </c>
      <c r="D13" s="30" t="s">
        <v>38</v>
      </c>
      <c r="E13" s="30" t="s">
        <v>1362</v>
      </c>
      <c r="F13" s="118"/>
      <c r="G13" s="71">
        <v>1.0</v>
      </c>
      <c r="H13" s="54">
        <v>40000.0</v>
      </c>
      <c r="I13" s="88">
        <f t="shared" si="1"/>
        <v>47600</v>
      </c>
      <c r="J13" s="30"/>
      <c r="K13" s="97">
        <v>92969.0</v>
      </c>
      <c r="L13" s="65"/>
      <c r="M13" s="26" t="s">
        <v>499</v>
      </c>
      <c r="N13" s="26" t="s">
        <v>500</v>
      </c>
      <c r="O13" s="28" t="s">
        <v>850</v>
      </c>
      <c r="P13" s="28" t="s">
        <v>851</v>
      </c>
      <c r="Q13" s="120" t="s">
        <v>1391</v>
      </c>
      <c r="R13" s="29"/>
      <c r="S13" s="29"/>
      <c r="T13" s="29"/>
      <c r="U13" s="29"/>
      <c r="V13" s="30" t="s">
        <v>811</v>
      </c>
      <c r="W13" s="30" t="s">
        <v>1364</v>
      </c>
      <c r="X13" s="132">
        <v>46091.0</v>
      </c>
      <c r="Y13" s="28" t="s">
        <v>50</v>
      </c>
      <c r="Z13" s="28" t="s">
        <v>853</v>
      </c>
      <c r="AA13" s="28" t="s">
        <v>852</v>
      </c>
      <c r="AB13" s="66"/>
      <c r="AC13" s="66"/>
      <c r="AD13" s="66"/>
      <c r="AE13" s="81"/>
      <c r="AF13" s="121" t="str">
        <f>IFERROR(__xludf.DUMMYFUNCTION("HYPERLINK(
""https://wa.me/""&amp;REGEXREPLACE(Q13,""[^0-9]"","""")&amp;
""?text=""&amp;
ENCODEURL(
""Hola *""&amp;B13&amp;""*.
Te recordamos que la factura Nº *""&amp;J13&amp;""* por el plan """"""&amp;E13&amp;"""""" se encuentra disponible para pago y vence hoy.
Monto: *$""&amp;I13&amp;""*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3" s="81"/>
      <c r="AH13" s="81">
        <f>AG13*1.19</f>
        <v>0</v>
      </c>
      <c r="AI13" s="81"/>
      <c r="AJ13" s="81"/>
      <c r="AK13" s="81"/>
    </row>
    <row r="14" hidden="1">
      <c r="A14" s="126" t="s">
        <v>1361</v>
      </c>
      <c r="B14" s="40" t="s">
        <v>854</v>
      </c>
      <c r="C14" s="30" t="s">
        <v>38</v>
      </c>
      <c r="D14" s="30" t="s">
        <v>38</v>
      </c>
      <c r="E14" s="48" t="s">
        <v>1375</v>
      </c>
      <c r="F14" s="118"/>
      <c r="G14" s="66"/>
      <c r="H14" s="88" t="s">
        <v>1381</v>
      </c>
      <c r="I14" s="88">
        <f t="shared" si="1"/>
        <v>0</v>
      </c>
      <c r="J14" s="129" t="s">
        <v>1376</v>
      </c>
      <c r="K14" s="104"/>
      <c r="L14" s="30" t="s">
        <v>1392</v>
      </c>
      <c r="M14" s="26" t="s">
        <v>425</v>
      </c>
      <c r="N14" s="26" t="s">
        <v>426</v>
      </c>
      <c r="O14" s="28" t="s">
        <v>855</v>
      </c>
      <c r="P14" s="28" t="s">
        <v>856</v>
      </c>
      <c r="Q14" s="120">
        <v>9.55255801E8</v>
      </c>
      <c r="R14" s="41"/>
      <c r="S14" s="41"/>
      <c r="T14" s="41"/>
      <c r="U14" s="41"/>
      <c r="V14" s="30" t="s">
        <v>811</v>
      </c>
      <c r="W14" s="48" t="s">
        <v>1375</v>
      </c>
      <c r="X14" s="66"/>
      <c r="Y14" s="48" t="s">
        <v>50</v>
      </c>
      <c r="Z14" s="28" t="s">
        <v>858</v>
      </c>
      <c r="AA14" s="28" t="s">
        <v>857</v>
      </c>
      <c r="AB14" s="106"/>
      <c r="AC14" s="66"/>
      <c r="AD14" s="66"/>
      <c r="AE14" s="81"/>
      <c r="AF14" s="81" t="str">
        <f>IFERROR(__xludf.DUMMYFUNCTION("HYPERLINK(
""https://wa.me/""&amp;REGEXREPLACE(Q14,""[^0-9]"","""")&amp;
""?text=""&amp;
ENCODEURL(
""Hola *""&amp;B14&amp;""*.
Te recordamos que la factura Nº *""&amp;J14&amp;""* por el plan """"""&amp;E14&amp;"""""" se encuentra disponible para pago y vence hoy.
Monto: *$""&amp;I14&amp;""*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*$""&amp;AG14&amp;""*
Valor total febrero (con IVA): *$""&amp;AH14&amp;""*
A partir de mañana el valor aument"&amp;"a un 25%, correspondiente al valor de diciembre.
Simple Pyme""
),
""Enviar WhatsApp""
)"),"Enviar WhatsApp")</f>
        <v>Enviar WhatsApp</v>
      </c>
      <c r="AG14" s="81"/>
      <c r="AH14" s="81"/>
      <c r="AI14" s="81"/>
      <c r="AJ14" s="81"/>
      <c r="AK14" s="81"/>
    </row>
    <row r="15">
      <c r="A15" s="126" t="s">
        <v>1361</v>
      </c>
      <c r="B15" s="133" t="s">
        <v>859</v>
      </c>
      <c r="C15" s="30" t="s">
        <v>38</v>
      </c>
      <c r="D15" s="30" t="s">
        <v>38</v>
      </c>
      <c r="E15" s="48" t="s">
        <v>1372</v>
      </c>
      <c r="F15" s="118"/>
      <c r="G15" s="28">
        <v>1.0</v>
      </c>
      <c r="H15" s="88">
        <v>50000.0</v>
      </c>
      <c r="I15" s="88">
        <f t="shared" si="1"/>
        <v>59500</v>
      </c>
      <c r="J15" s="30"/>
      <c r="K15" s="104"/>
      <c r="L15" s="28" t="s">
        <v>1393</v>
      </c>
      <c r="M15" s="26" t="s">
        <v>860</v>
      </c>
      <c r="N15" s="26" t="s">
        <v>364</v>
      </c>
      <c r="O15" s="28" t="s">
        <v>861</v>
      </c>
      <c r="P15" s="28" t="s">
        <v>862</v>
      </c>
      <c r="Q15" s="28" t="s">
        <v>1394</v>
      </c>
      <c r="R15" s="29"/>
      <c r="S15" s="29"/>
      <c r="T15" s="29"/>
      <c r="U15" s="29"/>
      <c r="V15" s="30" t="s">
        <v>811</v>
      </c>
      <c r="W15" s="30" t="s">
        <v>1364</v>
      </c>
      <c r="X15" s="127">
        <v>46088.0</v>
      </c>
      <c r="Y15" s="48" t="s">
        <v>50</v>
      </c>
      <c r="Z15" s="28" t="s">
        <v>1395</v>
      </c>
      <c r="AA15" s="28" t="s">
        <v>863</v>
      </c>
      <c r="AB15" s="106"/>
      <c r="AC15" s="66"/>
      <c r="AD15" s="66"/>
      <c r="AE15" s="81"/>
      <c r="AF15" s="121" t="str">
        <f>IFERROR(__xludf.DUMMYFUNCTION("HYPERLINK(
""https://wa.me/""&amp;REGEXREPLACE(Q15,""[^0-9]"","""")&amp;
""?text=""&amp;
ENCODEURL(
""Hola *""&amp;B15&amp;""*.
Te recordamos que la factura Nº *""&amp;J15&amp;""* por el plan """"""&amp;E15&amp;"""""" se encuentra disponible para pago y vence hoy.
Monto: *$""&amp;I15&amp;""*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5" s="81"/>
      <c r="AH15" s="81">
        <f t="shared" ref="AH15:AH16" si="3">AG15*1.19</f>
        <v>0</v>
      </c>
      <c r="AI15" s="81"/>
      <c r="AJ15" s="81"/>
      <c r="AK15" s="81"/>
    </row>
    <row r="16">
      <c r="A16" s="126" t="s">
        <v>1361</v>
      </c>
      <c r="B16" s="40" t="s">
        <v>865</v>
      </c>
      <c r="C16" s="30" t="s">
        <v>38</v>
      </c>
      <c r="D16" s="30" t="s">
        <v>38</v>
      </c>
      <c r="E16" s="70" t="s">
        <v>1362</v>
      </c>
      <c r="F16" s="118"/>
      <c r="G16" s="66"/>
      <c r="H16" s="54">
        <v>30000.0</v>
      </c>
      <c r="I16" s="88">
        <f t="shared" si="1"/>
        <v>35700</v>
      </c>
      <c r="J16" s="30"/>
      <c r="K16" s="88">
        <v>178500.0</v>
      </c>
      <c r="L16" s="71"/>
      <c r="M16" s="26" t="s">
        <v>59</v>
      </c>
      <c r="N16" s="26" t="s">
        <v>866</v>
      </c>
      <c r="O16" s="28" t="s">
        <v>63</v>
      </c>
      <c r="P16" s="28" t="s">
        <v>867</v>
      </c>
      <c r="Q16" s="120" t="s">
        <v>1396</v>
      </c>
      <c r="R16" s="29"/>
      <c r="S16" s="29"/>
      <c r="T16" s="29"/>
      <c r="U16" s="29"/>
      <c r="V16" s="30" t="s">
        <v>811</v>
      </c>
      <c r="W16" s="30" t="s">
        <v>1364</v>
      </c>
      <c r="X16" s="127">
        <v>45721.0</v>
      </c>
      <c r="Y16" s="48" t="s">
        <v>50</v>
      </c>
      <c r="Z16" s="28" t="s">
        <v>868</v>
      </c>
      <c r="AA16" s="28" t="s">
        <v>60</v>
      </c>
      <c r="AB16" s="106"/>
      <c r="AC16" s="66"/>
      <c r="AD16" s="66"/>
      <c r="AE16" s="81"/>
      <c r="AF16" s="121" t="str">
        <f>IFERROR(__xludf.DUMMYFUNCTION("HYPERLINK(
""https://wa.me/""&amp;REGEXREPLACE(Q16,""[^0-9]"","""")&amp;
""?text=""&amp;
ENCODEURL(
""Hola *""&amp;B16&amp;""*.
Te recordamos que la factura Nº *""&amp;J16&amp;""* por el plan """"""&amp;E16&amp;"""""" se encuentra disponible para pago y vence hoy.
Monto: *$""&amp;I16&amp;""*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6" s="81"/>
      <c r="AH16" s="81">
        <f t="shared" si="3"/>
        <v>0</v>
      </c>
      <c r="AI16" s="81"/>
      <c r="AJ16" s="81"/>
      <c r="AK16" s="81"/>
    </row>
    <row r="17">
      <c r="A17" s="126" t="s">
        <v>1361</v>
      </c>
      <c r="B17" s="40" t="s">
        <v>869</v>
      </c>
      <c r="C17" s="30" t="s">
        <v>38</v>
      </c>
      <c r="D17" s="30" t="s">
        <v>38</v>
      </c>
      <c r="E17" s="48" t="s">
        <v>1362</v>
      </c>
      <c r="F17" s="118"/>
      <c r="G17" s="66"/>
      <c r="H17" s="88">
        <v>30000.0</v>
      </c>
      <c r="I17" s="88">
        <f t="shared" si="1"/>
        <v>35700</v>
      </c>
      <c r="J17" s="30"/>
      <c r="K17" s="104"/>
      <c r="L17" s="66"/>
      <c r="M17" s="26" t="s">
        <v>870</v>
      </c>
      <c r="N17" s="26" t="s">
        <v>871</v>
      </c>
      <c r="O17" s="28" t="s">
        <v>872</v>
      </c>
      <c r="P17" s="28" t="s">
        <v>873</v>
      </c>
      <c r="Q17" s="120" t="s">
        <v>1397</v>
      </c>
      <c r="R17" s="29"/>
      <c r="S17" s="29"/>
      <c r="T17" s="29"/>
      <c r="U17" s="29"/>
      <c r="V17" s="30" t="s">
        <v>811</v>
      </c>
      <c r="W17" s="30" t="s">
        <v>1364</v>
      </c>
      <c r="X17" s="127">
        <v>46086.0</v>
      </c>
      <c r="Y17" s="48" t="s">
        <v>50</v>
      </c>
      <c r="Z17" s="28" t="s">
        <v>874</v>
      </c>
      <c r="AA17" s="28" t="s">
        <v>167</v>
      </c>
      <c r="AB17" s="106"/>
      <c r="AC17" s="66"/>
      <c r="AD17" s="66"/>
      <c r="AE17" s="81"/>
      <c r="AF17" s="121" t="str">
        <f>IFERROR(__xludf.DUMMYFUNCTION("HYPERLINK(
""https://wa.me/""&amp;REGEXREPLACE(Q17,""[^0-9]"","""")&amp;
""?text=""&amp;
ENCODEURL(
""Hola *""&amp;B17&amp;""*.
Te recordamos que la factura Nº *""&amp;J17&amp;""* por el plan """"""&amp;E17&amp;"""""" se encuentra disponible para pago y vence hoy.
Monto: *$""&amp;I17&amp;""*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*$""&amp;AG17&amp;""*
Valor total febrero (con IVA): *$""&amp;AH17&amp;""*
A partir de mañana el valor aument"&amp;"a un 25%, correspondiente al valor de diciembre.
Simple Pyme""
),
""Enviar WhatsApp""
)"),"Enviar WhatsApp")</f>
        <v>Enviar WhatsApp</v>
      </c>
      <c r="AG17" s="81"/>
      <c r="AH17" s="81"/>
      <c r="AI17" s="81"/>
      <c r="AJ17" s="81"/>
      <c r="AK17" s="81"/>
    </row>
    <row r="18">
      <c r="A18" s="79" t="s">
        <v>1361</v>
      </c>
      <c r="B18" s="40" t="s">
        <v>875</v>
      </c>
      <c r="C18" s="30" t="s">
        <v>38</v>
      </c>
      <c r="D18" s="30" t="s">
        <v>38</v>
      </c>
      <c r="E18" s="28" t="s">
        <v>1372</v>
      </c>
      <c r="F18" s="118"/>
      <c r="G18" s="28">
        <v>2.0</v>
      </c>
      <c r="H18" s="124">
        <v>50000.0</v>
      </c>
      <c r="I18" s="88">
        <f t="shared" si="1"/>
        <v>59500</v>
      </c>
      <c r="J18" s="30"/>
      <c r="K18" s="97">
        <v>119000.0</v>
      </c>
      <c r="L18" s="28" t="s">
        <v>1398</v>
      </c>
      <c r="M18" s="26" t="s">
        <v>243</v>
      </c>
      <c r="N18" s="26" t="s">
        <v>244</v>
      </c>
      <c r="O18" s="28" t="s">
        <v>876</v>
      </c>
      <c r="P18" s="28" t="s">
        <v>877</v>
      </c>
      <c r="Q18" s="30" t="s">
        <v>1399</v>
      </c>
      <c r="R18" s="29"/>
      <c r="S18" s="29"/>
      <c r="T18" s="29"/>
      <c r="U18" s="29"/>
      <c r="V18" s="30" t="s">
        <v>811</v>
      </c>
      <c r="W18" s="30" t="s">
        <v>1364</v>
      </c>
      <c r="X18" s="132">
        <v>46099.0</v>
      </c>
      <c r="Y18" s="28" t="s">
        <v>38</v>
      </c>
      <c r="Z18" s="28" t="s">
        <v>878</v>
      </c>
      <c r="AA18" s="26" t="s">
        <v>244</v>
      </c>
      <c r="AB18" s="66"/>
      <c r="AC18" s="66"/>
      <c r="AD18" s="66"/>
      <c r="AE18" s="81"/>
      <c r="AF18" s="121" t="str">
        <f>IFERROR(__xludf.DUMMYFUNCTION("HYPERLINK(
""https://wa.me/""&amp;REGEXREPLACE(Q18,""[^0-9]"","""")&amp;
""?text=""&amp;
ENCODEURL(
""Buenas tardes *""&amp;B18&amp;""*.
Te recordamos que la factura """"""&amp;J18&amp;"""""" de tu plan """"""&amp;E18&amp;"""""" se encuentre impaga a la fecha, lo que implica que tu servici"&amp;"o se encuentra suspendido. Para reactivar el servicio y que hagamos la declaración mensual debes realizar el pago lo antes posible.
Valor: *$""&amp;H18&amp;""* + IVA = *$""&amp;I18&amp;""*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18" s="81"/>
      <c r="AH18" s="81">
        <f t="shared" ref="AH18:AH19" si="4">AG18*1.19</f>
        <v>0</v>
      </c>
      <c r="AI18" s="81"/>
      <c r="AJ18" s="81"/>
      <c r="AK18" s="81"/>
    </row>
    <row r="19">
      <c r="A19" s="79" t="s">
        <v>1361</v>
      </c>
      <c r="B19" s="40" t="s">
        <v>596</v>
      </c>
      <c r="C19" s="30" t="s">
        <v>38</v>
      </c>
      <c r="D19" s="30" t="s">
        <v>38</v>
      </c>
      <c r="E19" s="28" t="s">
        <v>1362</v>
      </c>
      <c r="F19" s="118"/>
      <c r="G19" s="66"/>
      <c r="H19" s="88">
        <v>30000.0</v>
      </c>
      <c r="I19" s="88">
        <f t="shared" si="1"/>
        <v>35700</v>
      </c>
      <c r="J19" s="30"/>
      <c r="K19" s="104"/>
      <c r="L19" s="66"/>
      <c r="M19" s="26" t="s">
        <v>597</v>
      </c>
      <c r="N19" s="26" t="s">
        <v>598</v>
      </c>
      <c r="O19" s="28" t="s">
        <v>595</v>
      </c>
      <c r="P19" s="28" t="s">
        <v>879</v>
      </c>
      <c r="Q19" s="30" t="s">
        <v>1400</v>
      </c>
      <c r="R19" s="29"/>
      <c r="S19" s="29"/>
      <c r="T19" s="29"/>
      <c r="U19" s="29"/>
      <c r="V19" s="30" t="s">
        <v>811</v>
      </c>
      <c r="W19" s="30" t="s">
        <v>1364</v>
      </c>
      <c r="X19" s="125"/>
      <c r="Y19" s="28" t="s">
        <v>50</v>
      </c>
      <c r="Z19" s="28" t="s">
        <v>881</v>
      </c>
      <c r="AA19" s="28" t="s">
        <v>602</v>
      </c>
      <c r="AB19" s="66"/>
      <c r="AC19" s="66"/>
      <c r="AD19" s="66"/>
      <c r="AE19" s="81"/>
      <c r="AF19" s="121" t="str">
        <f>IFERROR(__xludf.DUMMYFUNCTION("HYPERLINK(
""https://wa.me/""&amp;REGEXREPLACE(Q19,""[^0-9]"","""")&amp;
""?text=""&amp;
ENCODEURL(
""Buenas tardes *""&amp;B19&amp;""*.
Te recordamos que tu plan """"""&amp;E19&amp;"""""" no incluye la declaración de renta. Te enviamos varios correos informando sobre este proceso."&amp;" Esta semana vencen las primeras declaraciones juradas, lo que generará multas
Valor: *$""&amp;AG19&amp;""* + IVA = *$""&amp;AH19&amp;""*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19" s="122">
        <v>125000.0</v>
      </c>
      <c r="AH19" s="123">
        <f t="shared" si="4"/>
        <v>148750</v>
      </c>
      <c r="AI19" s="81"/>
      <c r="AJ19" s="81"/>
      <c r="AK19" s="81"/>
    </row>
    <row r="20">
      <c r="A20" s="126" t="s">
        <v>1361</v>
      </c>
      <c r="B20" s="40" t="s">
        <v>1401</v>
      </c>
      <c r="C20" s="28" t="s">
        <v>50</v>
      </c>
      <c r="D20" s="28"/>
      <c r="E20" s="48" t="s">
        <v>1372</v>
      </c>
      <c r="F20" s="118"/>
      <c r="G20" s="66"/>
      <c r="H20" s="54">
        <v>50000.0</v>
      </c>
      <c r="I20" s="88">
        <f t="shared" si="1"/>
        <v>59500</v>
      </c>
      <c r="J20" s="30"/>
      <c r="K20" s="104"/>
      <c r="L20" s="28"/>
      <c r="M20" s="26" t="s">
        <v>1402</v>
      </c>
      <c r="N20" s="26" t="s">
        <v>1403</v>
      </c>
      <c r="O20" s="28" t="s">
        <v>1404</v>
      </c>
      <c r="P20" s="28" t="s">
        <v>1405</v>
      </c>
      <c r="Q20" s="30" t="s">
        <v>1406</v>
      </c>
      <c r="R20" s="29"/>
      <c r="S20" s="29"/>
      <c r="T20" s="29"/>
      <c r="U20" s="29"/>
      <c r="V20" s="30" t="s">
        <v>811</v>
      </c>
      <c r="W20" s="30" t="s">
        <v>1364</v>
      </c>
      <c r="X20" s="132">
        <v>46101.0</v>
      </c>
      <c r="Y20" s="48" t="s">
        <v>50</v>
      </c>
      <c r="Z20" s="28" t="s">
        <v>1407</v>
      </c>
      <c r="AA20" s="28" t="s">
        <v>1408</v>
      </c>
      <c r="AB20" s="106"/>
      <c r="AC20" s="66"/>
      <c r="AD20" s="66"/>
      <c r="AE20" s="81"/>
      <c r="AF20" s="121" t="str">
        <f>IFERROR(__xludf.DUMMYFUNCTION("HYPERLINK(
""https://wa.me/""&amp;REGEXREPLACE(Q20,""[^0-9]"","""")&amp;
""?text=""&amp;
ENCODEURL(
""Buenas tardes *""&amp;B20&amp;""*.
Te recordamos que la operación renta ya comenzó y vencieron las primeras declaracione juradas *EVITA MÁS MULTAS*,  tu plan """"""&amp;E20&amp;"""&amp;""""" no incluye la declaración de renta. Te enviamos varios correos informando sobre este proceso. 
Valor del servicio: *$""&amp;AG20&amp;""* + IVA = *$""&amp;AH20&amp;""*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0" s="123">
        <v>156250.0</v>
      </c>
      <c r="AH20" s="123">
        <v>185937.5</v>
      </c>
      <c r="AI20" s="123"/>
      <c r="AJ20" s="123"/>
      <c r="AK20" s="123"/>
    </row>
    <row r="21">
      <c r="A21" s="126" t="s">
        <v>1361</v>
      </c>
      <c r="B21" s="25" t="s">
        <v>882</v>
      </c>
      <c r="C21" s="30" t="s">
        <v>38</v>
      </c>
      <c r="D21" s="30" t="s">
        <v>38</v>
      </c>
      <c r="E21" s="48" t="s">
        <v>1362</v>
      </c>
      <c r="F21" s="118"/>
      <c r="G21" s="66"/>
      <c r="H21" s="88">
        <v>30000.0</v>
      </c>
      <c r="I21" s="88">
        <f t="shared" si="1"/>
        <v>35700</v>
      </c>
      <c r="J21" s="30"/>
      <c r="K21" s="104"/>
      <c r="L21" s="71" t="s">
        <v>1409</v>
      </c>
      <c r="M21" s="26" t="s">
        <v>439</v>
      </c>
      <c r="N21" s="26" t="s">
        <v>440</v>
      </c>
      <c r="O21" s="28" t="s">
        <v>883</v>
      </c>
      <c r="P21" s="28" t="s">
        <v>884</v>
      </c>
      <c r="Q21" s="30" t="s">
        <v>1410</v>
      </c>
      <c r="R21" s="29"/>
      <c r="S21" s="29"/>
      <c r="T21" s="29"/>
      <c r="U21" s="29"/>
      <c r="V21" s="30" t="s">
        <v>811</v>
      </c>
      <c r="W21" s="30" t="s">
        <v>1411</v>
      </c>
      <c r="X21" s="134"/>
      <c r="Y21" s="48" t="s">
        <v>50</v>
      </c>
      <c r="Z21" s="28" t="s">
        <v>886</v>
      </c>
      <c r="AA21" s="28" t="s">
        <v>885</v>
      </c>
      <c r="AB21" s="106"/>
      <c r="AC21" s="66"/>
      <c r="AD21" s="66"/>
      <c r="AE21" s="81"/>
      <c r="AF21" s="121" t="str">
        <f>IFERROR(__xludf.DUMMYFUNCTION("HYPERLINK(
""https://wa.me/""&amp;REGEXREPLACE(Q21,""[^0-9]"","""")&amp;
""?text=""&amp;
ENCODEURL(
""Hola *""&amp;B21&amp;""*.
Te recordamos que la factura Nº *""&amp;J21&amp;""* por el plan """"""&amp;E21&amp;"""""" se encuentra disponible para pago y vence hoy.
Monto: *$""&amp;I21&amp;""*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*$""&amp;AG21&amp;""*
Valor total febrero (con IVA): *$""&amp;AH21&amp;""*
A partir de mañana el valor aument"&amp;"a un 25%, correspondiente al valor de diciembre.
Simple Pyme""
),
""Enviar WhatsApp""
)"),"Enviar WhatsApp")</f>
        <v>Enviar WhatsApp</v>
      </c>
      <c r="AG21" s="81"/>
      <c r="AH21" s="81"/>
      <c r="AI21" s="81"/>
      <c r="AJ21" s="81"/>
      <c r="AK21" s="81"/>
    </row>
    <row r="22">
      <c r="A22" s="126" t="s">
        <v>1361</v>
      </c>
      <c r="B22" s="25" t="s">
        <v>887</v>
      </c>
      <c r="C22" s="30" t="s">
        <v>38</v>
      </c>
      <c r="D22" s="30" t="s">
        <v>38</v>
      </c>
      <c r="E22" s="48" t="s">
        <v>1362</v>
      </c>
      <c r="F22" s="118"/>
      <c r="G22" s="66"/>
      <c r="H22" s="88">
        <v>25210.0</v>
      </c>
      <c r="I22" s="88">
        <f t="shared" si="1"/>
        <v>29999.9</v>
      </c>
      <c r="J22" s="30"/>
      <c r="K22" s="97">
        <v>80000.0</v>
      </c>
      <c r="L22" s="66"/>
      <c r="M22" s="45" t="s">
        <v>888</v>
      </c>
      <c r="N22" s="26" t="s">
        <v>889</v>
      </c>
      <c r="O22" s="28" t="s">
        <v>890</v>
      </c>
      <c r="P22" s="28" t="s">
        <v>891</v>
      </c>
      <c r="Q22" s="30" t="s">
        <v>1412</v>
      </c>
      <c r="R22" s="47"/>
      <c r="S22" s="47"/>
      <c r="T22" s="47"/>
      <c r="U22" s="47"/>
      <c r="V22" s="48" t="s">
        <v>880</v>
      </c>
      <c r="W22" s="30" t="s">
        <v>1364</v>
      </c>
      <c r="X22" s="127">
        <v>46084.0</v>
      </c>
      <c r="Y22" s="70" t="s">
        <v>50</v>
      </c>
      <c r="Z22" s="28" t="s">
        <v>892</v>
      </c>
      <c r="AA22" s="28" t="s">
        <v>809</v>
      </c>
      <c r="AB22" s="106"/>
      <c r="AC22" s="66"/>
      <c r="AD22" s="66"/>
      <c r="AE22" s="81"/>
      <c r="AF22" s="121" t="str">
        <f>IFERROR(__xludf.DUMMYFUNCTION("HYPERLINK(
""https://wa.me/""&amp;REGEXREPLACE(Q22,""[^0-9]"","""")&amp;
""?text=""&amp;
ENCODEURL(
""Hola *""&amp;B22&amp;""*.
Te recordamos que la factura Nº *""&amp;J22&amp;""* por el plan """"""&amp;E22&amp;"""""" se encuentra disponible para pago y vence hoy.
Monto: *$""&amp;I22&amp;""*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22" s="81"/>
      <c r="AH22" s="81">
        <f>AG22*1.19</f>
        <v>0</v>
      </c>
      <c r="AI22" s="81"/>
      <c r="AJ22" s="81"/>
      <c r="AK22" s="81"/>
    </row>
    <row r="23">
      <c r="A23" s="126" t="s">
        <v>1361</v>
      </c>
      <c r="B23" s="25" t="s">
        <v>893</v>
      </c>
      <c r="C23" s="30" t="s">
        <v>38</v>
      </c>
      <c r="D23" s="30" t="s">
        <v>38</v>
      </c>
      <c r="E23" s="48" t="s">
        <v>1413</v>
      </c>
      <c r="F23" s="135">
        <v>4.0</v>
      </c>
      <c r="G23" s="28">
        <v>16.0</v>
      </c>
      <c r="H23" s="88">
        <v>120000.0</v>
      </c>
      <c r="I23" s="88">
        <f t="shared" si="1"/>
        <v>142800</v>
      </c>
      <c r="J23" s="30"/>
      <c r="K23" s="104"/>
      <c r="L23" s="28"/>
      <c r="M23" s="26" t="s">
        <v>625</v>
      </c>
      <c r="N23" s="26" t="s">
        <v>626</v>
      </c>
      <c r="O23" s="28" t="s">
        <v>894</v>
      </c>
      <c r="P23" s="28" t="s">
        <v>895</v>
      </c>
      <c r="Q23" s="30" t="s">
        <v>1414</v>
      </c>
      <c r="R23" s="29"/>
      <c r="S23" s="29"/>
      <c r="T23" s="29"/>
      <c r="U23" s="29"/>
      <c r="V23" s="30" t="s">
        <v>811</v>
      </c>
      <c r="W23" s="30" t="s">
        <v>1364</v>
      </c>
      <c r="X23" s="136"/>
      <c r="Y23" s="48" t="s">
        <v>38</v>
      </c>
      <c r="Z23" s="28" t="s">
        <v>896</v>
      </c>
      <c r="AA23" s="28" t="s">
        <v>630</v>
      </c>
      <c r="AB23" s="106"/>
      <c r="AC23" s="137"/>
      <c r="AD23" s="137"/>
      <c r="AE23" s="138"/>
      <c r="AF23" s="121" t="str">
        <f>IFERROR(__xludf.DUMMYFUNCTION("HYPERLINK(
""https://wa.me/""&amp;REGEXREPLACE(Q23,""[^0-9]"","""")&amp;
""?text=""&amp;
ENCODEURL(
""Hola *""&amp;B23&amp;""*.
Te recordamos que la factura Nº *""&amp;J23&amp;""* por el plan """"""&amp;E23&amp;"""""" se encuentra disponible para pago y vence hoy.
Monto: *$""&amp;I23&amp;""*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*$""&amp;AG23&amp;""*
Valor total febrero (con IVA): *$""&amp;AH23&amp;""*
A partir de mañana el valor aument"&amp;"a un 25%, correspondiente al valor de diciembre.
Simple Pyme""
),
""Enviar WhatsApp""
)"),"Enviar WhatsApp")</f>
        <v>Enviar WhatsApp</v>
      </c>
      <c r="AG23" s="81"/>
      <c r="AH23" s="81"/>
      <c r="AI23" s="81"/>
      <c r="AJ23" s="81"/>
      <c r="AK23" s="81"/>
    </row>
    <row r="24">
      <c r="A24" s="126" t="s">
        <v>1361</v>
      </c>
      <c r="B24" s="25" t="s">
        <v>897</v>
      </c>
      <c r="C24" s="30" t="s">
        <v>38</v>
      </c>
      <c r="D24" s="30" t="s">
        <v>38</v>
      </c>
      <c r="E24" s="48" t="s">
        <v>1413</v>
      </c>
      <c r="F24" s="118"/>
      <c r="G24" s="66"/>
      <c r="H24" s="88">
        <v>60504.0</v>
      </c>
      <c r="I24" s="88">
        <f t="shared" si="1"/>
        <v>71999.76</v>
      </c>
      <c r="J24" s="30"/>
      <c r="K24" s="97">
        <v>59500.0</v>
      </c>
      <c r="L24" s="66"/>
      <c r="M24" s="26" t="s">
        <v>404</v>
      </c>
      <c r="N24" s="26" t="s">
        <v>405</v>
      </c>
      <c r="O24" s="28" t="s">
        <v>898</v>
      </c>
      <c r="P24" s="28" t="s">
        <v>407</v>
      </c>
      <c r="Q24" s="139" t="s">
        <v>1415</v>
      </c>
      <c r="R24" s="29"/>
      <c r="S24" s="29"/>
      <c r="T24" s="29"/>
      <c r="U24" s="29"/>
      <c r="V24" s="30" t="s">
        <v>811</v>
      </c>
      <c r="W24" s="30" t="s">
        <v>1364</v>
      </c>
      <c r="X24" s="140">
        <v>46083.0</v>
      </c>
      <c r="Y24" s="48" t="s">
        <v>50</v>
      </c>
      <c r="Z24" s="28" t="s">
        <v>899</v>
      </c>
      <c r="AA24" s="28" t="s">
        <v>408</v>
      </c>
      <c r="AB24" s="106"/>
      <c r="AC24" s="66"/>
      <c r="AD24" s="66"/>
      <c r="AE24" s="81"/>
      <c r="AF24" s="121" t="str">
        <f>IFERROR(__xludf.DUMMYFUNCTION("HYPERLINK(
""https://wa.me/""&amp;REGEXREPLACE(Q24,""[^0-9]"","""")&amp;
""?text=""&amp;
ENCODEURL(
""Hola *""&amp;B24&amp;""*.
Te recordamos que la factura Nº *""&amp;J24&amp;""* por el plan """"""&amp;E24&amp;"""""" se encuentra disponible para pago y vence hoy.
Monto: *$""&amp;I24&amp;""*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*$""&amp;AG24&amp;""*
Valor total febrero (con IVA): *$""&amp;AH24&amp;""*
A partir de mañana el valor aument"&amp;"a un 25%, correspondiente al valor de diciembre.
Simple Pyme""
),
""Enviar WhatsApp""
)"),"Enviar WhatsApp")</f>
        <v>Enviar WhatsApp</v>
      </c>
      <c r="AG24" s="81"/>
      <c r="AH24" s="81"/>
      <c r="AI24" s="81"/>
      <c r="AJ24" s="81"/>
      <c r="AK24" s="81"/>
    </row>
    <row r="25">
      <c r="A25" s="126" t="s">
        <v>1361</v>
      </c>
      <c r="B25" s="25" t="s">
        <v>900</v>
      </c>
      <c r="C25" s="30" t="s">
        <v>38</v>
      </c>
      <c r="D25" s="30" t="s">
        <v>38</v>
      </c>
      <c r="E25" s="48" t="s">
        <v>1416</v>
      </c>
      <c r="F25" s="118"/>
      <c r="G25" s="66"/>
      <c r="H25" s="124">
        <v>10000.0</v>
      </c>
      <c r="I25" s="88">
        <f t="shared" si="1"/>
        <v>11900</v>
      </c>
      <c r="J25" s="30"/>
      <c r="K25" s="104"/>
      <c r="L25" s="66"/>
      <c r="M25" s="26" t="s">
        <v>539</v>
      </c>
      <c r="N25" s="26" t="s">
        <v>901</v>
      </c>
      <c r="O25" s="28" t="s">
        <v>542</v>
      </c>
      <c r="P25" s="28" t="s">
        <v>902</v>
      </c>
      <c r="Q25" s="139" t="s">
        <v>1417</v>
      </c>
      <c r="R25" s="29"/>
      <c r="S25" s="29"/>
      <c r="T25" s="29"/>
      <c r="U25" s="29"/>
      <c r="V25" s="30" t="s">
        <v>811</v>
      </c>
      <c r="W25" s="30" t="s">
        <v>1364</v>
      </c>
      <c r="X25" s="141">
        <v>46091.0</v>
      </c>
      <c r="Y25" s="48" t="s">
        <v>50</v>
      </c>
      <c r="Z25" s="28" t="s">
        <v>903</v>
      </c>
      <c r="AA25" s="28" t="s">
        <v>541</v>
      </c>
      <c r="AB25" s="106"/>
      <c r="AC25" s="66"/>
      <c r="AD25" s="66"/>
      <c r="AE25" s="81"/>
      <c r="AF25" s="121" t="str">
        <f>IFERROR(__xludf.DUMMYFUNCTION("HYPERLINK(
""https://wa.me/""&amp;REGEXREPLACE(Q25,""[^0-9]"","""")&amp;
""?text=""&amp;
ENCODEURL(
""Buenas tardes *""&amp;B25&amp;""*.
Te recordamos que tu plan """"""&amp;E25&amp;"""""" no incluye la declaración de renta. Te enviamos varios correos informando sobre este proceso."&amp;" Esta semana vencen las primeras declaraciones juradas, lo que generará multas
Valor: *$""&amp;AG25&amp;""* + IVA = *$""&amp;AH25&amp;""*
El pago puedes hacerlo vía transferencia en la siguiente cuenta:
*CUENTA BANCARIA*
VOLLAIRE &amp; OLIVOS SIMPLE PYME LTDA
Banco BCI
Cu"&amp;"enta corriente
RUT 78.306.207-0
Número de cuenta: 70809538
MATIAS.OLIVOS@VSVCONSULTORES.COM
También puedes pagar con tarjeta de débito o crédito en el siguiente link:
https://www.flow.cl/btn.php?token=xe78c9acb73c3eff5e917d5c932a4a2f7f971abe
Simple Pym"&amp;"e""
),
""Enviar WhatsApp""
)"),"Enviar WhatsApp")</f>
        <v>Enviar WhatsApp</v>
      </c>
      <c r="AG25" s="123">
        <v>78125.0</v>
      </c>
      <c r="AH25" s="123">
        <f>AG25*1.19</f>
        <v>92968.75</v>
      </c>
      <c r="AI25" s="81"/>
      <c r="AJ25" s="81"/>
      <c r="AK25" s="81"/>
    </row>
    <row r="26">
      <c r="A26" s="79" t="s">
        <v>1361</v>
      </c>
      <c r="B26" s="25" t="s">
        <v>1418</v>
      </c>
      <c r="C26" s="30" t="s">
        <v>38</v>
      </c>
      <c r="D26" s="30" t="s">
        <v>38</v>
      </c>
      <c r="E26" s="28" t="s">
        <v>1372</v>
      </c>
      <c r="F26" s="135"/>
      <c r="G26" s="28">
        <v>3.0</v>
      </c>
      <c r="H26" s="88">
        <v>60000.0</v>
      </c>
      <c r="I26" s="88">
        <f t="shared" si="1"/>
        <v>71400</v>
      </c>
      <c r="J26" s="30"/>
      <c r="K26" s="104"/>
      <c r="L26" s="25"/>
      <c r="M26" s="26" t="s">
        <v>1419</v>
      </c>
      <c r="N26" s="26" t="s">
        <v>751</v>
      </c>
      <c r="O26" s="28" t="s">
        <v>748</v>
      </c>
      <c r="P26" s="28" t="s">
        <v>1420</v>
      </c>
      <c r="Q26" s="30" t="s">
        <v>1421</v>
      </c>
      <c r="R26" s="29"/>
      <c r="S26" s="29"/>
      <c r="T26" s="29"/>
      <c r="U26" s="29"/>
      <c r="V26" s="30" t="s">
        <v>811</v>
      </c>
      <c r="W26" s="30" t="s">
        <v>1364</v>
      </c>
      <c r="X26" s="127">
        <v>46091.0</v>
      </c>
      <c r="Y26" s="28" t="s">
        <v>50</v>
      </c>
      <c r="Z26" s="28" t="s">
        <v>1422</v>
      </c>
      <c r="AA26" s="28" t="s">
        <v>1423</v>
      </c>
      <c r="AB26" s="66"/>
      <c r="AC26" s="66"/>
      <c r="AD26" s="66"/>
      <c r="AE26" s="81"/>
      <c r="AF26" s="121" t="str">
        <f>IFERROR(__xludf.DUMMYFUNCTION("HYPERLINK(
""https://wa.me/""&amp;REGEXREPLACE(Q26,""[^0-9]"","""")&amp;
""?text=""&amp;
ENCODEURL(
""Buenas tardes *""&amp;B26&amp;""*.
Te recordamos que la operación renta ya comenzó y vencieron las primeras declaracione juradas *EVITA MÁS MULTAS*,  tu plan """"""&amp;E26&amp;"""&amp;""""" no incluye la declaración de renta. Te enviamos varios correos informando sobre este proceso. 
Valor del servicio: *$""&amp;AG26&amp;""* + IVA = *$""&amp;AH26&amp;""*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6" s="123">
        <v>312500.0</v>
      </c>
      <c r="AH26" s="123">
        <v>371875.0</v>
      </c>
      <c r="AI26" s="123"/>
      <c r="AJ26" s="123"/>
      <c r="AK26" s="123"/>
    </row>
    <row r="27">
      <c r="A27" s="79" t="s">
        <v>1361</v>
      </c>
      <c r="B27" s="25" t="s">
        <v>1424</v>
      </c>
      <c r="C27" s="30" t="s">
        <v>38</v>
      </c>
      <c r="D27" s="30" t="s">
        <v>38</v>
      </c>
      <c r="E27" s="30" t="s">
        <v>1362</v>
      </c>
      <c r="F27" s="142">
        <v>3.0</v>
      </c>
      <c r="G27" s="66"/>
      <c r="H27" s="54">
        <v>50000.0</v>
      </c>
      <c r="I27" s="88">
        <f t="shared" si="1"/>
        <v>59500</v>
      </c>
      <c r="J27" s="30"/>
      <c r="K27" s="104"/>
      <c r="L27" s="71"/>
      <c r="M27" s="26" t="s">
        <v>1425</v>
      </c>
      <c r="N27" s="62" t="s">
        <v>660</v>
      </c>
      <c r="O27" s="28" t="s">
        <v>1426</v>
      </c>
      <c r="P27" s="28" t="s">
        <v>1427</v>
      </c>
      <c r="Q27" s="30" t="s">
        <v>1428</v>
      </c>
      <c r="R27" s="29"/>
      <c r="S27" s="29"/>
      <c r="T27" s="29"/>
      <c r="U27" s="29"/>
      <c r="V27" s="30" t="s">
        <v>811</v>
      </c>
      <c r="W27" s="30" t="s">
        <v>1364</v>
      </c>
      <c r="X27" s="128">
        <v>46094.0</v>
      </c>
      <c r="Y27" s="28" t="s">
        <v>50</v>
      </c>
      <c r="Z27" s="28" t="s">
        <v>1429</v>
      </c>
      <c r="AA27" s="28" t="s">
        <v>1430</v>
      </c>
      <c r="AB27" s="66"/>
      <c r="AC27" s="66"/>
      <c r="AD27" s="66"/>
      <c r="AE27" s="81"/>
      <c r="AF27" s="121" t="str">
        <f>IFERROR(__xludf.DUMMYFUNCTION("HYPERLINK(
""https://wa.me/""&amp;REGEXREPLACE(Q27,""[^0-9]"","""")&amp;
""?text=""&amp;
ENCODEURL(
""Buenas tardes *""&amp;B27&amp;""*.
Te recordamos que la factura """"""&amp;J27&amp;"""""" de tu plan """"""&amp;E27&amp;"""""" se encuentre impaga a la fecha, lo que implica que tu servici"&amp;"o se encuentra suspendido. Para reactivar el servicio y que hagamos la declaración mensual debes realizar el pago lo antes posible.
Valor: *$""&amp;H27&amp;""* + IVA = *$""&amp;I27&amp;""*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27" s="123">
        <v>78125.0</v>
      </c>
      <c r="AH27" s="123">
        <v>92968.75</v>
      </c>
      <c r="AI27" s="123"/>
      <c r="AJ27" s="123"/>
      <c r="AK27" s="123"/>
    </row>
    <row r="28">
      <c r="A28" s="126" t="s">
        <v>1361</v>
      </c>
      <c r="B28" s="25" t="s">
        <v>904</v>
      </c>
      <c r="C28" s="30" t="s">
        <v>38</v>
      </c>
      <c r="D28" s="30" t="s">
        <v>38</v>
      </c>
      <c r="E28" s="48" t="s">
        <v>1416</v>
      </c>
      <c r="F28" s="118"/>
      <c r="G28" s="66"/>
      <c r="H28" s="88">
        <v>10000.0</v>
      </c>
      <c r="I28" s="88">
        <f t="shared" si="1"/>
        <v>11900</v>
      </c>
      <c r="J28" s="30"/>
      <c r="K28" s="104"/>
      <c r="L28" s="66"/>
      <c r="M28" s="26" t="s">
        <v>204</v>
      </c>
      <c r="N28" s="26" t="s">
        <v>205</v>
      </c>
      <c r="O28" s="25" t="s">
        <v>905</v>
      </c>
      <c r="P28" s="28" t="s">
        <v>906</v>
      </c>
      <c r="Q28" s="120" t="s">
        <v>1431</v>
      </c>
      <c r="R28" s="29"/>
      <c r="S28" s="29"/>
      <c r="T28" s="29"/>
      <c r="U28" s="29"/>
      <c r="V28" s="30" t="s">
        <v>811</v>
      </c>
      <c r="W28" s="30" t="s">
        <v>1364</v>
      </c>
      <c r="X28" s="66"/>
      <c r="Y28" s="48" t="s">
        <v>50</v>
      </c>
      <c r="Z28" s="28" t="s">
        <v>907</v>
      </c>
      <c r="AA28" s="28" t="s">
        <v>205</v>
      </c>
      <c r="AB28" s="106"/>
      <c r="AC28" s="66"/>
      <c r="AD28" s="66"/>
      <c r="AE28" s="81"/>
      <c r="AF28" s="121" t="str">
        <f>IFERROR(__xludf.DUMMYFUNCTION("HYPERLINK(
""https://wa.me/""&amp;REGEXREPLACE(Q28,""[^0-9]"","""")&amp;
""?text=""&amp;
ENCODEURL(
""Hola *""&amp;B28&amp;""*.
Te recordamos que la factura Nº *""&amp;J28&amp;""* por el plan """"""&amp;E28&amp;"""""" se encuentra disponible para pago y vence hoy.
Monto: *$""&amp;I28&amp;""*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28" s="81"/>
      <c r="AH28" s="81">
        <f>AG28*1.19</f>
        <v>0</v>
      </c>
      <c r="AI28" s="81"/>
      <c r="AJ28" s="81"/>
      <c r="AK28" s="81"/>
    </row>
    <row r="29">
      <c r="A29" s="126" t="s">
        <v>1361</v>
      </c>
      <c r="B29" s="25" t="s">
        <v>1432</v>
      </c>
      <c r="C29" s="30" t="s">
        <v>38</v>
      </c>
      <c r="D29" s="30" t="s">
        <v>38</v>
      </c>
      <c r="E29" s="48" t="s">
        <v>1416</v>
      </c>
      <c r="F29" s="118"/>
      <c r="G29" s="66"/>
      <c r="H29" s="88">
        <v>10000.0</v>
      </c>
      <c r="I29" s="88">
        <f t="shared" si="1"/>
        <v>11900</v>
      </c>
      <c r="J29" s="30"/>
      <c r="K29" s="97">
        <v>60000.0</v>
      </c>
      <c r="L29" s="66"/>
      <c r="M29" s="26" t="s">
        <v>782</v>
      </c>
      <c r="N29" s="26" t="s">
        <v>783</v>
      </c>
      <c r="O29" s="28" t="s">
        <v>1433</v>
      </c>
      <c r="P29" s="28" t="s">
        <v>1434</v>
      </c>
      <c r="Q29" s="143" t="s">
        <v>1435</v>
      </c>
      <c r="R29" s="29"/>
      <c r="S29" s="29"/>
      <c r="T29" s="29"/>
      <c r="U29" s="29"/>
      <c r="V29" s="30" t="s">
        <v>811</v>
      </c>
      <c r="W29" s="30" t="s">
        <v>1364</v>
      </c>
      <c r="X29" s="140">
        <v>46094.0</v>
      </c>
      <c r="Y29" s="48" t="s">
        <v>50</v>
      </c>
      <c r="Z29" s="28" t="s">
        <v>1436</v>
      </c>
      <c r="AA29" s="28" t="s">
        <v>1437</v>
      </c>
      <c r="AB29" s="106"/>
      <c r="AC29" s="66"/>
      <c r="AD29" s="66"/>
      <c r="AE29" s="81"/>
      <c r="AF29" s="121" t="str">
        <f>IFERROR(__xludf.DUMMYFUNCTION("HYPERLINK(
""https://wa.me/""&amp;REGEXREPLACE(Q29,""[^0-9]"","""")&amp;
""?text=""&amp;
ENCODEURL(
""Buenas tardes *""&amp;B29&amp;""*.
Te recordamos que la operación renta ya comenzó y vencieron las primeras declaracione juradas *EVITA MÁS MULTAS*,  tu plan """"""&amp;E29&amp;"""&amp;""""" no incluye la declaración de renta. Te enviamos varios correos informando sobre este proceso. 
Valor del servicio: *$""&amp;AG29&amp;""* + IVA = *$""&amp;AH29&amp;""*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9" s="123">
        <v>78125.0</v>
      </c>
      <c r="AH29" s="123">
        <v>92968.75</v>
      </c>
      <c r="AI29" s="123"/>
      <c r="AJ29" s="123"/>
      <c r="AK29" s="123"/>
    </row>
    <row r="30" hidden="1">
      <c r="A30" s="126" t="s">
        <v>1361</v>
      </c>
      <c r="B30" s="25" t="s">
        <v>908</v>
      </c>
      <c r="C30" s="66"/>
      <c r="D30" s="66"/>
      <c r="E30" s="48" t="s">
        <v>1375</v>
      </c>
      <c r="F30" s="118"/>
      <c r="G30" s="66"/>
      <c r="H30" s="88" t="s">
        <v>1381</v>
      </c>
      <c r="I30" s="88">
        <f t="shared" si="1"/>
        <v>0</v>
      </c>
      <c r="J30" s="135" t="s">
        <v>1438</v>
      </c>
      <c r="K30" s="104"/>
      <c r="L30" s="28" t="s">
        <v>1439</v>
      </c>
      <c r="M30" s="26" t="s">
        <v>909</v>
      </c>
      <c r="N30" s="26" t="s">
        <v>910</v>
      </c>
      <c r="O30" s="28" t="s">
        <v>911</v>
      </c>
      <c r="P30" s="28" t="s">
        <v>912</v>
      </c>
      <c r="Q30" s="30" t="s">
        <v>1440</v>
      </c>
      <c r="R30" s="29"/>
      <c r="S30" s="29"/>
      <c r="T30" s="29"/>
      <c r="U30" s="29"/>
      <c r="V30" s="30" t="s">
        <v>811</v>
      </c>
      <c r="W30" s="48" t="s">
        <v>1375</v>
      </c>
      <c r="X30" s="66"/>
      <c r="Y30" s="48" t="s">
        <v>50</v>
      </c>
      <c r="Z30" s="28" t="s">
        <v>913</v>
      </c>
      <c r="AA30" s="28" t="s">
        <v>809</v>
      </c>
      <c r="AB30" s="106"/>
      <c r="AC30" s="66"/>
      <c r="AD30" s="66"/>
      <c r="AE30" s="81"/>
      <c r="AF30" s="121" t="str">
        <f>IFERROR(__xludf.DUMMYFUNCTION("HYPERLINK(
""https://wa.me/""&amp;REGEXREPLACE(Q30,""[^0-9]"","""")&amp;
""?text=""&amp;
ENCODEURL(
""Hola *""&amp;B30&amp;""*.
Te recordamos que la factura Nº *""&amp;J30&amp;""* por el plan """"""&amp;E30&amp;"""""" se encuentra disponible para pago y vence hoy.
Monto: *$""&amp;I30&amp;""*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*$""&amp;AG30&amp;""*
Valor total febrero (con IVA): *$""&amp;AH30&amp;""*
A partir de mañana el valor aument"&amp;"a un 25%, correspondiente al valor de diciembre.
Simple Pyme""
),
""Enviar WhatsApp""
)"),"Enviar WhatsApp")</f>
        <v>Enviar WhatsApp</v>
      </c>
      <c r="AG30" s="81"/>
      <c r="AH30" s="81"/>
      <c r="AI30" s="81"/>
      <c r="AJ30" s="81"/>
      <c r="AK30" s="81"/>
    </row>
    <row r="31">
      <c r="A31" s="126" t="s">
        <v>1361</v>
      </c>
      <c r="B31" s="25" t="s">
        <v>1441</v>
      </c>
      <c r="C31" s="28" t="s">
        <v>50</v>
      </c>
      <c r="D31" s="66"/>
      <c r="E31" s="48" t="s">
        <v>1413</v>
      </c>
      <c r="F31" s="118"/>
      <c r="G31" s="66"/>
      <c r="H31" s="88">
        <v>60500.0</v>
      </c>
      <c r="I31" s="88">
        <f t="shared" si="1"/>
        <v>71995</v>
      </c>
      <c r="J31" s="30"/>
      <c r="K31" s="104"/>
      <c r="L31" s="30"/>
      <c r="M31" s="26" t="s">
        <v>1442</v>
      </c>
      <c r="N31" s="26" t="s">
        <v>1443</v>
      </c>
      <c r="O31" s="28" t="s">
        <v>1444</v>
      </c>
      <c r="P31" s="28" t="s">
        <v>1445</v>
      </c>
      <c r="Q31" s="30" t="s">
        <v>1446</v>
      </c>
      <c r="R31" s="29"/>
      <c r="S31" s="29"/>
      <c r="T31" s="29"/>
      <c r="U31" s="29"/>
      <c r="V31" s="30" t="s">
        <v>811</v>
      </c>
      <c r="W31" s="30" t="s">
        <v>1364</v>
      </c>
      <c r="X31" s="66"/>
      <c r="Y31" s="48" t="s">
        <v>50</v>
      </c>
      <c r="Z31" s="28" t="s">
        <v>1447</v>
      </c>
      <c r="AA31" s="28" t="s">
        <v>1448</v>
      </c>
      <c r="AB31" s="106"/>
      <c r="AC31" s="66"/>
      <c r="AD31" s="66"/>
      <c r="AE31" s="81"/>
      <c r="AF31" s="121" t="str">
        <f>IFERROR(__xludf.DUMMYFUNCTION("HYPERLINK(
""https://wa.me/""&amp;REGEXREPLACE(Q31,""[^0-9]"","""")&amp;
""?text=""&amp;
ENCODEURL(
""Buenas tardes *""&amp;B31&amp;""*.
Te recordamos que la operación renta ya comenzó y vencieron las primeras declaracione juradas *EVITA MÁS MULTAS*,  tu plan """"""&amp;E31&amp;"""&amp;""""" no incluye la declaración de renta. Te enviamos varios correos informando sobre este proceso. 
Valor del servicio: *$""&amp;AG31&amp;""* + IVA = *$""&amp;AH31&amp;""*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31" s="144">
        <v>50000.0</v>
      </c>
      <c r="AH31" s="81">
        <v>59500.0</v>
      </c>
      <c r="AI31" s="81"/>
      <c r="AJ31" s="81"/>
      <c r="AK31" s="81"/>
    </row>
    <row r="32">
      <c r="A32" s="126" t="s">
        <v>1361</v>
      </c>
      <c r="B32" s="25" t="s">
        <v>914</v>
      </c>
      <c r="C32" s="30" t="s">
        <v>38</v>
      </c>
      <c r="D32" s="30" t="s">
        <v>38</v>
      </c>
      <c r="E32" s="48" t="s">
        <v>1416</v>
      </c>
      <c r="F32" s="118"/>
      <c r="G32" s="66"/>
      <c r="H32" s="88">
        <v>10000.0</v>
      </c>
      <c r="I32" s="88">
        <f t="shared" si="1"/>
        <v>11900</v>
      </c>
      <c r="J32" s="30"/>
      <c r="K32" s="97">
        <v>59500.0</v>
      </c>
      <c r="L32" s="66"/>
      <c r="M32" s="26" t="s">
        <v>703</v>
      </c>
      <c r="N32" s="26" t="s">
        <v>704</v>
      </c>
      <c r="O32" s="25" t="s">
        <v>708</v>
      </c>
      <c r="P32" s="28" t="s">
        <v>915</v>
      </c>
      <c r="Q32" s="120" t="s">
        <v>707</v>
      </c>
      <c r="R32" s="29"/>
      <c r="S32" s="29"/>
      <c r="T32" s="29"/>
      <c r="U32" s="29"/>
      <c r="V32" s="30" t="s">
        <v>811</v>
      </c>
      <c r="W32" s="30" t="s">
        <v>1364</v>
      </c>
      <c r="X32" s="127">
        <v>46085.0</v>
      </c>
      <c r="Y32" s="48" t="s">
        <v>50</v>
      </c>
      <c r="Z32" s="28" t="s">
        <v>916</v>
      </c>
      <c r="AA32" s="28" t="s">
        <v>915</v>
      </c>
      <c r="AB32" s="106"/>
      <c r="AC32" s="66"/>
      <c r="AD32" s="66"/>
      <c r="AE32" s="81"/>
      <c r="AF32" s="121" t="str">
        <f>IFERROR(__xludf.DUMMYFUNCTION("HYPERLINK(
""https://wa.me/""&amp;REGEXREPLACE(Q32,""[^0-9]"","""")&amp;
""?text=""&amp;
ENCODEURL(
""Buenas tardes *""&amp;B32&amp;""*.
Te recordamos que tu plan """"""&amp;E32&amp;"""""" no incluye la declaración de renta. Te enviamos varios correos informando sobre este proceso."&amp;" Esta semana vencen las primeras declaraciones juradas, lo que generará multas
Valor: *$""&amp;AG32&amp;""* + IVA = *$""&amp;AH32&amp;""*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32" s="122">
        <v>78125.0</v>
      </c>
      <c r="AH32" s="123">
        <f>AG32*1.19</f>
        <v>92968.75</v>
      </c>
      <c r="AI32" s="81"/>
      <c r="AJ32" s="81"/>
      <c r="AK32" s="81"/>
    </row>
    <row r="33">
      <c r="A33" s="126" t="s">
        <v>1361</v>
      </c>
      <c r="B33" s="25" t="s">
        <v>917</v>
      </c>
      <c r="C33" s="30" t="s">
        <v>38</v>
      </c>
      <c r="D33" s="30" t="s">
        <v>38</v>
      </c>
      <c r="E33" s="48" t="s">
        <v>1416</v>
      </c>
      <c r="F33" s="118"/>
      <c r="G33" s="66"/>
      <c r="H33" s="88">
        <v>10000.0</v>
      </c>
      <c r="I33" s="88">
        <f t="shared" si="1"/>
        <v>11900</v>
      </c>
      <c r="J33" s="30"/>
      <c r="K33" s="104"/>
      <c r="L33" s="66"/>
      <c r="M33" s="26" t="s">
        <v>85</v>
      </c>
      <c r="N33" s="26" t="s">
        <v>86</v>
      </c>
      <c r="O33" s="28" t="s">
        <v>918</v>
      </c>
      <c r="P33" s="28" t="s">
        <v>919</v>
      </c>
      <c r="Q33" s="120">
        <v>9.43507043E8</v>
      </c>
      <c r="R33" s="29"/>
      <c r="S33" s="29"/>
      <c r="T33" s="29"/>
      <c r="U33" s="29"/>
      <c r="V33" s="30" t="s">
        <v>811</v>
      </c>
      <c r="W33" s="30" t="s">
        <v>1364</v>
      </c>
      <c r="X33" s="127"/>
      <c r="Y33" s="48" t="s">
        <v>50</v>
      </c>
      <c r="Z33" s="28" t="s">
        <v>921</v>
      </c>
      <c r="AA33" s="28" t="s">
        <v>920</v>
      </c>
      <c r="AB33" s="106"/>
      <c r="AC33" s="66"/>
      <c r="AD33" s="66"/>
      <c r="AE33" s="81"/>
      <c r="AF33" s="81" t="str">
        <f>IFERROR(__xludf.DUMMYFUNCTION("HYPERLINK(
""https://wa.me/""&amp;REGEXREPLACE(Q33,""[^0-9]"","""")&amp;
""?text=""&amp;
ENCODEURL(
""Hola *""&amp;B33&amp;""*.
Te recordamos que la factura Nº *""&amp;J33&amp;""* por el plan """"""&amp;E33&amp;"""""" se encuentra disponible para pago y vence hoy.
Monto: *$""&amp;I33&amp;""*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*$""&amp;AG33&amp;""*
Valor total febrero (con IVA): *$""&amp;AH33&amp;""*
A partir de mañana el valor aument"&amp;"a un 25%, correspondiente al valor de diciembre.
Simple Pyme""
),
""Enviar WhatsApp""
)"),"Enviar WhatsApp")</f>
        <v>Enviar WhatsApp</v>
      </c>
      <c r="AG33" s="81"/>
      <c r="AH33" s="81"/>
      <c r="AI33" s="81"/>
      <c r="AJ33" s="81"/>
      <c r="AK33" s="81"/>
    </row>
    <row r="34">
      <c r="A34" s="126" t="s">
        <v>1361</v>
      </c>
      <c r="B34" s="25" t="s">
        <v>922</v>
      </c>
      <c r="C34" s="30" t="s">
        <v>38</v>
      </c>
      <c r="D34" s="30" t="s">
        <v>38</v>
      </c>
      <c r="E34" s="48" t="s">
        <v>1372</v>
      </c>
      <c r="F34" s="118"/>
      <c r="G34" s="66"/>
      <c r="H34" s="88">
        <v>100000.0</v>
      </c>
      <c r="I34" s="88">
        <f t="shared" si="1"/>
        <v>119000</v>
      </c>
      <c r="J34" s="30"/>
      <c r="K34" s="88">
        <v>83300.0</v>
      </c>
      <c r="L34" s="66"/>
      <c r="M34" s="26" t="s">
        <v>98</v>
      </c>
      <c r="N34" s="26" t="s">
        <v>99</v>
      </c>
      <c r="O34" s="28" t="s">
        <v>102</v>
      </c>
      <c r="P34" s="28" t="s">
        <v>841</v>
      </c>
      <c r="Q34" s="28" t="s">
        <v>1383</v>
      </c>
      <c r="R34" s="29"/>
      <c r="S34" s="29"/>
      <c r="T34" s="29"/>
      <c r="U34" s="29"/>
      <c r="V34" s="30" t="s">
        <v>811</v>
      </c>
      <c r="W34" s="30" t="s">
        <v>1364</v>
      </c>
      <c r="X34" s="130"/>
      <c r="Y34" s="48" t="s">
        <v>50</v>
      </c>
      <c r="Z34" s="28" t="s">
        <v>923</v>
      </c>
      <c r="AA34" s="28" t="s">
        <v>842</v>
      </c>
      <c r="AB34" s="106"/>
      <c r="AC34" s="66"/>
      <c r="AD34" s="66"/>
      <c r="AE34" s="81"/>
      <c r="AF34" s="121" t="str">
        <f>IFERROR(__xludf.DUMMYFUNCTION("HYPERLINK(
""https://wa.me/""&amp;REGEXREPLACE(Q34,""[^0-9]"","""")&amp;
""?text=""&amp;
ENCODEURL(
""Hola *""&amp;B34&amp;""*.
Te recordamos que la factura Nº *""&amp;J34&amp;""* por el plan """"""&amp;E34&amp;"""""" se encuentra disponible para pago y vence hoy.
Monto: *$""&amp;I34&amp;""*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34" s="81"/>
      <c r="AH34" s="81">
        <f>AG34*1.19</f>
        <v>0</v>
      </c>
      <c r="AI34" s="81"/>
      <c r="AJ34" s="81"/>
      <c r="AK34" s="81"/>
    </row>
    <row r="35" hidden="1">
      <c r="A35" s="126" t="s">
        <v>1361</v>
      </c>
      <c r="B35" s="25" t="s">
        <v>924</v>
      </c>
      <c r="C35" s="66"/>
      <c r="D35" s="66"/>
      <c r="E35" s="48" t="s">
        <v>1380</v>
      </c>
      <c r="F35" s="118"/>
      <c r="G35" s="66"/>
      <c r="H35" s="88" t="s">
        <v>1381</v>
      </c>
      <c r="I35" s="88">
        <f t="shared" si="1"/>
        <v>0</v>
      </c>
      <c r="J35" s="135" t="s">
        <v>1438</v>
      </c>
      <c r="K35" s="104"/>
      <c r="L35" s="66"/>
      <c r="M35" s="26" t="s">
        <v>925</v>
      </c>
      <c r="N35" s="26" t="s">
        <v>926</v>
      </c>
      <c r="O35" s="28" t="s">
        <v>927</v>
      </c>
      <c r="P35" s="28" t="s">
        <v>912</v>
      </c>
      <c r="Q35" s="30" t="s">
        <v>1449</v>
      </c>
      <c r="R35" s="29"/>
      <c r="S35" s="29"/>
      <c r="T35" s="29"/>
      <c r="U35" s="29"/>
      <c r="V35" s="30" t="s">
        <v>811</v>
      </c>
      <c r="W35" s="48" t="s">
        <v>1380</v>
      </c>
      <c r="X35" s="66"/>
      <c r="Y35" s="48" t="s">
        <v>50</v>
      </c>
      <c r="Z35" s="28" t="s">
        <v>913</v>
      </c>
      <c r="AA35" s="28" t="s">
        <v>928</v>
      </c>
      <c r="AB35" s="106"/>
      <c r="AC35" s="66"/>
      <c r="AD35" s="66"/>
      <c r="AE35" s="81"/>
      <c r="AF35" s="121" t="str">
        <f>IFERROR(__xludf.DUMMYFUNCTION("HYPERLINK(
""https://wa.me/""&amp;REGEXREPLACE(Q35,""[^0-9]"","""")&amp;
""?text=""&amp;
ENCODEURL(
""Hola *""&amp;B35&amp;""*.
Te recordamos que la factura Nº *""&amp;J35&amp;""* por el plan """"""&amp;E35&amp;"""""" se encuentra disponible para pago y vence hoy.
Monto: *$""&amp;I35&amp;""*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*$""&amp;AG35&amp;""*
Valor total febrero (con IVA): *$""&amp;AH35&amp;""*
A partir de mañana el valor aument"&amp;"a un 25%, correspondiente al valor de diciembre.
Simple Pyme""
),
""Enviar WhatsApp""
)"),"Enviar WhatsApp")</f>
        <v>Enviar WhatsApp</v>
      </c>
      <c r="AG35" s="81"/>
      <c r="AH35" s="81"/>
      <c r="AI35" s="81"/>
      <c r="AJ35" s="81"/>
      <c r="AK35" s="81"/>
    </row>
    <row r="36">
      <c r="A36" s="126" t="s">
        <v>1361</v>
      </c>
      <c r="B36" s="25" t="s">
        <v>929</v>
      </c>
      <c r="C36" s="30" t="s">
        <v>38</v>
      </c>
      <c r="D36" s="30" t="s">
        <v>38</v>
      </c>
      <c r="E36" s="48" t="s">
        <v>1416</v>
      </c>
      <c r="F36" s="118"/>
      <c r="G36" s="66"/>
      <c r="H36" s="88">
        <v>10000.0</v>
      </c>
      <c r="I36" s="88">
        <f t="shared" si="1"/>
        <v>11900</v>
      </c>
      <c r="J36" s="30"/>
      <c r="K36" s="97">
        <v>92969.0</v>
      </c>
      <c r="L36" s="71" t="s">
        <v>1450</v>
      </c>
      <c r="M36" s="26" t="s">
        <v>681</v>
      </c>
      <c r="N36" s="26" t="s">
        <v>930</v>
      </c>
      <c r="O36" s="28" t="s">
        <v>679</v>
      </c>
      <c r="P36" s="28" t="s">
        <v>931</v>
      </c>
      <c r="Q36" s="143" t="s">
        <v>1451</v>
      </c>
      <c r="R36" s="29"/>
      <c r="S36" s="29"/>
      <c r="T36" s="29"/>
      <c r="U36" s="29"/>
      <c r="V36" s="30" t="s">
        <v>811</v>
      </c>
      <c r="W36" s="30" t="s">
        <v>1411</v>
      </c>
      <c r="X36" s="145">
        <v>46083.0</v>
      </c>
      <c r="Y36" s="48" t="s">
        <v>50</v>
      </c>
      <c r="Z36" s="28" t="s">
        <v>843</v>
      </c>
      <c r="AA36" s="28" t="s">
        <v>932</v>
      </c>
      <c r="AB36" s="146"/>
      <c r="AC36" s="66"/>
      <c r="AD36" s="147"/>
      <c r="AE36" s="148"/>
      <c r="AF36" s="121" t="str">
        <f>IFERROR(__xludf.DUMMYFUNCTION("HYPERLINK(
""https://wa.me/""&amp;REGEXREPLACE(Q36,""[^0-9]"","""")&amp;
""?text=""&amp;
ENCODEURL(
""Hola *""&amp;B36&amp;""*.
Te recordamos que la factura Nº *""&amp;J36&amp;""* por el plan """"""&amp;E36&amp;"""""" se encuentra disponible para pago y vence hoy.
Monto: *$""&amp;I36&amp;""*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36" s="81"/>
      <c r="AH36" s="81">
        <f>AG36*1.19</f>
        <v>0</v>
      </c>
      <c r="AI36" s="81"/>
      <c r="AJ36" s="81"/>
      <c r="AK36" s="81"/>
    </row>
    <row r="37" hidden="1">
      <c r="A37" s="126" t="s">
        <v>1361</v>
      </c>
      <c r="B37" s="25" t="s">
        <v>933</v>
      </c>
      <c r="C37" s="66"/>
      <c r="D37" s="66"/>
      <c r="E37" s="48" t="s">
        <v>1380</v>
      </c>
      <c r="F37" s="118"/>
      <c r="G37" s="66"/>
      <c r="H37" s="88" t="s">
        <v>1381</v>
      </c>
      <c r="I37" s="88">
        <f t="shared" si="1"/>
        <v>0</v>
      </c>
      <c r="J37" s="135" t="s">
        <v>1438</v>
      </c>
      <c r="K37" s="104"/>
      <c r="L37" s="66"/>
      <c r="M37" s="26" t="s">
        <v>934</v>
      </c>
      <c r="N37" s="26" t="s">
        <v>935</v>
      </c>
      <c r="O37" s="28" t="s">
        <v>393</v>
      </c>
      <c r="P37" s="28" t="s">
        <v>936</v>
      </c>
      <c r="Q37" s="120" t="s">
        <v>1452</v>
      </c>
      <c r="R37" s="29"/>
      <c r="S37" s="29"/>
      <c r="T37" s="29"/>
      <c r="U37" s="29"/>
      <c r="V37" s="30" t="s">
        <v>811</v>
      </c>
      <c r="W37" s="48" t="s">
        <v>1380</v>
      </c>
      <c r="X37" s="66"/>
      <c r="Y37" s="48" t="s">
        <v>50</v>
      </c>
      <c r="Z37" s="28" t="s">
        <v>937</v>
      </c>
      <c r="AA37" s="28" t="s">
        <v>399</v>
      </c>
      <c r="AB37" s="106"/>
      <c r="AC37" s="66"/>
      <c r="AD37" s="66"/>
      <c r="AE37" s="81"/>
      <c r="AF37" s="121" t="str">
        <f>IFERROR(__xludf.DUMMYFUNCTION("HYPERLINK(
""https://wa.me/""&amp;REGEXREPLACE(Q37,""[^0-9]"","""")&amp;
""?text=""&amp;
ENCODEURL(
""Hola *""&amp;B37&amp;""*.
Te recordamos que la factura Nº *""&amp;J37&amp;""* por el plan """"""&amp;E37&amp;"""""" se encuentra disponible para pago y vence hoy.
Monto: *$""&amp;I37&amp;""*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*$""&amp;AG37&amp;""*
Valor total febrero (con IVA): *$""&amp;AH37&amp;""*
A partir de mañana el valor aument"&amp;"a un 25%, correspondiente al valor de diciembre.
Simple Pyme""
),
""Enviar WhatsApp""
)"),"Enviar WhatsApp")</f>
        <v>Enviar WhatsApp</v>
      </c>
      <c r="AG37" s="81"/>
      <c r="AH37" s="81"/>
      <c r="AI37" s="81"/>
      <c r="AJ37" s="81"/>
      <c r="AK37" s="81"/>
    </row>
    <row r="38">
      <c r="A38" s="126" t="s">
        <v>1361</v>
      </c>
      <c r="B38" s="25" t="s">
        <v>293</v>
      </c>
      <c r="C38" s="30" t="s">
        <v>38</v>
      </c>
      <c r="D38" s="30" t="s">
        <v>38</v>
      </c>
      <c r="E38" s="48" t="s">
        <v>1362</v>
      </c>
      <c r="F38" s="118"/>
      <c r="G38" s="66"/>
      <c r="H38" s="124">
        <v>30000.0</v>
      </c>
      <c r="I38" s="88">
        <f t="shared" si="1"/>
        <v>35700</v>
      </c>
      <c r="J38" s="30"/>
      <c r="K38" s="97">
        <v>95200.0</v>
      </c>
      <c r="L38" s="30" t="s">
        <v>1453</v>
      </c>
      <c r="M38" s="26" t="s">
        <v>294</v>
      </c>
      <c r="N38" s="26" t="s">
        <v>295</v>
      </c>
      <c r="O38" s="28" t="s">
        <v>292</v>
      </c>
      <c r="P38" s="28" t="s">
        <v>938</v>
      </c>
      <c r="Q38" s="120" t="s">
        <v>1454</v>
      </c>
      <c r="R38" s="29"/>
      <c r="S38" s="29"/>
      <c r="T38" s="29"/>
      <c r="U38" s="29"/>
      <c r="V38" s="30" t="s">
        <v>811</v>
      </c>
      <c r="W38" s="30" t="s">
        <v>1364</v>
      </c>
      <c r="X38" s="132">
        <v>46086.0</v>
      </c>
      <c r="Y38" s="48" t="s">
        <v>50</v>
      </c>
      <c r="Z38" s="28" t="s">
        <v>939</v>
      </c>
      <c r="AA38" s="28">
        <v>1325740.0</v>
      </c>
      <c r="AB38" s="106"/>
      <c r="AC38" s="66"/>
      <c r="AD38" s="66"/>
      <c r="AE38" s="81"/>
      <c r="AF38" s="121" t="str">
        <f>IFERROR(__xludf.DUMMYFUNCTION("HYPERLINK(
""https://wa.me/""&amp;REGEXREPLACE(Q38,""[^0-9]"","""")&amp;
""?text=""&amp;
ENCODEURL(
""Hola *""&amp;B38&amp;""*.
Te recordamos que la factura Nº *""&amp;J38&amp;""* por el plan """"""&amp;E38&amp;"""""" se encuentra disponible para pago y vence hoy.
Monto: *$""&amp;I38&amp;""*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*$""&amp;AG38&amp;""*
Valor total febrero (con IVA): *$""&amp;AH38&amp;""*
A partir de mañana el valor aument"&amp;"a un 25%, correspondiente al valor de diciembre.
Simple Pyme""
),
""Enviar WhatsApp""
)"),"Enviar WhatsApp")</f>
        <v>Enviar WhatsApp</v>
      </c>
      <c r="AG38" s="81"/>
      <c r="AH38" s="81"/>
      <c r="AI38" s="81"/>
      <c r="AJ38" s="81"/>
      <c r="AK38" s="81"/>
    </row>
    <row r="39">
      <c r="A39" s="126" t="s">
        <v>1361</v>
      </c>
      <c r="B39" s="25" t="s">
        <v>940</v>
      </c>
      <c r="C39" s="30" t="s">
        <v>38</v>
      </c>
      <c r="D39" s="30" t="s">
        <v>38</v>
      </c>
      <c r="E39" s="48" t="s">
        <v>1362</v>
      </c>
      <c r="F39" s="118"/>
      <c r="G39" s="66"/>
      <c r="H39" s="88">
        <v>30000.0</v>
      </c>
      <c r="I39" s="88">
        <f t="shared" si="1"/>
        <v>35700</v>
      </c>
      <c r="J39" s="30"/>
      <c r="K39" s="104"/>
      <c r="L39" s="66"/>
      <c r="M39" s="26" t="s">
        <v>634</v>
      </c>
      <c r="N39" s="26" t="s">
        <v>941</v>
      </c>
      <c r="O39" s="28" t="s">
        <v>632</v>
      </c>
      <c r="P39" s="28" t="s">
        <v>942</v>
      </c>
      <c r="Q39" s="149" t="s">
        <v>1455</v>
      </c>
      <c r="R39" s="49"/>
      <c r="S39" s="49"/>
      <c r="T39" s="49"/>
      <c r="U39" s="49"/>
      <c r="V39" s="30" t="s">
        <v>811</v>
      </c>
      <c r="W39" s="30" t="s">
        <v>1364</v>
      </c>
      <c r="X39" s="140">
        <v>46086.0</v>
      </c>
      <c r="Y39" s="48" t="s">
        <v>50</v>
      </c>
      <c r="Z39" s="28" t="s">
        <v>944</v>
      </c>
      <c r="AA39" s="28" t="s">
        <v>943</v>
      </c>
      <c r="AB39" s="106"/>
      <c r="AC39" s="66"/>
      <c r="AD39" s="66"/>
      <c r="AE39" s="81"/>
      <c r="AF39" s="121" t="str">
        <f>IFERROR(__xludf.DUMMYFUNCTION("HYPERLINK(
""https://wa.me/""&amp;REGEXREPLACE(Q39,""[^0-9]"","""")&amp;
""?text=""&amp;
ENCODEURL(
""Hola *""&amp;B39&amp;""*.
Te recordamos que la factura Nº *""&amp;J39&amp;""* por el plan """"""&amp;E39&amp;"""""" se encuentra disponible para pago y vence hoy.
Monto: *$""&amp;I39&amp;""*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*$""&amp;AG39&amp;""*
Valor total febrero (con IVA): *$""&amp;AH39&amp;""*
A partir de mañana el valor aument"&amp;"a un 25%, correspondiente al valor de diciembre.
Simple Pyme""
),
""Enviar WhatsApp""
)"),"Enviar WhatsApp")</f>
        <v>Enviar WhatsApp</v>
      </c>
      <c r="AG39" s="122">
        <v>100000.0</v>
      </c>
      <c r="AH39" s="123">
        <f>AG39*1.19</f>
        <v>119000</v>
      </c>
      <c r="AI39" s="81"/>
      <c r="AJ39" s="81"/>
      <c r="AK39" s="81"/>
    </row>
    <row r="40">
      <c r="A40" s="126" t="s">
        <v>1456</v>
      </c>
      <c r="B40" s="25" t="s">
        <v>1457</v>
      </c>
      <c r="C40" s="30" t="s">
        <v>38</v>
      </c>
      <c r="D40" s="30" t="s">
        <v>38</v>
      </c>
      <c r="E40" s="48" t="s">
        <v>1362</v>
      </c>
      <c r="F40" s="118"/>
      <c r="G40" s="66"/>
      <c r="H40" s="88">
        <v>30000.0</v>
      </c>
      <c r="I40" s="88">
        <f t="shared" si="1"/>
        <v>35700</v>
      </c>
      <c r="J40" s="30"/>
      <c r="K40" s="104"/>
      <c r="L40" s="66"/>
      <c r="M40" s="26" t="s">
        <v>688</v>
      </c>
      <c r="N40" s="26" t="s">
        <v>689</v>
      </c>
      <c r="O40" s="28" t="s">
        <v>1458</v>
      </c>
      <c r="P40" s="28" t="s">
        <v>1459</v>
      </c>
      <c r="Q40" s="28" t="s">
        <v>1460</v>
      </c>
      <c r="R40" s="29"/>
      <c r="S40" s="29"/>
      <c r="T40" s="29"/>
      <c r="U40" s="29"/>
      <c r="V40" s="30" t="s">
        <v>811</v>
      </c>
      <c r="W40" s="30" t="s">
        <v>1364</v>
      </c>
      <c r="X40" s="127">
        <v>46087.0</v>
      </c>
      <c r="Y40" s="48" t="s">
        <v>50</v>
      </c>
      <c r="Z40" s="28" t="s">
        <v>1461</v>
      </c>
      <c r="AA40" s="28" t="s">
        <v>691</v>
      </c>
      <c r="AB40" s="106"/>
      <c r="AC40" s="66"/>
      <c r="AD40" s="66"/>
      <c r="AE40" s="81"/>
      <c r="AF40" s="121" t="str">
        <f>IFERROR(__xludf.DUMMYFUNCTION("HYPERLINK(
""https://wa.me/""&amp;REGEXREPLACE(Q40,""[^0-9]"","""")&amp;
""?text=""&amp;
ENCODEURL(
""Buenas tardes *""&amp;B40&amp;""*.
Te recordamos que tu plan *""""""&amp;E40&amp;""""""* *no incluye* la declaración de renta. Te enviamos varios correos informando sobre este proc"&amp;"eso. Esta semana vencen las primeras declaraciones juradas, lo que generará multas
Valor: *$""&amp;AG40&amp;""* + IVA = *$""&amp;AH40&amp;""*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40" s="123">
        <v>125000.0</v>
      </c>
      <c r="AH40" s="123">
        <v>148750.0</v>
      </c>
      <c r="AI40" s="123"/>
      <c r="AJ40" s="123"/>
      <c r="AK40" s="123"/>
    </row>
    <row r="41">
      <c r="A41" s="126" t="s">
        <v>1456</v>
      </c>
      <c r="B41" s="25" t="s">
        <v>945</v>
      </c>
      <c r="C41" s="30" t="s">
        <v>38</v>
      </c>
      <c r="D41" s="30" t="s">
        <v>38</v>
      </c>
      <c r="E41" s="48" t="s">
        <v>1362</v>
      </c>
      <c r="F41" s="118"/>
      <c r="G41" s="66"/>
      <c r="H41" s="88">
        <v>30000.0</v>
      </c>
      <c r="I41" s="88">
        <f t="shared" si="1"/>
        <v>35700</v>
      </c>
      <c r="J41" s="30"/>
      <c r="K41" s="104"/>
      <c r="L41" s="66"/>
      <c r="M41" s="26" t="s">
        <v>36</v>
      </c>
      <c r="N41" s="26" t="s">
        <v>37</v>
      </c>
      <c r="O41" s="28" t="s">
        <v>946</v>
      </c>
      <c r="P41" s="28" t="s">
        <v>947</v>
      </c>
      <c r="Q41" s="28" t="s">
        <v>1462</v>
      </c>
      <c r="R41" s="29"/>
      <c r="S41" s="29"/>
      <c r="T41" s="29"/>
      <c r="U41" s="29"/>
      <c r="V41" s="30" t="s">
        <v>811</v>
      </c>
      <c r="W41" s="30" t="s">
        <v>1364</v>
      </c>
      <c r="X41" s="127">
        <v>46086.0</v>
      </c>
      <c r="Y41" s="48" t="s">
        <v>50</v>
      </c>
      <c r="Z41" s="28" t="s">
        <v>949</v>
      </c>
      <c r="AA41" s="28" t="s">
        <v>948</v>
      </c>
      <c r="AB41" s="106"/>
      <c r="AC41" s="66"/>
      <c r="AD41" s="66"/>
      <c r="AE41" s="81"/>
      <c r="AF41" s="121" t="str">
        <f>IFERROR(__xludf.DUMMYFUNCTION("HYPERLINK(
""https://wa.me/""&amp;REGEXREPLACE(Q41,""[^0-9]"","""")&amp;
""?text=""&amp;
ENCODEURL(
""Hola *""&amp;B41&amp;""*.
Te recordamos que la factura Nº *""&amp;J41&amp;""* por el plan """"""&amp;E41&amp;"""""" se encuentra disponible para pago y vence hoy.
Monto: *$""&amp;I41&amp;""*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1" s="81"/>
      <c r="AH41" s="81">
        <f t="shared" ref="AH41:AH42" si="5">AG41*1.19</f>
        <v>0</v>
      </c>
      <c r="AI41" s="81"/>
      <c r="AJ41" s="81"/>
      <c r="AK41" s="81"/>
    </row>
    <row r="42">
      <c r="A42" s="126" t="s">
        <v>1456</v>
      </c>
      <c r="B42" s="25" t="s">
        <v>950</v>
      </c>
      <c r="C42" s="30" t="s">
        <v>38</v>
      </c>
      <c r="D42" s="30" t="s">
        <v>38</v>
      </c>
      <c r="E42" s="48" t="s">
        <v>1362</v>
      </c>
      <c r="F42" s="118"/>
      <c r="G42" s="66"/>
      <c r="H42" s="88">
        <v>30000.0</v>
      </c>
      <c r="I42" s="88">
        <f t="shared" si="1"/>
        <v>35700</v>
      </c>
      <c r="J42" s="30"/>
      <c r="K42" s="104"/>
      <c r="L42" s="66"/>
      <c r="M42" s="26" t="s">
        <v>311</v>
      </c>
      <c r="N42" s="26" t="s">
        <v>312</v>
      </c>
      <c r="O42" s="28" t="s">
        <v>309</v>
      </c>
      <c r="P42" s="28" t="s">
        <v>951</v>
      </c>
      <c r="Q42" s="30" t="s">
        <v>1463</v>
      </c>
      <c r="R42" s="29"/>
      <c r="S42" s="29"/>
      <c r="T42" s="29"/>
      <c r="U42" s="29"/>
      <c r="V42" s="30" t="s">
        <v>811</v>
      </c>
      <c r="W42" s="30" t="s">
        <v>1364</v>
      </c>
      <c r="X42" s="127">
        <v>46086.0</v>
      </c>
      <c r="Y42" s="48" t="s">
        <v>50</v>
      </c>
      <c r="Z42" s="28" t="s">
        <v>952</v>
      </c>
      <c r="AA42" s="28" t="s">
        <v>316</v>
      </c>
      <c r="AB42" s="106"/>
      <c r="AC42" s="66"/>
      <c r="AD42" s="66"/>
      <c r="AE42" s="81"/>
      <c r="AF42" s="121" t="str">
        <f>IFERROR(__xludf.DUMMYFUNCTION("HYPERLINK(
""https://wa.me/""&amp;REGEXREPLACE(Q42,""[^0-9]"","""")&amp;
""?text=""&amp;
ENCODEURL(
""Hola *""&amp;B42&amp;""*.
Te recordamos que la factura Nº *""&amp;J42&amp;""* por el plan """"""&amp;E42&amp;"""""" se encuentra disponible para pago y vence hoy.
Monto: *$""&amp;I42&amp;""*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2" s="81"/>
      <c r="AH42" s="81">
        <f t="shared" si="5"/>
        <v>0</v>
      </c>
      <c r="AI42" s="81"/>
      <c r="AJ42" s="81"/>
      <c r="AK42" s="81"/>
    </row>
    <row r="43" hidden="1">
      <c r="A43" s="126" t="s">
        <v>1456</v>
      </c>
      <c r="B43" s="25" t="s">
        <v>1464</v>
      </c>
      <c r="C43" s="28" t="s">
        <v>50</v>
      </c>
      <c r="D43" s="28"/>
      <c r="E43" s="48" t="s">
        <v>1362</v>
      </c>
      <c r="F43" s="118"/>
      <c r="G43" s="66"/>
      <c r="H43" s="124">
        <v>30000.0</v>
      </c>
      <c r="I43" s="88">
        <f t="shared" si="1"/>
        <v>35700</v>
      </c>
      <c r="J43" s="30" t="s">
        <v>1376</v>
      </c>
      <c r="K43" s="104"/>
      <c r="L43" s="28"/>
      <c r="M43" s="26" t="s">
        <v>1465</v>
      </c>
      <c r="N43" s="26" t="s">
        <v>1466</v>
      </c>
      <c r="O43" s="28" t="s">
        <v>1467</v>
      </c>
      <c r="P43" s="28" t="s">
        <v>1468</v>
      </c>
      <c r="Q43" s="28" t="s">
        <v>1469</v>
      </c>
      <c r="R43" s="29"/>
      <c r="S43" s="30" t="s">
        <v>880</v>
      </c>
      <c r="T43" s="30" t="s">
        <v>880</v>
      </c>
      <c r="U43" s="30" t="s">
        <v>880</v>
      </c>
      <c r="V43" s="30" t="s">
        <v>880</v>
      </c>
      <c r="W43" s="30" t="s">
        <v>1470</v>
      </c>
      <c r="X43" s="66"/>
      <c r="Y43" s="48" t="s">
        <v>50</v>
      </c>
      <c r="Z43" s="28" t="s">
        <v>1471</v>
      </c>
      <c r="AA43" s="28" t="s">
        <v>809</v>
      </c>
      <c r="AB43" s="106"/>
      <c r="AC43" s="66"/>
      <c r="AD43" s="66"/>
      <c r="AE43" s="81"/>
      <c r="AF43" s="121" t="str">
        <f>IFERROR(__xludf.DUMMYFUNCTION("HYPERLINK(
""https://wa.me/""&amp;REGEXREPLACE(Q43,""[^0-9]"","""")&amp;
""?text=""&amp;
ENCODEURL(
""Buenas tardes *""&amp;B43&amp;""*.
Te recordamos que la operación renta ya comenzó y vencieron las primeras declaracione juradas *EVITA MÁS MULTAS*,  tu plan """"""&amp;E43&amp;"""&amp;""""" no incluye la declaración de renta. Te enviamos varios correos informando sobre este proceso. 
Valor del servicio: *$""&amp;AG43&amp;""* + IVA = *$""&amp;AH43&amp;""*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3" s="123">
        <v>125000.0</v>
      </c>
      <c r="AH43" s="123">
        <v>148750.0</v>
      </c>
      <c r="AI43" s="123"/>
      <c r="AJ43" s="123"/>
      <c r="AK43" s="123"/>
    </row>
    <row r="44">
      <c r="A44" s="126" t="s">
        <v>1456</v>
      </c>
      <c r="B44" s="25" t="s">
        <v>1472</v>
      </c>
      <c r="C44" s="30" t="s">
        <v>1473</v>
      </c>
      <c r="D44" s="28"/>
      <c r="E44" s="48" t="s">
        <v>1362</v>
      </c>
      <c r="F44" s="118"/>
      <c r="G44" s="66"/>
      <c r="H44" s="88">
        <v>30000.0</v>
      </c>
      <c r="I44" s="88">
        <f t="shared" si="1"/>
        <v>35700</v>
      </c>
      <c r="J44" s="30"/>
      <c r="K44" s="104"/>
      <c r="L44" s="66"/>
      <c r="M44" s="26" t="s">
        <v>1474</v>
      </c>
      <c r="N44" s="26" t="s">
        <v>1475</v>
      </c>
      <c r="O44" s="28" t="s">
        <v>1476</v>
      </c>
      <c r="P44" s="28" t="s">
        <v>1477</v>
      </c>
      <c r="Q44" s="120" t="s">
        <v>1478</v>
      </c>
      <c r="R44" s="29"/>
      <c r="S44" s="29"/>
      <c r="T44" s="29"/>
      <c r="U44" s="29"/>
      <c r="V44" s="30" t="s">
        <v>811</v>
      </c>
      <c r="W44" s="30" t="s">
        <v>1364</v>
      </c>
      <c r="X44" s="127">
        <v>46090.0</v>
      </c>
      <c r="Y44" s="48" t="s">
        <v>50</v>
      </c>
      <c r="Z44" s="28" t="s">
        <v>1479</v>
      </c>
      <c r="AA44" s="28" t="s">
        <v>1480</v>
      </c>
      <c r="AB44" s="106"/>
      <c r="AC44" s="66"/>
      <c r="AD44" s="66"/>
      <c r="AE44" s="81"/>
      <c r="AF44" s="121" t="str">
        <f>IFERROR(__xludf.DUMMYFUNCTION("HYPERLINK(
""https://wa.me/""&amp;REGEXREPLACE(Q44,""[^0-9]"","""")&amp;
""?text=""&amp;
ENCODEURL(
""Buenas tardes *""&amp;B44&amp;""*.
Te recordamos que la operación renta ya comenzó y vencieron las primeras declaracione juradas *EVITA MÁS MULTAS*,  tu plan """"""&amp;E44&amp;"""&amp;""""" no incluye la declaración de renta. Te enviamos varios correos informando sobre este proceso. 
Valor del servicio: *$""&amp;AG44&amp;""* + IVA = *$""&amp;AH44&amp;""*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4" s="123">
        <v>125000.0</v>
      </c>
      <c r="AH44" s="123">
        <v>148750.0</v>
      </c>
      <c r="AI44" s="123"/>
      <c r="AJ44" s="123"/>
      <c r="AK44" s="123"/>
    </row>
    <row r="45" hidden="1">
      <c r="A45" s="126" t="s">
        <v>1456</v>
      </c>
      <c r="B45" s="25" t="s">
        <v>372</v>
      </c>
      <c r="C45" s="30" t="s">
        <v>38</v>
      </c>
      <c r="D45" s="30" t="s">
        <v>38</v>
      </c>
      <c r="E45" s="48" t="s">
        <v>1375</v>
      </c>
      <c r="F45" s="118"/>
      <c r="G45" s="66"/>
      <c r="H45" s="88" t="s">
        <v>1381</v>
      </c>
      <c r="I45" s="88">
        <f t="shared" si="1"/>
        <v>0</v>
      </c>
      <c r="J45" s="135" t="s">
        <v>1438</v>
      </c>
      <c r="K45" s="104"/>
      <c r="L45" s="28" t="s">
        <v>1481</v>
      </c>
      <c r="M45" s="26" t="s">
        <v>373</v>
      </c>
      <c r="N45" s="26" t="s">
        <v>374</v>
      </c>
      <c r="O45" s="28" t="s">
        <v>953</v>
      </c>
      <c r="P45" s="28" t="s">
        <v>954</v>
      </c>
      <c r="Q45" s="120">
        <v>9.63656735E8</v>
      </c>
      <c r="R45" s="29"/>
      <c r="S45" s="29"/>
      <c r="T45" s="29"/>
      <c r="U45" s="29"/>
      <c r="V45" s="30" t="s">
        <v>811</v>
      </c>
      <c r="W45" s="48" t="s">
        <v>1375</v>
      </c>
      <c r="X45" s="66"/>
      <c r="Y45" s="48" t="s">
        <v>50</v>
      </c>
      <c r="Z45" s="28" t="s">
        <v>955</v>
      </c>
      <c r="AA45" s="28" t="s">
        <v>809</v>
      </c>
      <c r="AB45" s="106"/>
      <c r="AC45" s="66"/>
      <c r="AD45" s="66"/>
      <c r="AE45" s="81"/>
      <c r="AF45" s="81" t="str">
        <f>IFERROR(__xludf.DUMMYFUNCTION("HYPERLINK(
""https://wa.me/""&amp;REGEXREPLACE(Q45,""[^0-9]"","""")&amp;
""?text=""&amp;
ENCODEURL(
""Hola *""&amp;B45&amp;""*.
Te recordamos que la factura Nº *""&amp;J45&amp;""* por el plan """"""&amp;E45&amp;"""""" se encuentra disponible para pago y vence hoy.
Monto: *$""&amp;I45&amp;""*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*$""&amp;AG45&amp;""*
Valor total febrero (con IVA): *$""&amp;AH45&amp;""*
A partir de mañana el valor aument"&amp;"a un 25%, correspondiente al valor de diciembre.
Simple Pyme""
),
""Enviar WhatsApp""
)"),"Enviar WhatsApp")</f>
        <v>Enviar WhatsApp</v>
      </c>
      <c r="AG45" s="81"/>
      <c r="AH45" s="81"/>
      <c r="AI45" s="81"/>
      <c r="AJ45" s="81"/>
      <c r="AK45" s="81"/>
    </row>
    <row r="46">
      <c r="A46" s="126" t="s">
        <v>1456</v>
      </c>
      <c r="B46" s="25" t="s">
        <v>520</v>
      </c>
      <c r="C46" s="30" t="s">
        <v>38</v>
      </c>
      <c r="D46" s="30" t="s">
        <v>38</v>
      </c>
      <c r="E46" s="48" t="s">
        <v>1416</v>
      </c>
      <c r="F46" s="118"/>
      <c r="G46" s="66"/>
      <c r="H46" s="88">
        <v>10000.0</v>
      </c>
      <c r="I46" s="88">
        <f t="shared" si="1"/>
        <v>11900</v>
      </c>
      <c r="J46" s="30"/>
      <c r="K46" s="97">
        <v>46500.0</v>
      </c>
      <c r="L46" s="66"/>
      <c r="M46" s="26" t="s">
        <v>521</v>
      </c>
      <c r="N46" s="26" t="s">
        <v>522</v>
      </c>
      <c r="O46" s="28" t="s">
        <v>519</v>
      </c>
      <c r="P46" s="28" t="s">
        <v>956</v>
      </c>
      <c r="Q46" s="120" t="s">
        <v>1482</v>
      </c>
      <c r="R46" s="29"/>
      <c r="S46" s="29"/>
      <c r="T46" s="29"/>
      <c r="U46" s="29"/>
      <c r="V46" s="30" t="s">
        <v>811</v>
      </c>
      <c r="W46" s="30" t="s">
        <v>1364</v>
      </c>
      <c r="X46" s="127">
        <v>46086.0</v>
      </c>
      <c r="Y46" s="48" t="s">
        <v>50</v>
      </c>
      <c r="Z46" s="28" t="s">
        <v>958</v>
      </c>
      <c r="AA46" s="28" t="s">
        <v>957</v>
      </c>
      <c r="AB46" s="106"/>
      <c r="AC46" s="66"/>
      <c r="AD46" s="66"/>
      <c r="AE46" s="81"/>
      <c r="AF46" s="121" t="str">
        <f>IFERROR(__xludf.DUMMYFUNCTION("HYPERLINK(
""https://wa.me/""&amp;REGEXREPLACE(Q46,""[^0-9]"","""")&amp;
""?text=""&amp;
ENCODEURL(
""Hola *""&amp;B46&amp;""*.
Te recordamos que la factura Nº *""&amp;J46&amp;""* por el plan """"""&amp;E46&amp;"""""" se encuentra disponible para pago y vence hoy.
Monto: *$""&amp;I46&amp;""*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*$""&amp;AG46&amp;""*
Valor total febrero (con IVA): *$""&amp;AH46&amp;""*
A partir de mañana el valor aument"&amp;"a un 25%, correspondiente al valor de diciembre.
Simple Pyme""
),
""Enviar WhatsApp""
)"),"Enviar WhatsApp")</f>
        <v>Enviar WhatsApp</v>
      </c>
      <c r="AG46" s="122">
        <v>62500.0</v>
      </c>
      <c r="AH46" s="123">
        <f>AG46*1.19</f>
        <v>74375</v>
      </c>
      <c r="AI46" s="81"/>
      <c r="AJ46" s="81"/>
      <c r="AK46" s="81"/>
    </row>
    <row r="47">
      <c r="A47" s="126" t="s">
        <v>1456</v>
      </c>
      <c r="B47" s="25" t="s">
        <v>1483</v>
      </c>
      <c r="C47" s="28" t="s">
        <v>50</v>
      </c>
      <c r="D47" s="28"/>
      <c r="E47" s="48" t="s">
        <v>1362</v>
      </c>
      <c r="F47" s="118"/>
      <c r="G47" s="66"/>
      <c r="H47" s="88">
        <v>30000.0</v>
      </c>
      <c r="I47" s="88">
        <f t="shared" si="1"/>
        <v>35700</v>
      </c>
      <c r="J47" s="30"/>
      <c r="K47" s="104"/>
      <c r="L47" s="66"/>
      <c r="M47" s="26" t="s">
        <v>1484</v>
      </c>
      <c r="N47" s="26" t="s">
        <v>1485</v>
      </c>
      <c r="O47" s="28" t="s">
        <v>1486</v>
      </c>
      <c r="P47" s="28" t="s">
        <v>1487</v>
      </c>
      <c r="Q47" s="139" t="s">
        <v>1488</v>
      </c>
      <c r="R47" s="29"/>
      <c r="S47" s="29"/>
      <c r="T47" s="29"/>
      <c r="U47" s="29"/>
      <c r="V47" s="30" t="s">
        <v>811</v>
      </c>
      <c r="W47" s="30" t="s">
        <v>1364</v>
      </c>
      <c r="X47" s="140">
        <v>46098.0</v>
      </c>
      <c r="Y47" s="48" t="s">
        <v>50</v>
      </c>
      <c r="Z47" s="28" t="s">
        <v>1489</v>
      </c>
      <c r="AA47" s="28" t="s">
        <v>1490</v>
      </c>
      <c r="AB47" s="106"/>
      <c r="AC47" s="66"/>
      <c r="AD47" s="66"/>
      <c r="AE47" s="81"/>
      <c r="AF47" s="121" t="str">
        <f>IFERROR(__xludf.DUMMYFUNCTION("HYPERLINK(
""https://wa.me/""&amp;REGEXREPLACE(Q47,""[^0-9]"","""")&amp;
""?text=""&amp;
ENCODEURL(
""Buenas tardes *""&amp;B47&amp;""*.
Te recordamos que la operación renta ya comenzó y vencieron las primeras declaracione juradas *EVITA MÁS MULTAS*,  tu plan """"""&amp;E47&amp;"""&amp;""""" no incluye la declaración de renta. Te enviamos varios correos informando sobre este proceso. 
Valor del servicio: *$""&amp;AG47&amp;""* + IVA = *$""&amp;AH47&amp;""*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7" s="123">
        <v>125000.0</v>
      </c>
      <c r="AH47" s="123">
        <v>148750.0</v>
      </c>
      <c r="AI47" s="123"/>
      <c r="AJ47" s="123"/>
      <c r="AK47" s="123"/>
    </row>
    <row r="48" hidden="1">
      <c r="A48" s="126" t="s">
        <v>1456</v>
      </c>
      <c r="B48" s="25" t="s">
        <v>959</v>
      </c>
      <c r="C48" s="28"/>
      <c r="D48" s="66"/>
      <c r="E48" s="48" t="s">
        <v>1375</v>
      </c>
      <c r="F48" s="118"/>
      <c r="G48" s="66"/>
      <c r="H48" s="88" t="s">
        <v>1381</v>
      </c>
      <c r="I48" s="88">
        <f t="shared" si="1"/>
        <v>0</v>
      </c>
      <c r="J48" s="135" t="s">
        <v>1438</v>
      </c>
      <c r="K48" s="104"/>
      <c r="L48" s="30" t="s">
        <v>1491</v>
      </c>
      <c r="M48" s="26" t="s">
        <v>960</v>
      </c>
      <c r="N48" s="26" t="s">
        <v>961</v>
      </c>
      <c r="O48" s="28" t="s">
        <v>962</v>
      </c>
      <c r="P48" s="28" t="s">
        <v>963</v>
      </c>
      <c r="Q48" s="30" t="s">
        <v>1492</v>
      </c>
      <c r="R48" s="29"/>
      <c r="S48" s="29"/>
      <c r="T48" s="29"/>
      <c r="U48" s="29"/>
      <c r="V48" s="30" t="s">
        <v>811</v>
      </c>
      <c r="W48" s="48" t="s">
        <v>1375</v>
      </c>
      <c r="X48" s="66"/>
      <c r="Y48" s="48" t="s">
        <v>50</v>
      </c>
      <c r="Z48" s="28" t="s">
        <v>966</v>
      </c>
      <c r="AA48" s="28" t="s">
        <v>964</v>
      </c>
      <c r="AB48" s="106"/>
      <c r="AC48" s="66"/>
      <c r="AD48" s="66"/>
      <c r="AE48" s="81"/>
      <c r="AF48" s="121" t="str">
        <f>IFERROR(__xludf.DUMMYFUNCTION("HYPERLINK(
""https://wa.me/""&amp;REGEXREPLACE(Q48,""[^0-9]"","""")&amp;
""?text=""&amp;
ENCODEURL(
""Hola *""&amp;B48&amp;""*.
Te recordamos que la factura Nº *""&amp;J48&amp;""* por el plan """"""&amp;E48&amp;"""""" se encuentra disponible para pago y vence hoy.
Monto: *$""&amp;I48&amp;""*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*$""&amp;AG48&amp;""*
Valor total febrero (con IVA): *$""&amp;AH48&amp;""*
A partir de mañana el valor aument"&amp;"a un 25%, correspondiente al valor de diciembre.
Simple Pyme""
),
""Enviar WhatsApp""
)"),"Enviar WhatsApp")</f>
        <v>Enviar WhatsApp</v>
      </c>
      <c r="AG48" s="81">
        <v>0.0</v>
      </c>
      <c r="AH48" s="81">
        <f t="shared" ref="AH48:AH51" si="6">AG48*1.19</f>
        <v>0</v>
      </c>
      <c r="AI48" s="81"/>
      <c r="AJ48" s="81"/>
      <c r="AK48" s="81"/>
    </row>
    <row r="49">
      <c r="A49" s="126" t="s">
        <v>1456</v>
      </c>
      <c r="B49" s="25" t="s">
        <v>263</v>
      </c>
      <c r="C49" s="30" t="s">
        <v>38</v>
      </c>
      <c r="D49" s="30" t="s">
        <v>38</v>
      </c>
      <c r="E49" s="48" t="s">
        <v>1362</v>
      </c>
      <c r="F49" s="118"/>
      <c r="G49" s="66"/>
      <c r="H49" s="88">
        <v>30000.0</v>
      </c>
      <c r="I49" s="88">
        <f t="shared" si="1"/>
        <v>35700</v>
      </c>
      <c r="J49" s="30"/>
      <c r="K49" s="104"/>
      <c r="L49" s="28"/>
      <c r="M49" s="50" t="s">
        <v>264</v>
      </c>
      <c r="N49" s="26" t="s">
        <v>967</v>
      </c>
      <c r="O49" s="25" t="s">
        <v>262</v>
      </c>
      <c r="P49" s="28" t="s">
        <v>968</v>
      </c>
      <c r="Q49" s="30" t="s">
        <v>1493</v>
      </c>
      <c r="R49" s="29"/>
      <c r="S49" s="29"/>
      <c r="T49" s="29"/>
      <c r="U49" s="29"/>
      <c r="V49" s="30" t="s">
        <v>811</v>
      </c>
      <c r="W49" s="30" t="s">
        <v>1364</v>
      </c>
      <c r="X49" s="128">
        <v>46090.0</v>
      </c>
      <c r="Y49" s="48" t="s">
        <v>50</v>
      </c>
      <c r="Z49" s="28" t="s">
        <v>969</v>
      </c>
      <c r="AA49" s="28" t="s">
        <v>809</v>
      </c>
      <c r="AB49" s="106"/>
      <c r="AC49" s="66"/>
      <c r="AD49" s="66"/>
      <c r="AE49" s="81"/>
      <c r="AF49" s="121" t="str">
        <f>IFERROR(__xludf.DUMMYFUNCTION("HYPERLINK(
""https://wa.me/""&amp;REGEXREPLACE(Q49,""[^0-9]"","""")&amp;
""?text=""&amp;
ENCODEURL(
""Hola *""&amp;B49&amp;""*.
Te recordamos que la factura Nº *""&amp;J49&amp;""* por el plan """"""&amp;E49&amp;"""""" se encuentra disponible para pago y vence hoy.
Monto: *$""&amp;I49&amp;""*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9" s="81"/>
      <c r="AH49" s="81">
        <f t="shared" si="6"/>
        <v>0</v>
      </c>
      <c r="AI49" s="81"/>
      <c r="AJ49" s="81"/>
      <c r="AK49" s="81"/>
    </row>
    <row r="50">
      <c r="A50" s="126" t="s">
        <v>1456</v>
      </c>
      <c r="B50" s="25" t="s">
        <v>970</v>
      </c>
      <c r="C50" s="30" t="s">
        <v>38</v>
      </c>
      <c r="D50" s="30" t="s">
        <v>38</v>
      </c>
      <c r="E50" s="48" t="s">
        <v>1362</v>
      </c>
      <c r="F50" s="118"/>
      <c r="G50" s="28">
        <f>80000*1.19</f>
        <v>95200</v>
      </c>
      <c r="H50" s="88">
        <v>30000.0</v>
      </c>
      <c r="I50" s="88">
        <f t="shared" si="1"/>
        <v>35700</v>
      </c>
      <c r="J50" s="30"/>
      <c r="K50" s="104"/>
      <c r="L50" s="66"/>
      <c r="M50" s="26" t="s">
        <v>181</v>
      </c>
      <c r="N50" s="26" t="s">
        <v>182</v>
      </c>
      <c r="O50" s="28" t="s">
        <v>971</v>
      </c>
      <c r="P50" s="28" t="s">
        <v>972</v>
      </c>
      <c r="Q50" s="120" t="s">
        <v>1494</v>
      </c>
      <c r="R50" s="29"/>
      <c r="S50" s="29"/>
      <c r="T50" s="29"/>
      <c r="U50" s="29"/>
      <c r="V50" s="30" t="s">
        <v>811</v>
      </c>
      <c r="W50" s="30" t="s">
        <v>1364</v>
      </c>
      <c r="X50" s="127">
        <v>46084.0</v>
      </c>
      <c r="Y50" s="48" t="s">
        <v>50</v>
      </c>
      <c r="Z50" s="28" t="s">
        <v>974</v>
      </c>
      <c r="AA50" s="28" t="s">
        <v>973</v>
      </c>
      <c r="AB50" s="106"/>
      <c r="AC50" s="66"/>
      <c r="AD50" s="66"/>
      <c r="AE50" s="81"/>
      <c r="AF50" s="121" t="str">
        <f>IFERROR(__xludf.DUMMYFUNCTION("HYPERLINK(
""https://wa.me/""&amp;REGEXREPLACE(Q50,""[^0-9]"","""")&amp;
""?text=""&amp;
ENCODEURL(
""Hola *""&amp;B50&amp;""*.
Te recordamos que la factura Nº *""&amp;J50&amp;""* por el plan """"""&amp;E50&amp;"""""" se encuentra disponible para pago y vence hoy.
Monto: *$""&amp;I50&amp;""*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0" s="81"/>
      <c r="AH50" s="81">
        <f t="shared" si="6"/>
        <v>0</v>
      </c>
      <c r="AI50" s="81"/>
      <c r="AJ50" s="81"/>
      <c r="AK50" s="81"/>
    </row>
    <row r="51">
      <c r="A51" s="126" t="s">
        <v>1456</v>
      </c>
      <c r="B51" s="25" t="s">
        <v>975</v>
      </c>
      <c r="C51" s="30" t="s">
        <v>38</v>
      </c>
      <c r="D51" s="30" t="s">
        <v>38</v>
      </c>
      <c r="E51" s="48" t="s">
        <v>1413</v>
      </c>
      <c r="F51" s="118"/>
      <c r="G51" s="66"/>
      <c r="H51" s="88">
        <v>60504.0</v>
      </c>
      <c r="I51" s="88">
        <f t="shared" si="1"/>
        <v>71999.76</v>
      </c>
      <c r="J51" s="30"/>
      <c r="K51" s="88">
        <v>238000.0</v>
      </c>
      <c r="L51" s="71"/>
      <c r="M51" s="26" t="s">
        <v>129</v>
      </c>
      <c r="N51" s="26" t="s">
        <v>130</v>
      </c>
      <c r="O51" s="30" t="s">
        <v>976</v>
      </c>
      <c r="P51" s="28" t="s">
        <v>977</v>
      </c>
      <c r="Q51" s="30" t="s">
        <v>1495</v>
      </c>
      <c r="R51" s="29"/>
      <c r="S51" s="29"/>
      <c r="T51" s="29"/>
      <c r="U51" s="29"/>
      <c r="V51" s="30" t="s">
        <v>811</v>
      </c>
      <c r="W51" s="30" t="s">
        <v>1364</v>
      </c>
      <c r="X51" s="127">
        <v>46091.0</v>
      </c>
      <c r="Y51" s="48" t="s">
        <v>50</v>
      </c>
      <c r="Z51" s="28" t="s">
        <v>979</v>
      </c>
      <c r="AA51" s="28" t="s">
        <v>978</v>
      </c>
      <c r="AB51" s="106"/>
      <c r="AC51" s="66"/>
      <c r="AD51" s="66"/>
      <c r="AE51" s="81"/>
      <c r="AF51" s="121" t="str">
        <f>IFERROR(__xludf.DUMMYFUNCTION("HYPERLINK(
""https://wa.me/""&amp;REGEXREPLACE(Q51,""[^0-9]"","""")&amp;
""?text=""&amp;
ENCODEURL(
""Hola *""&amp;B51&amp;""*.
Te recordamos que la factura Nº *""&amp;J51&amp;""* por el plan """"""&amp;E51&amp;"""""" se encuentra disponible para pago y vence hoy.
Monto: *$""&amp;I51&amp;""*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1" s="81"/>
      <c r="AH51" s="81">
        <f t="shared" si="6"/>
        <v>0</v>
      </c>
      <c r="AI51" s="81"/>
      <c r="AJ51" s="81"/>
      <c r="AK51" s="81"/>
    </row>
    <row r="52">
      <c r="A52" s="126" t="s">
        <v>1456</v>
      </c>
      <c r="B52" s="25" t="s">
        <v>1496</v>
      </c>
      <c r="C52" s="30" t="s">
        <v>38</v>
      </c>
      <c r="D52" s="30" t="s">
        <v>38</v>
      </c>
      <c r="E52" s="48" t="s">
        <v>1362</v>
      </c>
      <c r="F52" s="118"/>
      <c r="G52" s="66"/>
      <c r="H52" s="88">
        <v>30000.0</v>
      </c>
      <c r="I52" s="88">
        <f t="shared" si="1"/>
        <v>35700</v>
      </c>
      <c r="J52" s="30"/>
      <c r="K52" s="104"/>
      <c r="L52" s="66"/>
      <c r="M52" s="26" t="s">
        <v>1497</v>
      </c>
      <c r="N52" s="26" t="s">
        <v>733</v>
      </c>
      <c r="O52" s="28" t="s">
        <v>730</v>
      </c>
      <c r="P52" s="28" t="s">
        <v>735</v>
      </c>
      <c r="Q52" s="30" t="s">
        <v>1498</v>
      </c>
      <c r="R52" s="29"/>
      <c r="S52" s="29"/>
      <c r="T52" s="29"/>
      <c r="U52" s="29"/>
      <c r="V52" s="30" t="s">
        <v>811</v>
      </c>
      <c r="W52" s="30" t="s">
        <v>1364</v>
      </c>
      <c r="X52" s="128"/>
      <c r="Y52" s="48" t="s">
        <v>50</v>
      </c>
      <c r="Z52" s="28" t="s">
        <v>1499</v>
      </c>
      <c r="AA52" s="28" t="s">
        <v>736</v>
      </c>
      <c r="AB52" s="106"/>
      <c r="AC52" s="66"/>
      <c r="AD52" s="66"/>
      <c r="AE52" s="81"/>
      <c r="AF52" s="121" t="str">
        <f>IFERROR(__xludf.DUMMYFUNCTION("HYPERLINK(
""https://wa.me/""&amp;REGEXREPLACE(Q52,""[^0-9]"","""")&amp;
""?text=""&amp;
ENCODEURL(
""Buenas tardes *""&amp;B52&amp;""*.
Te recordamos que la factura """"""&amp;J52&amp;"""""" de tu plan """"""&amp;E52&amp;"""""" se encuentre impaga a la fecha, lo que implica que tu servici"&amp;"o se encuentra suspendido. Para reactivar el servicio y que hagamos la declaración mensual debes realizar el pago lo antes posible.
Valor: *$""&amp;H52&amp;""* + IVA = *$""&amp;I52&amp;""*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52" s="123">
        <v>125000.0</v>
      </c>
      <c r="AH52" s="123">
        <v>148750.0</v>
      </c>
      <c r="AI52" s="123"/>
      <c r="AJ52" s="123"/>
      <c r="AK52" s="123"/>
    </row>
    <row r="53">
      <c r="A53" s="126" t="s">
        <v>1456</v>
      </c>
      <c r="B53" s="25" t="s">
        <v>232</v>
      </c>
      <c r="C53" s="30" t="s">
        <v>38</v>
      </c>
      <c r="D53" s="30" t="s">
        <v>38</v>
      </c>
      <c r="E53" s="48" t="s">
        <v>1416</v>
      </c>
      <c r="F53" s="118"/>
      <c r="G53" s="66"/>
      <c r="H53" s="88">
        <v>10000.0</v>
      </c>
      <c r="I53" s="88">
        <f t="shared" si="1"/>
        <v>11900</v>
      </c>
      <c r="J53" s="30"/>
      <c r="K53" s="88">
        <v>59500.0</v>
      </c>
      <c r="L53" s="66"/>
      <c r="M53" s="26" t="s">
        <v>980</v>
      </c>
      <c r="N53" s="26" t="s">
        <v>234</v>
      </c>
      <c r="O53" s="28" t="s">
        <v>231</v>
      </c>
      <c r="P53" s="28" t="s">
        <v>981</v>
      </c>
      <c r="Q53" s="120" t="s">
        <v>1500</v>
      </c>
      <c r="R53" s="29"/>
      <c r="S53" s="29"/>
      <c r="T53" s="29"/>
      <c r="U53" s="29"/>
      <c r="V53" s="30" t="s">
        <v>811</v>
      </c>
      <c r="W53" s="30" t="s">
        <v>1364</v>
      </c>
      <c r="X53" s="150">
        <v>46086.0</v>
      </c>
      <c r="Y53" s="48" t="s">
        <v>50</v>
      </c>
      <c r="Z53" s="28" t="s">
        <v>983</v>
      </c>
      <c r="AA53" s="28" t="s">
        <v>982</v>
      </c>
      <c r="AB53" s="106"/>
      <c r="AC53" s="66"/>
      <c r="AD53" s="66"/>
      <c r="AE53" s="81"/>
      <c r="AF53" s="121" t="str">
        <f>IFERROR(__xludf.DUMMYFUNCTION("HYPERLINK(
""https://wa.me/""&amp;REGEXREPLACE(Q53,""[^0-9]"","""")&amp;
""?text=""&amp;
ENCODEURL(
""Hola *""&amp;B53&amp;""*.
Te recordamos que la factura Nº *""&amp;J53&amp;""* por el plan """"""&amp;E53&amp;"""""" se encuentra disponible para pago y vence hoy.
Monto: *$""&amp;I53&amp;""*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3" s="81"/>
      <c r="AH53" s="81">
        <f>AG53*1.19</f>
        <v>0</v>
      </c>
      <c r="AI53" s="81"/>
      <c r="AJ53" s="81"/>
      <c r="AK53" s="81"/>
    </row>
    <row r="54">
      <c r="A54" s="126" t="s">
        <v>1456</v>
      </c>
      <c r="B54" s="25" t="s">
        <v>1501</v>
      </c>
      <c r="C54" s="28" t="s">
        <v>50</v>
      </c>
      <c r="D54" s="28"/>
      <c r="E54" s="48" t="s">
        <v>1362</v>
      </c>
      <c r="F54" s="118"/>
      <c r="G54" s="66"/>
      <c r="H54" s="88">
        <v>30000.0</v>
      </c>
      <c r="I54" s="88">
        <f t="shared" si="1"/>
        <v>35700</v>
      </c>
      <c r="J54" s="30"/>
      <c r="K54" s="104"/>
      <c r="L54" s="28"/>
      <c r="M54" s="26" t="s">
        <v>1502</v>
      </c>
      <c r="N54" s="26" t="s">
        <v>1503</v>
      </c>
      <c r="O54" s="28" t="s">
        <v>1504</v>
      </c>
      <c r="P54" s="28" t="s">
        <v>1505</v>
      </c>
      <c r="Q54" s="30" t="s">
        <v>1506</v>
      </c>
      <c r="R54" s="29"/>
      <c r="S54" s="29"/>
      <c r="T54" s="29"/>
      <c r="U54" s="29"/>
      <c r="V54" s="30" t="s">
        <v>811</v>
      </c>
      <c r="W54" s="30" t="s">
        <v>1364</v>
      </c>
      <c r="X54" s="130"/>
      <c r="Y54" s="48" t="s">
        <v>50</v>
      </c>
      <c r="Z54" s="28" t="s">
        <v>1507</v>
      </c>
      <c r="AA54" s="28" t="s">
        <v>1508</v>
      </c>
      <c r="AB54" s="106"/>
      <c r="AC54" s="66"/>
      <c r="AD54" s="66"/>
      <c r="AE54" s="81"/>
      <c r="AF54" s="121" t="str">
        <f>IFERROR(__xludf.DUMMYFUNCTION("HYPERLINK(
""https://wa.me/""&amp;REGEXREPLACE(Q54,""[^0-9]"","""")&amp;
""?text=""&amp;
ENCODEURL(
""Buenas tardes *""&amp;B54&amp;""*.
Te recordamos que tu plan *""""""&amp;E54&amp;""""""* *no incluye* la declaración de renta. Te enviamos varios correos informando sobre este proc"&amp;"eso. Esta semana vencen las primeras declaraciones juradas, lo que generará multas
Valor: *$""&amp;AG54&amp;""* + IVA = *$""&amp;AH54&amp;""*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54" s="122">
        <v>125000.0</v>
      </c>
      <c r="AH54" s="123">
        <v>148750.0</v>
      </c>
      <c r="AI54" s="123"/>
      <c r="AJ54" s="123"/>
      <c r="AK54" s="123"/>
    </row>
    <row r="55">
      <c r="A55" s="126" t="s">
        <v>1456</v>
      </c>
      <c r="B55" s="25" t="s">
        <v>984</v>
      </c>
      <c r="C55" s="30" t="s">
        <v>38</v>
      </c>
      <c r="D55" s="30" t="s">
        <v>38</v>
      </c>
      <c r="E55" s="48" t="s">
        <v>1372</v>
      </c>
      <c r="F55" s="118"/>
      <c r="G55" s="66"/>
      <c r="H55" s="88">
        <v>50000.0</v>
      </c>
      <c r="I55" s="88">
        <f t="shared" si="1"/>
        <v>59500</v>
      </c>
      <c r="J55" s="30"/>
      <c r="K55" s="88">
        <v>119000.0</v>
      </c>
      <c r="L55" s="66"/>
      <c r="M55" s="26" t="s">
        <v>47</v>
      </c>
      <c r="N55" s="26" t="s">
        <v>48</v>
      </c>
      <c r="O55" s="28" t="s">
        <v>54</v>
      </c>
      <c r="P55" s="28" t="s">
        <v>985</v>
      </c>
      <c r="Q55" s="28" t="s">
        <v>1509</v>
      </c>
      <c r="R55" s="29"/>
      <c r="S55" s="29"/>
      <c r="T55" s="29"/>
      <c r="U55" s="29"/>
      <c r="V55" s="30" t="s">
        <v>811</v>
      </c>
      <c r="W55" s="30" t="s">
        <v>1364</v>
      </c>
      <c r="X55" s="127">
        <v>46085.0</v>
      </c>
      <c r="Y55" s="48" t="s">
        <v>50</v>
      </c>
      <c r="Z55" s="28" t="s">
        <v>986</v>
      </c>
      <c r="AA55" s="30" t="s">
        <v>53</v>
      </c>
      <c r="AB55" s="106"/>
      <c r="AC55" s="66"/>
      <c r="AD55" s="66"/>
      <c r="AE55" s="81"/>
      <c r="AF55" s="121" t="str">
        <f>IFERROR(__xludf.DUMMYFUNCTION("HYPERLINK(
""https://wa.me/""&amp;REGEXREPLACE(Q55,""[^0-9]"","""")&amp;
""?text=""&amp;
ENCODEURL(
""Hola *""&amp;B55&amp;""*.
Te recordamos que la factura Nº *""&amp;J55&amp;""* por el plan """"""&amp;E55&amp;"""""" se encuentra disponible para pago y vence hoy.
Monto: *$""&amp;I55&amp;""*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*$""&amp;AG55&amp;""*
Valor total febrero (con IVA): *$""&amp;AH55&amp;""*
A partir de mañana el valor aument"&amp;"a un 25%, correspondiente al valor de diciembre.
Simple Pyme""
),
""Enviar WhatsApp""
)"),"Enviar WhatsApp")</f>
        <v>Enviar WhatsApp</v>
      </c>
      <c r="AG55" s="81"/>
      <c r="AH55" s="81"/>
      <c r="AI55" s="81"/>
      <c r="AJ55" s="81"/>
      <c r="AK55" s="81"/>
    </row>
    <row r="56" hidden="1">
      <c r="A56" s="126" t="s">
        <v>1456</v>
      </c>
      <c r="B56" s="25" t="s">
        <v>987</v>
      </c>
      <c r="C56" s="28"/>
      <c r="D56" s="28"/>
      <c r="E56" s="48" t="s">
        <v>1380</v>
      </c>
      <c r="F56" s="118"/>
      <c r="G56" s="66"/>
      <c r="H56" s="88" t="s">
        <v>1381</v>
      </c>
      <c r="I56" s="88">
        <f t="shared" si="1"/>
        <v>0</v>
      </c>
      <c r="J56" s="135" t="s">
        <v>1438</v>
      </c>
      <c r="K56" s="104"/>
      <c r="L56" s="66"/>
      <c r="M56" s="26" t="s">
        <v>988</v>
      </c>
      <c r="N56" s="26" t="s">
        <v>989</v>
      </c>
      <c r="O56" s="28" t="s">
        <v>990</v>
      </c>
      <c r="P56" s="28" t="s">
        <v>991</v>
      </c>
      <c r="Q56" s="120" t="s">
        <v>1510</v>
      </c>
      <c r="R56" s="29"/>
      <c r="S56" s="29"/>
      <c r="T56" s="29"/>
      <c r="U56" s="29"/>
      <c r="V56" s="30" t="s">
        <v>811</v>
      </c>
      <c r="W56" s="48" t="s">
        <v>1380</v>
      </c>
      <c r="X56" s="66"/>
      <c r="Y56" s="48" t="s">
        <v>50</v>
      </c>
      <c r="Z56" s="28" t="s">
        <v>993</v>
      </c>
      <c r="AA56" s="28" t="s">
        <v>992</v>
      </c>
      <c r="AB56" s="106"/>
      <c r="AC56" s="66"/>
      <c r="AD56" s="66"/>
      <c r="AE56" s="81"/>
      <c r="AF56" s="121" t="str">
        <f>IFERROR(__xludf.DUMMYFUNCTION("HYPERLINK(
""https://wa.me/""&amp;REGEXREPLACE(Q56,""[^0-9]"","""")&amp;
""?text=""&amp;
ENCODEURL(
""Hola *""&amp;B56&amp;""*.
Te recordamos que la factura Nº *""&amp;J56&amp;""* por el plan """"""&amp;E56&amp;"""""" se encuentra disponible para pago y vence hoy.
Monto: *$""&amp;I56&amp;""*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*$""&amp;AG56&amp;""*
Valor total febrero (con IVA): *$""&amp;AH56&amp;""*
A partir de mañana el valor aument"&amp;"a un 25%, correspondiente al valor de diciembre.
Simple Pyme""
),
""Enviar WhatsApp""
)"),"Enviar WhatsApp")</f>
        <v>Enviar WhatsApp</v>
      </c>
      <c r="AG56" s="81">
        <v>0.0</v>
      </c>
      <c r="AH56" s="81">
        <f>AG56*1.19</f>
        <v>0</v>
      </c>
      <c r="AI56" s="81"/>
      <c r="AJ56" s="81"/>
      <c r="AK56" s="81"/>
    </row>
    <row r="57">
      <c r="A57" s="126" t="s">
        <v>1456</v>
      </c>
      <c r="B57" s="25" t="s">
        <v>1511</v>
      </c>
      <c r="C57" s="28" t="s">
        <v>50</v>
      </c>
      <c r="D57" s="28"/>
      <c r="E57" s="48" t="s">
        <v>1362</v>
      </c>
      <c r="F57" s="118"/>
      <c r="G57" s="66"/>
      <c r="H57" s="88">
        <v>30000.0</v>
      </c>
      <c r="I57" s="88">
        <f t="shared" si="1"/>
        <v>35700</v>
      </c>
      <c r="J57" s="30"/>
      <c r="K57" s="104"/>
      <c r="L57" s="28"/>
      <c r="M57" s="26" t="s">
        <v>1512</v>
      </c>
      <c r="N57" s="26" t="s">
        <v>1513</v>
      </c>
      <c r="O57" s="25" t="s">
        <v>1514</v>
      </c>
      <c r="P57" s="28" t="s">
        <v>1515</v>
      </c>
      <c r="Q57" s="149" t="s">
        <v>1516</v>
      </c>
      <c r="R57" s="47"/>
      <c r="S57" s="47"/>
      <c r="T57" s="47"/>
      <c r="U57" s="47"/>
      <c r="V57" s="30" t="s">
        <v>811</v>
      </c>
      <c r="W57" s="30" t="s">
        <v>1364</v>
      </c>
      <c r="X57" s="143" t="s">
        <v>1517</v>
      </c>
      <c r="Y57" s="48" t="s">
        <v>50</v>
      </c>
      <c r="Z57" s="28" t="s">
        <v>1518</v>
      </c>
      <c r="AA57" s="28" t="s">
        <v>1519</v>
      </c>
      <c r="AB57" s="106"/>
      <c r="AC57" s="66"/>
      <c r="AD57" s="66"/>
      <c r="AE57" s="81"/>
      <c r="AF57" s="144" t="s">
        <v>1473</v>
      </c>
      <c r="AG57" s="122">
        <v>125000.0</v>
      </c>
      <c r="AH57" s="123">
        <v>148750.0</v>
      </c>
      <c r="AI57" s="123"/>
      <c r="AJ57" s="123"/>
      <c r="AK57" s="123"/>
    </row>
    <row r="58">
      <c r="A58" s="126" t="s">
        <v>1456</v>
      </c>
      <c r="B58" s="51" t="s">
        <v>994</v>
      </c>
      <c r="C58" s="30" t="s">
        <v>38</v>
      </c>
      <c r="D58" s="30" t="s">
        <v>38</v>
      </c>
      <c r="E58" s="48" t="s">
        <v>1362</v>
      </c>
      <c r="F58" s="118"/>
      <c r="G58" s="66"/>
      <c r="H58" s="151">
        <v>30000.0</v>
      </c>
      <c r="I58" s="88">
        <f t="shared" si="1"/>
        <v>35700</v>
      </c>
      <c r="J58" s="30"/>
      <c r="K58" s="151">
        <v>95200.0</v>
      </c>
      <c r="L58" s="28"/>
      <c r="M58" s="26" t="s">
        <v>75</v>
      </c>
      <c r="N58" s="26" t="s">
        <v>76</v>
      </c>
      <c r="O58" s="52" t="s">
        <v>73</v>
      </c>
      <c r="P58" s="28" t="s">
        <v>995</v>
      </c>
      <c r="Q58" s="28" t="s">
        <v>1520</v>
      </c>
      <c r="R58" s="29"/>
      <c r="S58" s="29"/>
      <c r="T58" s="29"/>
      <c r="U58" s="29"/>
      <c r="V58" s="30" t="s">
        <v>811</v>
      </c>
      <c r="W58" s="30" t="s">
        <v>1364</v>
      </c>
      <c r="X58" s="132">
        <v>45721.0</v>
      </c>
      <c r="Y58" s="48" t="s">
        <v>50</v>
      </c>
      <c r="Z58" s="28" t="s">
        <v>996</v>
      </c>
      <c r="AA58" s="28" t="s">
        <v>80</v>
      </c>
      <c r="AB58" s="106"/>
      <c r="AC58" s="66"/>
      <c r="AD58" s="66"/>
      <c r="AE58" s="81"/>
      <c r="AF58" s="121" t="str">
        <f>IFERROR(__xludf.DUMMYFUNCTION("HYPERLINK(
""https://wa.me/""&amp;REGEXREPLACE(Q58,""[^0-9]"","""")&amp;
""?text=""&amp;
ENCODEURL(
""Hola *""&amp;B58&amp;""*.
Te recordamos que la factura Nº *""&amp;J58&amp;""* por el plan """"""&amp;E58&amp;"""""" se encuentra disponible para pago y vence hoy.
Monto: *$""&amp;I58&amp;""*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8" s="81"/>
      <c r="AH58" s="81">
        <f t="shared" ref="AH58:AH60" si="7">AG58*1.19</f>
        <v>0</v>
      </c>
      <c r="AI58" s="81"/>
      <c r="AJ58" s="81"/>
      <c r="AK58" s="81"/>
    </row>
    <row r="59">
      <c r="A59" s="126" t="s">
        <v>1456</v>
      </c>
      <c r="B59" s="25" t="s">
        <v>997</v>
      </c>
      <c r="C59" s="30" t="s">
        <v>38</v>
      </c>
      <c r="D59" s="30" t="s">
        <v>38</v>
      </c>
      <c r="E59" s="48" t="s">
        <v>1362</v>
      </c>
      <c r="F59" s="118"/>
      <c r="G59" s="66"/>
      <c r="H59" s="88">
        <v>30000.0</v>
      </c>
      <c r="I59" s="88">
        <f t="shared" si="1"/>
        <v>35700</v>
      </c>
      <c r="J59" s="30"/>
      <c r="K59" s="104"/>
      <c r="L59" s="28" t="s">
        <v>1521</v>
      </c>
      <c r="M59" s="26" t="s">
        <v>140</v>
      </c>
      <c r="N59" s="26" t="s">
        <v>141</v>
      </c>
      <c r="O59" s="28" t="s">
        <v>998</v>
      </c>
      <c r="P59" s="28" t="s">
        <v>142</v>
      </c>
      <c r="Q59" s="120" t="s">
        <v>1522</v>
      </c>
      <c r="R59" s="29"/>
      <c r="S59" s="29"/>
      <c r="T59" s="29"/>
      <c r="U59" s="29"/>
      <c r="V59" s="30" t="s">
        <v>811</v>
      </c>
      <c r="W59" s="30" t="s">
        <v>1364</v>
      </c>
      <c r="X59" s="150">
        <v>46086.0</v>
      </c>
      <c r="Y59" s="48" t="s">
        <v>50</v>
      </c>
      <c r="Z59" s="28" t="s">
        <v>999</v>
      </c>
      <c r="AA59" s="53" t="s">
        <v>141</v>
      </c>
      <c r="AB59" s="106"/>
      <c r="AC59" s="66"/>
      <c r="AD59" s="66"/>
      <c r="AE59" s="81"/>
      <c r="AF59" s="121" t="str">
        <f>IFERROR(__xludf.DUMMYFUNCTION("HYPERLINK(
""https://wa.me/""&amp;REGEXREPLACE(Q59,""[^0-9]"","""")&amp;
""?text=""&amp;
ENCODEURL(
""Hola *""&amp;B59&amp;""*.
Te recordamos que la factura Nº *""&amp;J59&amp;""* por el plan """"""&amp;E59&amp;"""""" se encuentra disponible para pago y vence hoy.
Monto: *$""&amp;I59&amp;""*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9" s="81"/>
      <c r="AH59" s="81">
        <f t="shared" si="7"/>
        <v>0</v>
      </c>
      <c r="AI59" s="81"/>
      <c r="AJ59" s="81"/>
      <c r="AK59" s="81"/>
    </row>
    <row r="60">
      <c r="A60" s="126" t="s">
        <v>1456</v>
      </c>
      <c r="B60" s="25" t="s">
        <v>271</v>
      </c>
      <c r="C60" s="30" t="s">
        <v>38</v>
      </c>
      <c r="D60" s="30" t="s">
        <v>38</v>
      </c>
      <c r="E60" s="28" t="s">
        <v>1416</v>
      </c>
      <c r="F60" s="118"/>
      <c r="G60" s="66"/>
      <c r="H60" s="88">
        <v>10000.0</v>
      </c>
      <c r="I60" s="88">
        <f t="shared" si="1"/>
        <v>11900</v>
      </c>
      <c r="J60" s="30"/>
      <c r="K60" s="104"/>
      <c r="L60" s="66"/>
      <c r="M60" s="26" t="s">
        <v>272</v>
      </c>
      <c r="N60" s="26" t="s">
        <v>273</v>
      </c>
      <c r="O60" s="25" t="s">
        <v>277</v>
      </c>
      <c r="P60" s="28" t="s">
        <v>835</v>
      </c>
      <c r="Q60" s="28" t="s">
        <v>1382</v>
      </c>
      <c r="R60" s="54"/>
      <c r="S60" s="54"/>
      <c r="T60" s="54"/>
      <c r="U60" s="54"/>
      <c r="V60" s="30" t="s">
        <v>811</v>
      </c>
      <c r="W60" s="30" t="s">
        <v>1364</v>
      </c>
      <c r="X60" s="130"/>
      <c r="Y60" s="48" t="s">
        <v>50</v>
      </c>
      <c r="Z60" s="28" t="s">
        <v>837</v>
      </c>
      <c r="AA60" s="28" t="s">
        <v>275</v>
      </c>
      <c r="AB60" s="106"/>
      <c r="AC60" s="66"/>
      <c r="AD60" s="66"/>
      <c r="AE60" s="81"/>
      <c r="AF60" s="121" t="str">
        <f>IFERROR(__xludf.DUMMYFUNCTION("HYPERLINK(
""https://wa.me/""&amp;REGEXREPLACE(Q60,""[^0-9]"","""")&amp;
""?text=""&amp;
ENCODEURL(
""Buenas tardes *""&amp;B60&amp;""*.
Te recordamos que la factura """"""&amp;J60&amp;"""""" de tu plan """"""&amp;E60&amp;"""""" se encuentre impaga a la fecha, lo que implica que tu servici"&amp;"o se encuentra suspendido. Para reactivar el servicio y que hagamos la declaración mensual debes realizar el pago lo antes posible.
Valor: *$""&amp;H60&amp;""* + IVA = *$""&amp;I60&amp;""*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60" s="81"/>
      <c r="AH60" s="81">
        <f t="shared" si="7"/>
        <v>0</v>
      </c>
      <c r="AI60" s="81"/>
      <c r="AJ60" s="81"/>
      <c r="AK60" s="81"/>
    </row>
    <row r="61">
      <c r="A61" s="79" t="s">
        <v>1456</v>
      </c>
      <c r="B61" s="25" t="s">
        <v>1523</v>
      </c>
      <c r="C61" s="28" t="s">
        <v>50</v>
      </c>
      <c r="D61" s="28"/>
      <c r="E61" s="28" t="s">
        <v>1362</v>
      </c>
      <c r="F61" s="118"/>
      <c r="G61" s="28">
        <v>1.0</v>
      </c>
      <c r="H61" s="88">
        <v>30000.0</v>
      </c>
      <c r="I61" s="88">
        <f t="shared" si="1"/>
        <v>35700</v>
      </c>
      <c r="J61" s="30"/>
      <c r="K61" s="104"/>
      <c r="L61" s="28"/>
      <c r="M61" s="26" t="s">
        <v>1524</v>
      </c>
      <c r="N61" s="26" t="s">
        <v>1525</v>
      </c>
      <c r="O61" s="25" t="s">
        <v>1526</v>
      </c>
      <c r="P61" s="28" t="s">
        <v>1527</v>
      </c>
      <c r="Q61" s="30" t="s">
        <v>1528</v>
      </c>
      <c r="R61" s="29"/>
      <c r="S61" s="29"/>
      <c r="T61" s="29"/>
      <c r="U61" s="29"/>
      <c r="V61" s="30" t="s">
        <v>811</v>
      </c>
      <c r="W61" s="30" t="s">
        <v>1364</v>
      </c>
      <c r="X61" s="134"/>
      <c r="Y61" s="28" t="s">
        <v>50</v>
      </c>
      <c r="Z61" s="28" t="s">
        <v>1529</v>
      </c>
      <c r="AA61" s="28" t="s">
        <v>1530</v>
      </c>
      <c r="AB61" s="66"/>
      <c r="AC61" s="66"/>
      <c r="AD61" s="66"/>
      <c r="AE61" s="81"/>
      <c r="AF61" s="121" t="str">
        <f>IFERROR(__xludf.DUMMYFUNCTION("HYPERLINK(
""https://wa.me/""&amp;REGEXREPLACE(Q61,""[^0-9]"","""")&amp;
""?text=""&amp;
ENCODEURL(
""Buenas tardes *""&amp;B61&amp;""*.
Te recordamos que tu plan *""""""&amp;E61&amp;""""""* *no incluye* la declaración de renta. Te enviamos varios correos informando sobre este proc"&amp;"eso. Esta semana vencen las primeras declaraciones juradas, lo que generará multas
Valor: *$""&amp;AG61&amp;""* + IVA = *$""&amp;AH61&amp;""*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61" s="123">
        <v>125000.0</v>
      </c>
      <c r="AH61" s="123">
        <v>148750.0</v>
      </c>
      <c r="AI61" s="123"/>
      <c r="AJ61" s="123"/>
      <c r="AK61" s="123"/>
    </row>
    <row r="62" hidden="1">
      <c r="A62" s="126" t="s">
        <v>1456</v>
      </c>
      <c r="B62" s="25" t="s">
        <v>1000</v>
      </c>
      <c r="C62" s="66"/>
      <c r="D62" s="66"/>
      <c r="E62" s="48" t="s">
        <v>1380</v>
      </c>
      <c r="F62" s="118"/>
      <c r="G62" s="66"/>
      <c r="H62" s="88" t="s">
        <v>1381</v>
      </c>
      <c r="I62" s="88">
        <f t="shared" si="1"/>
        <v>0</v>
      </c>
      <c r="J62" s="135" t="s">
        <v>1438</v>
      </c>
      <c r="K62" s="104"/>
      <c r="L62" s="66"/>
      <c r="M62" s="26" t="s">
        <v>1001</v>
      </c>
      <c r="N62" s="26" t="s">
        <v>1002</v>
      </c>
      <c r="O62" s="28" t="s">
        <v>1003</v>
      </c>
      <c r="P62" s="28" t="s">
        <v>1004</v>
      </c>
      <c r="Q62" s="120" t="s">
        <v>1531</v>
      </c>
      <c r="R62" s="29"/>
      <c r="S62" s="29"/>
      <c r="T62" s="29"/>
      <c r="U62" s="29"/>
      <c r="V62" s="30" t="s">
        <v>811</v>
      </c>
      <c r="W62" s="48" t="s">
        <v>1380</v>
      </c>
      <c r="X62" s="66"/>
      <c r="Y62" s="48" t="s">
        <v>50</v>
      </c>
      <c r="Z62" s="28" t="s">
        <v>1005</v>
      </c>
      <c r="AA62" s="28">
        <v>2.7097283E7</v>
      </c>
      <c r="AB62" s="106"/>
      <c r="AC62" s="66"/>
      <c r="AD62" s="66"/>
      <c r="AE62" s="81"/>
      <c r="AF62" s="121" t="str">
        <f>IFERROR(__xludf.DUMMYFUNCTION("HYPERLINK(
""https://wa.me/""&amp;REGEXREPLACE(Q62,""[^0-9]"","""")&amp;
""?text=""&amp;
ENCODEURL(
""Hola *""&amp;B62&amp;""*.
Te recordamos que la factura Nº *""&amp;J62&amp;""* por el plan """"""&amp;E62&amp;"""""" se encuentra disponible para pago y vence hoy.
Monto: *$""&amp;I62&amp;""*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*$""&amp;AG62&amp;""*
Valor total febrero (con IVA): *$""&amp;AH62&amp;""*
A partir de mañana el valor aument"&amp;"a un 25%, correspondiente al valor de diciembre.
Simple Pyme""
),
""Enviar WhatsApp""
)"),"Enviar WhatsApp")</f>
        <v>Enviar WhatsApp</v>
      </c>
      <c r="AG62" s="81"/>
      <c r="AH62" s="81"/>
      <c r="AI62" s="81"/>
      <c r="AJ62" s="81"/>
      <c r="AK62" s="81"/>
    </row>
    <row r="63" hidden="1">
      <c r="A63" s="126" t="s">
        <v>1456</v>
      </c>
      <c r="B63" s="25" t="s">
        <v>1006</v>
      </c>
      <c r="C63" s="66"/>
      <c r="D63" s="66"/>
      <c r="E63" s="48" t="s">
        <v>1380</v>
      </c>
      <c r="F63" s="118"/>
      <c r="G63" s="66"/>
      <c r="H63" s="88" t="s">
        <v>1381</v>
      </c>
      <c r="I63" s="88">
        <f t="shared" si="1"/>
        <v>0</v>
      </c>
      <c r="J63" s="135" t="s">
        <v>1438</v>
      </c>
      <c r="K63" s="104"/>
      <c r="L63" s="66"/>
      <c r="M63" s="26" t="s">
        <v>1007</v>
      </c>
      <c r="N63" s="26" t="s">
        <v>1008</v>
      </c>
      <c r="O63" s="28" t="s">
        <v>1009</v>
      </c>
      <c r="P63" s="56" t="s">
        <v>1010</v>
      </c>
      <c r="Q63" s="30" t="s">
        <v>1532</v>
      </c>
      <c r="R63" s="29"/>
      <c r="S63" s="29"/>
      <c r="T63" s="29"/>
      <c r="U63" s="29"/>
      <c r="V63" s="30" t="s">
        <v>811</v>
      </c>
      <c r="W63" s="48" t="s">
        <v>1380</v>
      </c>
      <c r="X63" s="66"/>
      <c r="Y63" s="48" t="s">
        <v>50</v>
      </c>
      <c r="Z63" s="28" t="s">
        <v>1011</v>
      </c>
      <c r="AA63" s="56">
        <v>2.5293632E7</v>
      </c>
      <c r="AB63" s="106"/>
      <c r="AC63" s="66"/>
      <c r="AD63" s="66"/>
      <c r="AE63" s="81"/>
      <c r="AF63" s="121" t="str">
        <f>IFERROR(__xludf.DUMMYFUNCTION("HYPERLINK(
""https://wa.me/""&amp;REGEXREPLACE(Q63,""[^0-9]"","""")&amp;
""?text=""&amp;
ENCODEURL(
""Hola *""&amp;B63&amp;""*.
Te recordamos que la factura Nº *""&amp;J63&amp;""* por el plan """"""&amp;E63&amp;"""""" se encuentra disponible para pago y vence hoy.
Monto: *$""&amp;I63&amp;""*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*$""&amp;AG63&amp;""*
Valor total febrero (con IVA): *$""&amp;AH63&amp;""*
A partir de mañana el valor aument"&amp;"a un 25%, correspondiente al valor de diciembre.
Simple Pyme""
),
""Enviar WhatsApp""
)"),"Enviar WhatsApp")</f>
        <v>Enviar WhatsApp</v>
      </c>
      <c r="AG63" s="81"/>
      <c r="AH63" s="81"/>
      <c r="AI63" s="81"/>
      <c r="AJ63" s="81"/>
      <c r="AK63" s="81"/>
    </row>
    <row r="64" hidden="1">
      <c r="A64" s="126" t="s">
        <v>1456</v>
      </c>
      <c r="B64" s="25" t="s">
        <v>1012</v>
      </c>
      <c r="C64" s="66"/>
      <c r="D64" s="66"/>
      <c r="E64" s="48" t="s">
        <v>1380</v>
      </c>
      <c r="F64" s="118"/>
      <c r="G64" s="66"/>
      <c r="H64" s="88" t="s">
        <v>1381</v>
      </c>
      <c r="I64" s="88">
        <f t="shared" si="1"/>
        <v>0</v>
      </c>
      <c r="J64" s="135" t="s">
        <v>1438</v>
      </c>
      <c r="K64" s="104"/>
      <c r="L64" s="66"/>
      <c r="M64" s="26" t="s">
        <v>1013</v>
      </c>
      <c r="N64" s="26" t="s">
        <v>1014</v>
      </c>
      <c r="O64" s="28" t="s">
        <v>1015</v>
      </c>
      <c r="P64" s="152" t="s">
        <v>1016</v>
      </c>
      <c r="Q64" s="120" t="s">
        <v>1533</v>
      </c>
      <c r="R64" s="29"/>
      <c r="S64" s="29"/>
      <c r="T64" s="29"/>
      <c r="U64" s="29"/>
      <c r="V64" s="30" t="s">
        <v>811</v>
      </c>
      <c r="W64" s="48" t="s">
        <v>1380</v>
      </c>
      <c r="X64" s="66"/>
      <c r="Y64" s="48" t="s">
        <v>50</v>
      </c>
      <c r="Z64" s="28" t="s">
        <v>1017</v>
      </c>
      <c r="AA64" s="152">
        <v>1.7680593E7</v>
      </c>
      <c r="AB64" s="106"/>
      <c r="AC64" s="66"/>
      <c r="AD64" s="66"/>
      <c r="AE64" s="81"/>
      <c r="AF64" s="121" t="str">
        <f>IFERROR(__xludf.DUMMYFUNCTION("HYPERLINK(
""https://wa.me/""&amp;REGEXREPLACE(Q64,""[^0-9]"","""")&amp;
""?text=""&amp;
ENCODEURL(
""Hola *""&amp;B64&amp;""*.
Te recordamos que la factura Nº *""&amp;J64&amp;""* por el plan """"""&amp;E64&amp;"""""" se encuentra disponible para pago y vence hoy.
Monto: *$""&amp;I64&amp;""*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*$""&amp;AG64&amp;""*
Valor total febrero (con IVA): *$""&amp;AH64&amp;""*
A partir de mañana el valor aument"&amp;"a un 25%, correspondiente al valor de diciembre.
Simple Pyme""
),
""Enviar WhatsApp""
)"),"Enviar WhatsApp")</f>
        <v>Enviar WhatsApp</v>
      </c>
      <c r="AG64" s="81"/>
      <c r="AH64" s="81"/>
      <c r="AI64" s="81"/>
      <c r="AJ64" s="81"/>
      <c r="AK64" s="81"/>
    </row>
    <row r="65" hidden="1">
      <c r="A65" s="126" t="s">
        <v>1456</v>
      </c>
      <c r="B65" s="25" t="s">
        <v>1019</v>
      </c>
      <c r="C65" s="66"/>
      <c r="D65" s="66"/>
      <c r="E65" s="48" t="s">
        <v>1380</v>
      </c>
      <c r="F65" s="118"/>
      <c r="G65" s="66"/>
      <c r="H65" s="88" t="s">
        <v>1381</v>
      </c>
      <c r="I65" s="88">
        <f t="shared" si="1"/>
        <v>0</v>
      </c>
      <c r="J65" s="135" t="s">
        <v>1438</v>
      </c>
      <c r="K65" s="104"/>
      <c r="L65" s="66"/>
      <c r="M65" s="26" t="s">
        <v>1020</v>
      </c>
      <c r="N65" s="26" t="s">
        <v>1021</v>
      </c>
      <c r="O65" s="28" t="s">
        <v>1022</v>
      </c>
      <c r="P65" s="28" t="s">
        <v>1023</v>
      </c>
      <c r="Q65" s="120" t="s">
        <v>1534</v>
      </c>
      <c r="R65" s="29"/>
      <c r="S65" s="29"/>
      <c r="T65" s="29"/>
      <c r="U65" s="29"/>
      <c r="V65" s="30" t="s">
        <v>811</v>
      </c>
      <c r="W65" s="48" t="s">
        <v>1380</v>
      </c>
      <c r="X65" s="66"/>
      <c r="Y65" s="48" t="s">
        <v>50</v>
      </c>
      <c r="Z65" s="28" t="s">
        <v>1025</v>
      </c>
      <c r="AA65" s="28" t="s">
        <v>1024</v>
      </c>
      <c r="AB65" s="106"/>
      <c r="AC65" s="66"/>
      <c r="AD65" s="66"/>
      <c r="AE65" s="81"/>
      <c r="AF65" s="121" t="str">
        <f>IFERROR(__xludf.DUMMYFUNCTION("HYPERLINK(
""https://wa.me/""&amp;REGEXREPLACE(Q65,""[^0-9]"","""")&amp;
""?text=""&amp;
ENCODEURL(
""Hola *""&amp;B65&amp;""*.
Te recordamos que la factura Nº *""&amp;J65&amp;""* por el plan """"""&amp;E65&amp;"""""" se encuentra disponible para pago y vence hoy.
Monto: *$""&amp;I65&amp;""*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*$""&amp;AG65&amp;""*
Valor total febrero (con IVA): *$""&amp;AH65&amp;""*
A partir de mañana el valor aument"&amp;"a un 25%, correspondiente al valor de diciembre.
Simple Pyme""
),
""Enviar WhatsApp""
)"),"Enviar WhatsApp")</f>
        <v>Enviar WhatsApp</v>
      </c>
      <c r="AG65" s="81"/>
      <c r="AH65" s="81"/>
      <c r="AI65" s="81"/>
      <c r="AJ65" s="81"/>
      <c r="AK65" s="81"/>
    </row>
    <row r="66" hidden="1">
      <c r="A66" s="126" t="s">
        <v>1456</v>
      </c>
      <c r="B66" s="25" t="s">
        <v>1026</v>
      </c>
      <c r="C66" s="66"/>
      <c r="D66" s="66"/>
      <c r="E66" s="48" t="s">
        <v>1380</v>
      </c>
      <c r="F66" s="118"/>
      <c r="G66" s="66"/>
      <c r="H66" s="88" t="s">
        <v>1381</v>
      </c>
      <c r="I66" s="88">
        <f t="shared" si="1"/>
        <v>0</v>
      </c>
      <c r="J66" s="135" t="s">
        <v>1438</v>
      </c>
      <c r="K66" s="104"/>
      <c r="L66" s="66"/>
      <c r="M66" s="26" t="s">
        <v>1027</v>
      </c>
      <c r="N66" s="26" t="s">
        <v>1028</v>
      </c>
      <c r="O66" s="28" t="s">
        <v>1029</v>
      </c>
      <c r="P66" s="28" t="s">
        <v>1030</v>
      </c>
      <c r="Q66" s="120" t="s">
        <v>1535</v>
      </c>
      <c r="R66" s="29"/>
      <c r="S66" s="29"/>
      <c r="T66" s="29"/>
      <c r="U66" s="29"/>
      <c r="V66" s="30" t="s">
        <v>811</v>
      </c>
      <c r="W66" s="48" t="s">
        <v>1380</v>
      </c>
      <c r="X66" s="66"/>
      <c r="Y66" s="48" t="s">
        <v>50</v>
      </c>
      <c r="Z66" s="28" t="s">
        <v>1031</v>
      </c>
      <c r="AA66" s="28">
        <v>1.8880857E7</v>
      </c>
      <c r="AB66" s="106"/>
      <c r="AC66" s="66"/>
      <c r="AD66" s="66"/>
      <c r="AE66" s="81"/>
      <c r="AF66" s="121" t="str">
        <f>IFERROR(__xludf.DUMMYFUNCTION("HYPERLINK(
""https://wa.me/""&amp;REGEXREPLACE(Q66,""[^0-9]"","""")&amp;
""?text=""&amp;
ENCODEURL(
""Hola *""&amp;B66&amp;""*.
Te recordamos que la factura Nº *""&amp;J66&amp;""* por el plan """"""&amp;E66&amp;"""""" se encuentra disponible para pago y vence hoy.
Monto: *$""&amp;I66&amp;""*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*$""&amp;AG66&amp;""*
Valor total febrero (con IVA): *$""&amp;AH66&amp;""*
A partir de mañana el valor aument"&amp;"a un 25%, correspondiente al valor de diciembre.
Simple Pyme""
),
""Enviar WhatsApp""
)"),"Enviar WhatsApp")</f>
        <v>Enviar WhatsApp</v>
      </c>
      <c r="AG66" s="81"/>
      <c r="AH66" s="81"/>
      <c r="AI66" s="81"/>
      <c r="AJ66" s="81"/>
      <c r="AK66" s="81"/>
    </row>
    <row r="67" hidden="1">
      <c r="A67" s="126" t="s">
        <v>1456</v>
      </c>
      <c r="B67" s="25" t="s">
        <v>1032</v>
      </c>
      <c r="C67" s="66"/>
      <c r="D67" s="66"/>
      <c r="E67" s="48" t="s">
        <v>1380</v>
      </c>
      <c r="F67" s="118"/>
      <c r="G67" s="66"/>
      <c r="H67" s="88" t="s">
        <v>1381</v>
      </c>
      <c r="I67" s="88">
        <f t="shared" si="1"/>
        <v>0</v>
      </c>
      <c r="J67" s="135" t="s">
        <v>1438</v>
      </c>
      <c r="K67" s="104"/>
      <c r="L67" s="66"/>
      <c r="M67" s="26" t="s">
        <v>1033</v>
      </c>
      <c r="N67" s="26" t="s">
        <v>1034</v>
      </c>
      <c r="O67" s="28" t="s">
        <v>1035</v>
      </c>
      <c r="P67" s="28" t="s">
        <v>1036</v>
      </c>
      <c r="Q67" s="120" t="s">
        <v>1536</v>
      </c>
      <c r="R67" s="29"/>
      <c r="S67" s="29"/>
      <c r="T67" s="29"/>
      <c r="U67" s="29"/>
      <c r="V67" s="30" t="s">
        <v>811</v>
      </c>
      <c r="W67" s="48" t="s">
        <v>1380</v>
      </c>
      <c r="X67" s="66"/>
      <c r="Y67" s="48" t="s">
        <v>50</v>
      </c>
      <c r="Z67" s="28" t="s">
        <v>1038</v>
      </c>
      <c r="AA67" s="28">
        <v>1.8782436E7</v>
      </c>
      <c r="AB67" s="106"/>
      <c r="AC67" s="66"/>
      <c r="AD67" s="66"/>
      <c r="AE67" s="81"/>
      <c r="AF67" s="121" t="str">
        <f>IFERROR(__xludf.DUMMYFUNCTION("HYPERLINK(
""https://wa.me/""&amp;REGEXREPLACE(Q67,""[^0-9]"","""")&amp;
""?text=""&amp;
ENCODEURL(
""Hola *""&amp;B67&amp;""*.
Te recordamos que la factura Nº *""&amp;J67&amp;""* por el plan """"""&amp;E67&amp;"""""" se encuentra disponible para pago y vence hoy.
Monto: *$""&amp;I67&amp;""*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*$""&amp;AG67&amp;""*
Valor total febrero (con IVA): *$""&amp;AH67&amp;""*
A partir de mañana el valor aument"&amp;"a un 25%, correspondiente al valor de diciembre.
Simple Pyme""
),
""Enviar WhatsApp""
)"),"Enviar WhatsApp")</f>
        <v>Enviar WhatsApp</v>
      </c>
      <c r="AG67" s="81"/>
      <c r="AH67" s="81"/>
      <c r="AI67" s="81"/>
      <c r="AJ67" s="81"/>
      <c r="AK67" s="81"/>
    </row>
    <row r="68" hidden="1">
      <c r="A68" s="126" t="s">
        <v>1456</v>
      </c>
      <c r="B68" s="25" t="s">
        <v>1039</v>
      </c>
      <c r="C68" s="66"/>
      <c r="D68" s="66"/>
      <c r="E68" s="48" t="s">
        <v>1380</v>
      </c>
      <c r="F68" s="118"/>
      <c r="G68" s="66"/>
      <c r="H68" s="88" t="s">
        <v>1381</v>
      </c>
      <c r="I68" s="88">
        <f t="shared" si="1"/>
        <v>0</v>
      </c>
      <c r="J68" s="135" t="s">
        <v>1438</v>
      </c>
      <c r="K68" s="104"/>
      <c r="L68" s="66"/>
      <c r="M68" s="26" t="s">
        <v>1040</v>
      </c>
      <c r="N68" s="26" t="s">
        <v>1041</v>
      </c>
      <c r="O68" s="28" t="s">
        <v>1042</v>
      </c>
      <c r="P68" s="28" t="s">
        <v>1043</v>
      </c>
      <c r="Q68" s="120" t="s">
        <v>1536</v>
      </c>
      <c r="R68" s="29"/>
      <c r="S68" s="29"/>
      <c r="T68" s="29"/>
      <c r="U68" s="29"/>
      <c r="V68" s="30" t="s">
        <v>811</v>
      </c>
      <c r="W68" s="48" t="s">
        <v>1380</v>
      </c>
      <c r="X68" s="66"/>
      <c r="Y68" s="48" t="s">
        <v>50</v>
      </c>
      <c r="Z68" s="28" t="s">
        <v>1046</v>
      </c>
      <c r="AA68" s="28" t="s">
        <v>1044</v>
      </c>
      <c r="AB68" s="106"/>
      <c r="AC68" s="66"/>
      <c r="AD68" s="66"/>
      <c r="AE68" s="81"/>
      <c r="AF68" s="121" t="str">
        <f>IFERROR(__xludf.DUMMYFUNCTION("HYPERLINK(
""https://wa.me/""&amp;REGEXREPLACE(Q68,""[^0-9]"","""")&amp;
""?text=""&amp;
ENCODEURL(
""Hola *""&amp;B68&amp;""*.
Te recordamos que la factura Nº *""&amp;J68&amp;""* por el plan """"""&amp;E68&amp;"""""" se encuentra disponible para pago y vence hoy.
Monto: *$""&amp;I68&amp;""*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*$""&amp;AG68&amp;""*
Valor total febrero (con IVA): *$""&amp;AH68&amp;""*
A partir de mañana el valor aument"&amp;"a un 25%, correspondiente al valor de diciembre.
Simple Pyme""
),
""Enviar WhatsApp""
)"),"Enviar WhatsApp")</f>
        <v>Enviar WhatsApp</v>
      </c>
      <c r="AG68" s="81"/>
      <c r="AH68" s="81"/>
      <c r="AI68" s="81"/>
      <c r="AJ68" s="81"/>
      <c r="AK68" s="81"/>
    </row>
    <row r="69" hidden="1">
      <c r="A69" s="126" t="s">
        <v>1456</v>
      </c>
      <c r="B69" s="25" t="s">
        <v>1047</v>
      </c>
      <c r="C69" s="66"/>
      <c r="D69" s="66"/>
      <c r="E69" s="48" t="s">
        <v>1380</v>
      </c>
      <c r="F69" s="118"/>
      <c r="G69" s="66"/>
      <c r="H69" s="88" t="s">
        <v>1381</v>
      </c>
      <c r="I69" s="88">
        <f t="shared" si="1"/>
        <v>0</v>
      </c>
      <c r="J69" s="135" t="s">
        <v>1438</v>
      </c>
      <c r="K69" s="104"/>
      <c r="L69" s="66"/>
      <c r="M69" s="26" t="s">
        <v>1048</v>
      </c>
      <c r="N69" s="26" t="s">
        <v>1049</v>
      </c>
      <c r="O69" s="28" t="s">
        <v>1050</v>
      </c>
      <c r="P69" s="28" t="s">
        <v>1051</v>
      </c>
      <c r="Q69" s="120" t="s">
        <v>1536</v>
      </c>
      <c r="R69" s="29"/>
      <c r="S69" s="29"/>
      <c r="T69" s="29"/>
      <c r="U69" s="29"/>
      <c r="V69" s="30" t="s">
        <v>811</v>
      </c>
      <c r="W69" s="48" t="s">
        <v>1380</v>
      </c>
      <c r="X69" s="66"/>
      <c r="Y69" s="48" t="s">
        <v>50</v>
      </c>
      <c r="Z69" s="28" t="s">
        <v>1053</v>
      </c>
      <c r="AA69" s="28" t="s">
        <v>1052</v>
      </c>
      <c r="AB69" s="106"/>
      <c r="AC69" s="66"/>
      <c r="AD69" s="66"/>
      <c r="AE69" s="81"/>
      <c r="AF69" s="121" t="str">
        <f>IFERROR(__xludf.DUMMYFUNCTION("HYPERLINK(
""https://wa.me/""&amp;REGEXREPLACE(Q69,""[^0-9]"","""")&amp;
""?text=""&amp;
ENCODEURL(
""Hola *""&amp;B69&amp;""*.
Te recordamos que la factura Nº *""&amp;J69&amp;""* por el plan """"""&amp;E69&amp;"""""" se encuentra disponible para pago y vence hoy.
Monto: *$""&amp;I69&amp;""*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*$""&amp;AG69&amp;""*
Valor total febrero (con IVA): *$""&amp;AH69&amp;""*
A partir de mañana el valor aument"&amp;"a un 25%, correspondiente al valor de diciembre.
Simple Pyme""
),
""Enviar WhatsApp""
)"),"Enviar WhatsApp")</f>
        <v>Enviar WhatsApp</v>
      </c>
      <c r="AG69" s="81"/>
      <c r="AH69" s="81"/>
      <c r="AI69" s="81"/>
      <c r="AJ69" s="81"/>
      <c r="AK69" s="81"/>
    </row>
    <row r="70" hidden="1">
      <c r="A70" s="126" t="s">
        <v>1456</v>
      </c>
      <c r="B70" s="25" t="s">
        <v>1054</v>
      </c>
      <c r="C70" s="66"/>
      <c r="D70" s="66"/>
      <c r="E70" s="48" t="s">
        <v>1380</v>
      </c>
      <c r="F70" s="118"/>
      <c r="G70" s="66"/>
      <c r="H70" s="88" t="s">
        <v>1381</v>
      </c>
      <c r="I70" s="88">
        <f t="shared" si="1"/>
        <v>0</v>
      </c>
      <c r="J70" s="135" t="s">
        <v>1438</v>
      </c>
      <c r="K70" s="104"/>
      <c r="L70" s="66"/>
      <c r="M70" s="26">
        <v>1.43516717E8</v>
      </c>
      <c r="N70" s="26" t="s">
        <v>1055</v>
      </c>
      <c r="O70" s="28" t="s">
        <v>1056</v>
      </c>
      <c r="P70" s="28" t="s">
        <v>1057</v>
      </c>
      <c r="Q70" s="120" t="s">
        <v>1536</v>
      </c>
      <c r="R70" s="29"/>
      <c r="S70" s="29"/>
      <c r="T70" s="29"/>
      <c r="U70" s="29"/>
      <c r="V70" s="30" t="s">
        <v>811</v>
      </c>
      <c r="W70" s="48" t="s">
        <v>1380</v>
      </c>
      <c r="X70" s="66"/>
      <c r="Y70" s="48" t="s">
        <v>50</v>
      </c>
      <c r="Z70" s="28" t="s">
        <v>1054</v>
      </c>
      <c r="AA70" s="28" t="s">
        <v>1055</v>
      </c>
      <c r="AB70" s="106"/>
      <c r="AC70" s="66"/>
      <c r="AD70" s="66"/>
      <c r="AE70" s="81"/>
      <c r="AF70" s="121" t="str">
        <f>IFERROR(__xludf.DUMMYFUNCTION("HYPERLINK(
""https://wa.me/""&amp;REGEXREPLACE(Q70,""[^0-9]"","""")&amp;
""?text=""&amp;
ENCODEURL(
""Hola *""&amp;B70&amp;""*.
Te recordamos que la factura Nº *""&amp;J70&amp;""* por el plan """"""&amp;E70&amp;"""""" se encuentra disponible para pago y vence hoy.
Monto: *$""&amp;I70&amp;""*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*$""&amp;AG70&amp;""*
Valor total febrero (con IVA): *$""&amp;AH70&amp;""*
A partir de mañana el valor aument"&amp;"a un 25%, correspondiente al valor de diciembre.
Simple Pyme""
),
""Enviar WhatsApp""
)"),"Enviar WhatsApp")</f>
        <v>Enviar WhatsApp</v>
      </c>
      <c r="AG70" s="81"/>
      <c r="AH70" s="81"/>
      <c r="AI70" s="81"/>
      <c r="AJ70" s="81"/>
      <c r="AK70" s="81"/>
    </row>
    <row r="71" hidden="1">
      <c r="A71" s="126" t="s">
        <v>1456</v>
      </c>
      <c r="B71" s="25" t="s">
        <v>1058</v>
      </c>
      <c r="C71" s="66"/>
      <c r="D71" s="66"/>
      <c r="E71" s="48" t="s">
        <v>1380</v>
      </c>
      <c r="F71" s="118"/>
      <c r="G71" s="66"/>
      <c r="H71" s="88" t="s">
        <v>1381</v>
      </c>
      <c r="I71" s="88">
        <f t="shared" si="1"/>
        <v>0</v>
      </c>
      <c r="J71" s="135" t="s">
        <v>1438</v>
      </c>
      <c r="K71" s="104"/>
      <c r="L71" s="66"/>
      <c r="M71" s="26" t="s">
        <v>1059</v>
      </c>
      <c r="N71" s="26" t="s">
        <v>1060</v>
      </c>
      <c r="O71" s="28" t="s">
        <v>1061</v>
      </c>
      <c r="P71" s="28" t="s">
        <v>981</v>
      </c>
      <c r="Q71" s="120" t="s">
        <v>1536</v>
      </c>
      <c r="R71" s="62"/>
      <c r="S71" s="62"/>
      <c r="T71" s="62"/>
      <c r="U71" s="62"/>
      <c r="V71" s="30" t="s">
        <v>811</v>
      </c>
      <c r="W71" s="48" t="s">
        <v>1380</v>
      </c>
      <c r="X71" s="66"/>
      <c r="Y71" s="48" t="s">
        <v>50</v>
      </c>
      <c r="Z71" s="28" t="s">
        <v>1062</v>
      </c>
      <c r="AA71" s="28">
        <v>2.60616528E8</v>
      </c>
      <c r="AB71" s="106"/>
      <c r="AC71" s="66"/>
      <c r="AD71" s="66"/>
      <c r="AE71" s="81"/>
      <c r="AF71" s="121" t="str">
        <f>IFERROR(__xludf.DUMMYFUNCTION("HYPERLINK(
""https://wa.me/""&amp;REGEXREPLACE(Q71,""[^0-9]"","""")&amp;
""?text=""&amp;
ENCODEURL(
""Hola *""&amp;B71&amp;""*.
Te recordamos que la factura Nº *""&amp;J71&amp;""* por el plan """"""&amp;E71&amp;"""""" se encuentra disponible para pago y vence hoy.
Monto: *$""&amp;I71&amp;""*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*$""&amp;AG71&amp;""*
Valor total febrero (con IVA): *$""&amp;AH71&amp;""*
A partir de mañana el valor aument"&amp;"a un 25%, correspondiente al valor de diciembre.
Simple Pyme""
),
""Enviar WhatsApp""
)"),"Enviar WhatsApp")</f>
        <v>Enviar WhatsApp</v>
      </c>
      <c r="AG71" s="81"/>
      <c r="AH71" s="81"/>
      <c r="AI71" s="81"/>
      <c r="AJ71" s="81"/>
      <c r="AK71" s="81"/>
    </row>
    <row r="72">
      <c r="A72" s="126" t="s">
        <v>1456</v>
      </c>
      <c r="B72" s="25" t="s">
        <v>1063</v>
      </c>
      <c r="C72" s="30" t="s">
        <v>38</v>
      </c>
      <c r="D72" s="30" t="s">
        <v>38</v>
      </c>
      <c r="E72" s="48" t="s">
        <v>1362</v>
      </c>
      <c r="F72" s="118"/>
      <c r="G72" s="66"/>
      <c r="H72" s="88">
        <v>30000.0</v>
      </c>
      <c r="I72" s="88">
        <f t="shared" si="1"/>
        <v>35700</v>
      </c>
      <c r="J72" s="30"/>
      <c r="K72" s="104"/>
      <c r="L72" s="66"/>
      <c r="M72" s="26" t="s">
        <v>720</v>
      </c>
      <c r="N72" s="26" t="s">
        <v>721</v>
      </c>
      <c r="O72" s="28" t="s">
        <v>718</v>
      </c>
      <c r="P72" s="28" t="s">
        <v>1064</v>
      </c>
      <c r="Q72" s="120" t="s">
        <v>1537</v>
      </c>
      <c r="R72" s="29"/>
      <c r="S72" s="29"/>
      <c r="T72" s="29"/>
      <c r="U72" s="29"/>
      <c r="V72" s="30" t="s">
        <v>811</v>
      </c>
      <c r="W72" s="30" t="s">
        <v>1364</v>
      </c>
      <c r="X72" s="127">
        <v>46084.0</v>
      </c>
      <c r="Y72" s="48" t="s">
        <v>50</v>
      </c>
      <c r="Z72" s="28" t="s">
        <v>1065</v>
      </c>
      <c r="AA72" s="28">
        <v>2.6671708E7</v>
      </c>
      <c r="AB72" s="106"/>
      <c r="AC72" s="66"/>
      <c r="AD72" s="66"/>
      <c r="AE72" s="81"/>
      <c r="AF72" s="121" t="str">
        <f>IFERROR(__xludf.DUMMYFUNCTION("HYPERLINK(
""https://wa.me/""&amp;REGEXREPLACE(Q72,""[^0-9]"","""")&amp;
""?text=""&amp;
ENCODEURL(
""Buenas tardes *""&amp;B72&amp;""*.
Te recordamos que tu plan """"""&amp;E72&amp;"""""" no incluye la declaración de renta. Te enviamos varios correos informando sobre este proceso."&amp;" Esta semana vencen las primeras declaraciones juradas, lo que generará multas
Valor: *$""&amp;AG72&amp;""* + IVA = *$""&amp;AH72&amp;""*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72" s="123">
        <v>125000.0</v>
      </c>
      <c r="AH72" s="123">
        <f t="shared" ref="AH72:AH74" si="8">AG72*1.19</f>
        <v>148750</v>
      </c>
      <c r="AI72" s="81"/>
      <c r="AJ72" s="81"/>
      <c r="AK72" s="81"/>
    </row>
    <row r="73">
      <c r="A73" s="126" t="s">
        <v>1456</v>
      </c>
      <c r="B73" s="25" t="s">
        <v>1066</v>
      </c>
      <c r="C73" s="30" t="s">
        <v>38</v>
      </c>
      <c r="D73" s="30" t="s">
        <v>38</v>
      </c>
      <c r="E73" s="48" t="s">
        <v>1362</v>
      </c>
      <c r="F73" s="118"/>
      <c r="G73" s="66"/>
      <c r="H73" s="88">
        <v>30000.0</v>
      </c>
      <c r="I73" s="88">
        <f t="shared" si="1"/>
        <v>35700</v>
      </c>
      <c r="J73" s="30"/>
      <c r="K73" s="97">
        <v>119000.0</v>
      </c>
      <c r="L73" s="66"/>
      <c r="M73" s="26" t="s">
        <v>696</v>
      </c>
      <c r="N73" s="26" t="s">
        <v>697</v>
      </c>
      <c r="O73" s="28" t="s">
        <v>694</v>
      </c>
      <c r="P73" s="28" t="s">
        <v>696</v>
      </c>
      <c r="Q73" s="120" t="s">
        <v>1538</v>
      </c>
      <c r="R73" s="29"/>
      <c r="S73" s="29"/>
      <c r="T73" s="29"/>
      <c r="U73" s="29"/>
      <c r="V73" s="30" t="s">
        <v>811</v>
      </c>
      <c r="W73" s="30" t="s">
        <v>1364</v>
      </c>
      <c r="X73" s="132">
        <v>46087.0</v>
      </c>
      <c r="Y73" s="48" t="s">
        <v>50</v>
      </c>
      <c r="Z73" s="28" t="s">
        <v>1066</v>
      </c>
      <c r="AA73" s="28" t="s">
        <v>697</v>
      </c>
      <c r="AB73" s="106"/>
      <c r="AC73" s="66"/>
      <c r="AD73" s="66"/>
      <c r="AE73" s="81"/>
      <c r="AF73" s="121" t="str">
        <f>IFERROR(__xludf.DUMMYFUNCTION("HYPERLINK(
""https://wa.me/""&amp;REGEXREPLACE(Q73,""[^0-9]"","""")&amp;
""?text=""&amp;
ENCODEURL(
""Hola *""&amp;B73&amp;""*.
Te recordamos que la factura Nº *""&amp;J73&amp;""* por el plan """"""&amp;E73&amp;"""""" se encuentra disponible para pago y vence hoy.
Monto: *$""&amp;I73&amp;""*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*$""&amp;AG73&amp;""*
Valor total febrero (con IVA): *$""&amp;AH73&amp;""*
A partir de mañana el valor aument"&amp;"a un 25%, correspondiente al valor de diciembre.
Simple Pyme""
),
""Enviar WhatsApp""
)"),"Enviar WhatsApp")</f>
        <v>Enviar WhatsApp</v>
      </c>
      <c r="AG73" s="122">
        <v>100000.0</v>
      </c>
      <c r="AH73" s="123">
        <f t="shared" si="8"/>
        <v>119000</v>
      </c>
      <c r="AI73" s="81"/>
      <c r="AJ73" s="81"/>
      <c r="AK73" s="81"/>
    </row>
    <row r="74">
      <c r="A74" s="126" t="s">
        <v>1456</v>
      </c>
      <c r="B74" s="25" t="s">
        <v>1067</v>
      </c>
      <c r="C74" s="30" t="s">
        <v>38</v>
      </c>
      <c r="D74" s="30" t="s">
        <v>38</v>
      </c>
      <c r="E74" s="48" t="s">
        <v>1372</v>
      </c>
      <c r="F74" s="118"/>
      <c r="G74" s="28">
        <v>2.0</v>
      </c>
      <c r="H74" s="88">
        <v>50000.0</v>
      </c>
      <c r="I74" s="88">
        <f t="shared" si="1"/>
        <v>59500</v>
      </c>
      <c r="J74" s="30"/>
      <c r="K74" s="97">
        <v>119000.0</v>
      </c>
      <c r="L74" s="28" t="s">
        <v>1539</v>
      </c>
      <c r="M74" s="26" t="s">
        <v>433</v>
      </c>
      <c r="N74" s="26" t="s">
        <v>426</v>
      </c>
      <c r="O74" s="25" t="s">
        <v>855</v>
      </c>
      <c r="P74" s="28" t="s">
        <v>856</v>
      </c>
      <c r="Q74" s="30" t="s">
        <v>1540</v>
      </c>
      <c r="R74" s="29"/>
      <c r="S74" s="29"/>
      <c r="T74" s="29"/>
      <c r="U74" s="29"/>
      <c r="V74" s="30" t="s">
        <v>811</v>
      </c>
      <c r="W74" s="30" t="s">
        <v>1364</v>
      </c>
      <c r="X74" s="132">
        <v>46090.0</v>
      </c>
      <c r="Y74" s="48" t="s">
        <v>50</v>
      </c>
      <c r="Z74" s="28" t="s">
        <v>858</v>
      </c>
      <c r="AA74" s="28" t="s">
        <v>857</v>
      </c>
      <c r="AB74" s="106"/>
      <c r="AC74" s="66"/>
      <c r="AD74" s="66"/>
      <c r="AE74" s="81"/>
      <c r="AF74" s="121" t="str">
        <f>IFERROR(__xludf.DUMMYFUNCTION("HYPERLINK(
""https://wa.me/""&amp;REGEXREPLACE(Q74,""[^0-9]"","""")&amp;
""?text=""&amp;
ENCODEURL(
""Hola *""&amp;B74&amp;""*.
Te recordamos que la factura Nº *""&amp;J74&amp;""* por el plan """"""&amp;E74&amp;"""""" se encuentra disponible para pago y vence hoy.
Monto: *$""&amp;I74&amp;""*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74" s="81"/>
      <c r="AH74" s="81">
        <f t="shared" si="8"/>
        <v>0</v>
      </c>
      <c r="AI74" s="81"/>
      <c r="AJ74" s="81"/>
      <c r="AK74" s="81"/>
    </row>
    <row r="75">
      <c r="A75" s="126" t="s">
        <v>1456</v>
      </c>
      <c r="B75" s="25" t="s">
        <v>1068</v>
      </c>
      <c r="C75" s="30" t="s">
        <v>38</v>
      </c>
      <c r="D75" s="30" t="s">
        <v>38</v>
      </c>
      <c r="E75" s="48" t="s">
        <v>1362</v>
      </c>
      <c r="F75" s="118"/>
      <c r="G75" s="66"/>
      <c r="H75" s="88">
        <v>30000.0</v>
      </c>
      <c r="I75" s="88">
        <f t="shared" si="1"/>
        <v>35700</v>
      </c>
      <c r="J75" s="30"/>
      <c r="K75" s="97">
        <v>119000.0</v>
      </c>
      <c r="L75" s="25"/>
      <c r="M75" s="26" t="s">
        <v>395</v>
      </c>
      <c r="N75" s="26" t="s">
        <v>396</v>
      </c>
      <c r="O75" s="28" t="s">
        <v>393</v>
      </c>
      <c r="P75" s="28" t="s">
        <v>936</v>
      </c>
      <c r="Q75" s="139">
        <v>9.85582338E8</v>
      </c>
      <c r="R75" s="29"/>
      <c r="S75" s="29"/>
      <c r="T75" s="29"/>
      <c r="U75" s="29"/>
      <c r="V75" s="30" t="s">
        <v>811</v>
      </c>
      <c r="W75" s="30" t="s">
        <v>1364</v>
      </c>
      <c r="X75" s="141">
        <v>46084.0</v>
      </c>
      <c r="Y75" s="48" t="s">
        <v>50</v>
      </c>
      <c r="Z75" s="28" t="s">
        <v>937</v>
      </c>
      <c r="AA75" s="28" t="s">
        <v>399</v>
      </c>
      <c r="AB75" s="106"/>
      <c r="AC75" s="66"/>
      <c r="AD75" s="66"/>
      <c r="AE75" s="81"/>
      <c r="AF75" s="81" t="str">
        <f>IFERROR(__xludf.DUMMYFUNCTION("HYPERLINK(
""https://wa.me/""&amp;REGEXREPLACE(Q75,""[^0-9]"","""")&amp;
""?text=""&amp;
ENCODEURL(
""Hola *""&amp;B75&amp;""*.
Te recordamos que la factura Nº *""&amp;J75&amp;""* por el plan """"""&amp;E75&amp;"""""" se encuentra disponible para pago y vence hoy.
Monto: *$""&amp;I75&amp;""*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*$""&amp;AG75&amp;""*
Valor total febrero (con IVA): *$""&amp;AH75&amp;""*
A partir de mañana el valor aument"&amp;"a un 25%, correspondiente al valor de diciembre.
Simple Pyme""
),
""Enviar WhatsApp""
)"),"Enviar WhatsApp")</f>
        <v>Enviar WhatsApp</v>
      </c>
      <c r="AG75" s="81"/>
      <c r="AH75" s="81"/>
      <c r="AI75" s="81"/>
      <c r="AJ75" s="81"/>
      <c r="AK75" s="81"/>
    </row>
    <row r="76">
      <c r="A76" s="126" t="s">
        <v>1456</v>
      </c>
      <c r="B76" s="51" t="s">
        <v>1069</v>
      </c>
      <c r="C76" s="30" t="s">
        <v>38</v>
      </c>
      <c r="D76" s="30" t="s">
        <v>38</v>
      </c>
      <c r="E76" s="48" t="s">
        <v>1362</v>
      </c>
      <c r="F76" s="153"/>
      <c r="G76" s="106"/>
      <c r="H76" s="151">
        <v>30000.0</v>
      </c>
      <c r="I76" s="88">
        <f t="shared" si="1"/>
        <v>35700</v>
      </c>
      <c r="J76" s="30"/>
      <c r="K76" s="154">
        <v>85200.0</v>
      </c>
      <c r="L76" s="28"/>
      <c r="M76" s="155" t="s">
        <v>379</v>
      </c>
      <c r="N76" s="155" t="s">
        <v>380</v>
      </c>
      <c r="O76" s="48" t="s">
        <v>377</v>
      </c>
      <c r="P76" s="48" t="s">
        <v>1070</v>
      </c>
      <c r="Q76" s="70" t="s">
        <v>1541</v>
      </c>
      <c r="R76" s="47"/>
      <c r="S76" s="47"/>
      <c r="T76" s="47"/>
      <c r="U76" s="47"/>
      <c r="V76" s="30" t="s">
        <v>811</v>
      </c>
      <c r="W76" s="30" t="s">
        <v>1364</v>
      </c>
      <c r="X76" s="156"/>
      <c r="Y76" s="48" t="s">
        <v>50</v>
      </c>
      <c r="Z76" s="48" t="s">
        <v>1072</v>
      </c>
      <c r="AA76" s="48" t="s">
        <v>1071</v>
      </c>
      <c r="AB76" s="106"/>
      <c r="AC76" s="106"/>
      <c r="AD76" s="106"/>
      <c r="AE76" s="94"/>
      <c r="AF76" s="121" t="str">
        <f>IFERROR(__xludf.DUMMYFUNCTION("HYPERLINK(
""https://wa.me/""&amp;REGEXREPLACE(Q76,""[^0-9]"","""")&amp;
""?text=""&amp;
ENCODEURL(
""Buenas tardes *""&amp;B76&amp;""*. *HOY SE PAGA EL IVA Y TU SERVICIO ESTÁ SUSPENDIDO*
Te recordamos que la factura """"""&amp;J76&amp;"""""" de tu plan """"""&amp;E76&amp;"""""" se encuent"&amp;"re impaga a la fecha, lo que implica que tu servicio se encuentra suspendido. Para reactivar el servicio y que hagamos la declaración mensual debes realizar el pago lo antes posible.
Valor: *$""&amp;H76&amp;""* + IVA = *$""&amp;I76&amp;""*
*CUENTA BANCARIA*
VOLLAIRE &amp; O"&amp;"LIVOS SIMPLE PYME LTDA
Banco BCI
Cuenta corriente
RUT 78.306.207-0
Número de cuenta: 70809538
MATIAS.OLIVOS@VSVCONSULTORES.COM
También puedes pagar con tarjeta de débito o crédito en el siguiente link:
https://www.flow.cl/btn.php?token=xe78c9acb73c3eff5e"&amp;"917d5c932a4a2f7f971abe
Simple Pyme""
),
""Enviar WhatsApp""
)"),"Enviar WhatsApp")</f>
        <v>Enviar WhatsApp</v>
      </c>
      <c r="AG76" s="81"/>
      <c r="AH76" s="81">
        <f>AG76*1.19</f>
        <v>0</v>
      </c>
      <c r="AI76" s="81"/>
      <c r="AJ76" s="81"/>
      <c r="AK76" s="81"/>
    </row>
    <row r="77">
      <c r="A77" s="126" t="s">
        <v>1542</v>
      </c>
      <c r="B77" s="51" t="s">
        <v>1073</v>
      </c>
      <c r="C77" s="30" t="s">
        <v>38</v>
      </c>
      <c r="D77" s="30" t="s">
        <v>38</v>
      </c>
      <c r="E77" s="48" t="s">
        <v>1413</v>
      </c>
      <c r="F77" s="118"/>
      <c r="G77" s="28" t="s">
        <v>1543</v>
      </c>
      <c r="H77" s="157">
        <v>60504.0</v>
      </c>
      <c r="I77" s="88">
        <f t="shared" si="1"/>
        <v>71999.76</v>
      </c>
      <c r="J77" s="30"/>
      <c r="K77" s="151">
        <v>59500.0</v>
      </c>
      <c r="L77" s="66"/>
      <c r="M77" s="61" t="s">
        <v>67</v>
      </c>
      <c r="N77" s="26" t="s">
        <v>68</v>
      </c>
      <c r="O77" s="28" t="s">
        <v>65</v>
      </c>
      <c r="P77" s="28" t="s">
        <v>1074</v>
      </c>
      <c r="Q77" s="120" t="s">
        <v>1544</v>
      </c>
      <c r="R77" s="29"/>
      <c r="S77" s="29"/>
      <c r="T77" s="29"/>
      <c r="U77" s="29"/>
      <c r="V77" s="30" t="s">
        <v>811</v>
      </c>
      <c r="W77" s="30" t="s">
        <v>1364</v>
      </c>
      <c r="X77" s="132">
        <v>46084.0</v>
      </c>
      <c r="Y77" s="48" t="s">
        <v>50</v>
      </c>
      <c r="Z77" s="28" t="s">
        <v>1075</v>
      </c>
      <c r="AA77" s="28" t="s">
        <v>71</v>
      </c>
      <c r="AB77" s="106"/>
      <c r="AC77" s="66"/>
      <c r="AD77" s="66"/>
      <c r="AE77" s="81"/>
      <c r="AF77" s="121" t="str">
        <f>IFERROR(__xludf.DUMMYFUNCTION("HYPERLINK(
""https://wa.me/""&amp;REGEXREPLACE(Q77,""[^0-9]"","""")&amp;
""?text=""&amp;
ENCODEURL(
""Hola *""&amp;B77&amp;""*.
Te recordamos que la factura Nº *""&amp;J77&amp;""* por el plan """"""&amp;E77&amp;"""""" se encuentra disponible para pago y vence hoy.
Monto: *$""&amp;I77&amp;""*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*$""&amp;AG77&amp;""*
Valor total febrero (con IVA): *$""&amp;AH77&amp;""*
A partir de mañana el valor aument"&amp;"a un 25%, correspondiente al valor de diciembre.
Simple Pyme""
),
""Enviar WhatsApp""
)"),"Enviar WhatsApp")</f>
        <v>Enviar WhatsApp</v>
      </c>
      <c r="AG77" s="81"/>
      <c r="AH77" s="81"/>
      <c r="AI77" s="81"/>
      <c r="AJ77" s="81"/>
      <c r="AK77" s="81"/>
    </row>
    <row r="78" hidden="1">
      <c r="A78" s="126" t="s">
        <v>1542</v>
      </c>
      <c r="B78" s="25" t="s">
        <v>1076</v>
      </c>
      <c r="C78" s="66"/>
      <c r="D78" s="66"/>
      <c r="E78" s="48" t="s">
        <v>1380</v>
      </c>
      <c r="F78" s="118"/>
      <c r="G78" s="66"/>
      <c r="H78" s="88" t="s">
        <v>1381</v>
      </c>
      <c r="I78" s="88">
        <f t="shared" si="1"/>
        <v>0</v>
      </c>
      <c r="J78" s="135" t="s">
        <v>1438</v>
      </c>
      <c r="K78" s="104"/>
      <c r="L78" s="66"/>
      <c r="M78" s="26" t="s">
        <v>1077</v>
      </c>
      <c r="N78" s="26" t="s">
        <v>1078</v>
      </c>
      <c r="O78" s="28" t="s">
        <v>1079</v>
      </c>
      <c r="P78" s="56" t="s">
        <v>1080</v>
      </c>
      <c r="Q78" s="120" t="s">
        <v>1545</v>
      </c>
      <c r="R78" s="29"/>
      <c r="S78" s="29"/>
      <c r="T78" s="29"/>
      <c r="U78" s="29"/>
      <c r="V78" s="30" t="s">
        <v>811</v>
      </c>
      <c r="W78" s="48" t="s">
        <v>1380</v>
      </c>
      <c r="X78" s="66"/>
      <c r="Y78" s="48" t="s">
        <v>50</v>
      </c>
      <c r="Z78" s="28" t="s">
        <v>1081</v>
      </c>
      <c r="AA78" s="28" t="s">
        <v>1078</v>
      </c>
      <c r="AB78" s="106"/>
      <c r="AC78" s="66"/>
      <c r="AD78" s="66"/>
      <c r="AE78" s="81"/>
      <c r="AF78" s="121" t="str">
        <f>IFERROR(__xludf.DUMMYFUNCTION("HYPERLINK(
""https://wa.me/""&amp;REGEXREPLACE(Q78,""[^0-9]"","""")&amp;
""?text=""&amp;
ENCODEURL(
""Hola *""&amp;B78&amp;""*.
Te recordamos que la factura Nº *""&amp;J78&amp;""* por el plan """"""&amp;E78&amp;"""""" se encuentra disponible para pago y vence hoy.
Monto: *$""&amp;I78&amp;""*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*$""&amp;AG78&amp;""*
Valor total febrero (con IVA): *$""&amp;AH78&amp;""*
A partir de mañana el valor aument"&amp;"a un 25%, correspondiente al valor de diciembre.
Simple Pyme""
),
""Enviar WhatsApp""
)"),"Enviar WhatsApp")</f>
        <v>Enviar WhatsApp</v>
      </c>
      <c r="AG78" s="81"/>
      <c r="AH78" s="81"/>
      <c r="AI78" s="81"/>
      <c r="AJ78" s="81"/>
      <c r="AK78" s="81"/>
    </row>
    <row r="79" hidden="1">
      <c r="A79" s="126" t="s">
        <v>1542</v>
      </c>
      <c r="B79" s="25" t="s">
        <v>1082</v>
      </c>
      <c r="C79" s="66"/>
      <c r="D79" s="66"/>
      <c r="E79" s="48" t="s">
        <v>1380</v>
      </c>
      <c r="F79" s="118"/>
      <c r="G79" s="66"/>
      <c r="H79" s="88" t="s">
        <v>1381</v>
      </c>
      <c r="I79" s="88">
        <f t="shared" si="1"/>
        <v>0</v>
      </c>
      <c r="J79" s="135" t="s">
        <v>1438</v>
      </c>
      <c r="K79" s="104"/>
      <c r="L79" s="66"/>
      <c r="M79" s="26" t="s">
        <v>1083</v>
      </c>
      <c r="N79" s="26" t="s">
        <v>1084</v>
      </c>
      <c r="O79" s="28" t="s">
        <v>1085</v>
      </c>
      <c r="P79" s="56" t="s">
        <v>1086</v>
      </c>
      <c r="Q79" s="30" t="s">
        <v>1546</v>
      </c>
      <c r="R79" s="29"/>
      <c r="S79" s="29"/>
      <c r="T79" s="29"/>
      <c r="U79" s="29"/>
      <c r="V79" s="30" t="s">
        <v>811</v>
      </c>
      <c r="W79" s="48" t="s">
        <v>1380</v>
      </c>
      <c r="X79" s="66"/>
      <c r="Y79" s="48" t="s">
        <v>50</v>
      </c>
      <c r="Z79" s="28" t="s">
        <v>1088</v>
      </c>
      <c r="AA79" s="56" t="s">
        <v>1087</v>
      </c>
      <c r="AB79" s="106"/>
      <c r="AC79" s="66"/>
      <c r="AD79" s="66"/>
      <c r="AE79" s="81"/>
      <c r="AF79" s="121" t="str">
        <f>IFERROR(__xludf.DUMMYFUNCTION("HYPERLINK(
""https://wa.me/""&amp;REGEXREPLACE(Q79,""[^0-9]"","""")&amp;
""?text=""&amp;
ENCODEURL(
""Hola *""&amp;B79&amp;""*.
Te recordamos que la factura Nº *""&amp;J79&amp;""* por el plan """"""&amp;E79&amp;"""""" se encuentra disponible para pago y vence hoy.
Monto: *$""&amp;I79&amp;""*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*$""&amp;AG79&amp;""*
Valor total febrero (con IVA): *$""&amp;AH79&amp;""*
A partir de mañana el valor aument"&amp;"a un 25%, correspondiente al valor de diciembre.
Simple Pyme""
),
""Enviar WhatsApp""
)"),"Enviar WhatsApp")</f>
        <v>Enviar WhatsApp</v>
      </c>
      <c r="AG79" s="81"/>
      <c r="AH79" s="81"/>
      <c r="AI79" s="81"/>
      <c r="AJ79" s="81"/>
      <c r="AK79" s="81"/>
    </row>
    <row r="80">
      <c r="A80" s="126" t="s">
        <v>1542</v>
      </c>
      <c r="B80" s="25" t="s">
        <v>1089</v>
      </c>
      <c r="C80" s="30" t="s">
        <v>38</v>
      </c>
      <c r="D80" s="30" t="s">
        <v>38</v>
      </c>
      <c r="E80" s="48" t="s">
        <v>1416</v>
      </c>
      <c r="F80" s="118"/>
      <c r="G80" s="66"/>
      <c r="H80" s="88">
        <v>10000.0</v>
      </c>
      <c r="I80" s="88">
        <f t="shared" si="1"/>
        <v>11900</v>
      </c>
      <c r="J80" s="30"/>
      <c r="K80" s="97">
        <v>93000.0</v>
      </c>
      <c r="L80" s="30" t="s">
        <v>1547</v>
      </c>
      <c r="M80" s="26" t="s">
        <v>515</v>
      </c>
      <c r="N80" s="62" t="s">
        <v>516</v>
      </c>
      <c r="O80" s="28" t="s">
        <v>513</v>
      </c>
      <c r="P80" s="28"/>
      <c r="Q80" s="120" t="s">
        <v>1548</v>
      </c>
      <c r="R80" s="29"/>
      <c r="S80" s="29"/>
      <c r="T80" s="29"/>
      <c r="U80" s="29"/>
      <c r="V80" s="30" t="s">
        <v>811</v>
      </c>
      <c r="W80" s="30" t="s">
        <v>1364</v>
      </c>
      <c r="X80" s="128">
        <v>46086.0</v>
      </c>
      <c r="Y80" s="48" t="s">
        <v>50</v>
      </c>
      <c r="Z80" s="28" t="s">
        <v>1091</v>
      </c>
      <c r="AA80" s="28" t="s">
        <v>1090</v>
      </c>
      <c r="AB80" s="106"/>
      <c r="AC80" s="66"/>
      <c r="AD80" s="66"/>
      <c r="AE80" s="81"/>
      <c r="AF80" s="121" t="str">
        <f>IFERROR(__xludf.DUMMYFUNCTION("HYPERLINK(
""https://wa.me/""&amp;REGEXREPLACE(Q80,""[^0-9]"","""")&amp;
""?text=""&amp;
ENCODEURL(
""Buenas tardes *""&amp;B80&amp;""*.
Te recordamos que tu plan """"""&amp;E80&amp;"""""" no incluye la declaración de renta. Te enviamos varios correos informando sobre este proceso."&amp;" Esta semana vencen las primeras declaraciones juradas, lo que generará multas
Valor: *$""&amp;AG80&amp;""* + IVA = *$""&amp;AH80&amp;""*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80" s="123">
        <v>78125.0</v>
      </c>
      <c r="AH80" s="123">
        <f>AG80*1.19</f>
        <v>92968.75</v>
      </c>
      <c r="AI80" s="81"/>
      <c r="AJ80" s="81"/>
      <c r="AK80" s="81"/>
    </row>
    <row r="81">
      <c r="A81" s="79" t="s">
        <v>1542</v>
      </c>
      <c r="B81" s="25" t="s">
        <v>1093</v>
      </c>
      <c r="C81" s="30" t="s">
        <v>38</v>
      </c>
      <c r="D81" s="30" t="s">
        <v>38</v>
      </c>
      <c r="E81" s="28" t="s">
        <v>1372</v>
      </c>
      <c r="F81" s="118"/>
      <c r="G81" s="28">
        <v>1.0</v>
      </c>
      <c r="H81" s="88">
        <v>60000.0</v>
      </c>
      <c r="I81" s="88">
        <f t="shared" si="1"/>
        <v>71400</v>
      </c>
      <c r="J81" s="30"/>
      <c r="K81" s="104"/>
      <c r="L81" s="28"/>
      <c r="M81" s="26" t="s">
        <v>112</v>
      </c>
      <c r="N81" s="26" t="s">
        <v>113</v>
      </c>
      <c r="O81" s="28" t="s">
        <v>110</v>
      </c>
      <c r="P81" s="56" t="s">
        <v>1094</v>
      </c>
      <c r="Q81" s="28" t="s">
        <v>1549</v>
      </c>
      <c r="R81" s="29"/>
      <c r="S81" s="29"/>
      <c r="T81" s="29"/>
      <c r="U81" s="29"/>
      <c r="V81" s="30" t="s">
        <v>811</v>
      </c>
      <c r="W81" s="30" t="s">
        <v>1364</v>
      </c>
      <c r="X81" s="134"/>
      <c r="Y81" s="28" t="s">
        <v>50</v>
      </c>
      <c r="Z81" s="28" t="s">
        <v>1095</v>
      </c>
      <c r="AA81" s="28" t="s">
        <v>113</v>
      </c>
      <c r="AB81" s="66"/>
      <c r="AC81" s="66"/>
      <c r="AD81" s="66"/>
      <c r="AE81" s="81"/>
      <c r="AF81" s="121" t="str">
        <f>IFERROR(__xludf.DUMMYFUNCTION("HYPERLINK(
""https://wa.me/""&amp;REGEXREPLACE(Q81,""[^0-9]"","""")&amp;
""?text=""&amp;
ENCODEURL(
""Hola *""&amp;B81&amp;""*.
Te recordamos que la factura Nº *""&amp;J81&amp;""* por el plan """"""&amp;E81&amp;"""""" se encuentra disponible para pago y vence hoy.
Monto: *$""&amp;I81&amp;""*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*$""&amp;AG81&amp;""*
Valor total febrero (con IVA): *$""&amp;AH81&amp;""*
A partir de mañana el valor aument"&amp;"a un 25%, correspondiente al valor de diciembre.
Simple Pyme""
),
""Enviar WhatsApp""
)"),"Enviar WhatsApp")</f>
        <v>Enviar WhatsApp</v>
      </c>
      <c r="AG81" s="81"/>
      <c r="AH81" s="81"/>
      <c r="AI81" s="81"/>
      <c r="AJ81" s="81"/>
      <c r="AK81" s="81"/>
    </row>
    <row r="82">
      <c r="A82" s="126" t="s">
        <v>1542</v>
      </c>
      <c r="B82" s="25" t="s">
        <v>1550</v>
      </c>
      <c r="C82" s="28" t="s">
        <v>50</v>
      </c>
      <c r="D82" s="28"/>
      <c r="E82" s="48" t="s">
        <v>1362</v>
      </c>
      <c r="F82" s="118"/>
      <c r="G82" s="66"/>
      <c r="H82" s="88">
        <v>30000.0</v>
      </c>
      <c r="I82" s="88">
        <f t="shared" si="1"/>
        <v>35700</v>
      </c>
      <c r="J82" s="30"/>
      <c r="K82" s="104"/>
      <c r="L82" s="28"/>
      <c r="M82" s="26" t="s">
        <v>1551</v>
      </c>
      <c r="N82" s="26" t="s">
        <v>1552</v>
      </c>
      <c r="O82" s="28" t="s">
        <v>1553</v>
      </c>
      <c r="P82" s="28" t="s">
        <v>1554</v>
      </c>
      <c r="Q82" s="120" t="s">
        <v>1555</v>
      </c>
      <c r="R82" s="47"/>
      <c r="S82" s="47"/>
      <c r="T82" s="47"/>
      <c r="U82" s="47"/>
      <c r="V82" s="30" t="s">
        <v>811</v>
      </c>
      <c r="W82" s="30" t="s">
        <v>1364</v>
      </c>
      <c r="X82" s="131"/>
      <c r="Y82" s="48" t="s">
        <v>50</v>
      </c>
      <c r="Z82" s="28" t="s">
        <v>1556</v>
      </c>
      <c r="AA82" s="28" t="s">
        <v>1552</v>
      </c>
      <c r="AB82" s="106"/>
      <c r="AC82" s="66"/>
      <c r="AD82" s="66"/>
      <c r="AE82" s="81"/>
      <c r="AF82" s="121" t="str">
        <f>IFERROR(__xludf.DUMMYFUNCTION("HYPERLINK(
""https://wa.me/""&amp;REGEXREPLACE(Q82,""[^0-9]"","""")&amp;
""?text=""&amp;
ENCODEURL(
""Buenas tardes *""&amp;B82&amp;""*.
Te recordamos que tu plan *""""""&amp;E82&amp;""""""* *no incluye* la declaración de renta. Te enviamos varios correos informando sobre este proc"&amp;"eso. Esta semana vencen las primeras declaraciones juradas, lo que generará multas
Valor: *$""&amp;AG82&amp;""* + IVA = *$""&amp;AH82&amp;""*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82" s="123">
        <v>187500.0</v>
      </c>
      <c r="AH82" s="123">
        <v>223125.0</v>
      </c>
      <c r="AI82" s="123"/>
      <c r="AJ82" s="123"/>
      <c r="AK82" s="123"/>
    </row>
    <row r="83">
      <c r="A83" s="126" t="s">
        <v>1542</v>
      </c>
      <c r="B83" s="25" t="s">
        <v>184</v>
      </c>
      <c r="C83" s="30" t="s">
        <v>38</v>
      </c>
      <c r="D83" s="30" t="s">
        <v>38</v>
      </c>
      <c r="E83" s="48" t="s">
        <v>1362</v>
      </c>
      <c r="F83" s="118"/>
      <c r="G83" s="66"/>
      <c r="H83" s="124">
        <v>30000.0</v>
      </c>
      <c r="I83" s="88">
        <f t="shared" si="1"/>
        <v>35700</v>
      </c>
      <c r="J83" s="30"/>
      <c r="K83" s="97">
        <v>95200.0</v>
      </c>
      <c r="L83" s="66"/>
      <c r="M83" s="26" t="s">
        <v>185</v>
      </c>
      <c r="N83" s="26" t="s">
        <v>186</v>
      </c>
      <c r="O83" s="28" t="s">
        <v>1096</v>
      </c>
      <c r="P83" s="28" t="s">
        <v>1097</v>
      </c>
      <c r="Q83" s="139" t="s">
        <v>1557</v>
      </c>
      <c r="R83" s="29"/>
      <c r="S83" s="29"/>
      <c r="T83" s="29"/>
      <c r="U83" s="29"/>
      <c r="V83" s="30" t="s">
        <v>811</v>
      </c>
      <c r="W83" s="30" t="s">
        <v>1364</v>
      </c>
      <c r="X83" s="141">
        <v>46083.0</v>
      </c>
      <c r="Y83" s="48" t="s">
        <v>50</v>
      </c>
      <c r="Z83" s="30" t="s">
        <v>1099</v>
      </c>
      <c r="AA83" s="28" t="s">
        <v>1098</v>
      </c>
      <c r="AB83" s="106"/>
      <c r="AC83" s="66"/>
      <c r="AD83" s="66"/>
      <c r="AE83" s="81"/>
      <c r="AF83" s="121" t="str">
        <f>IFERROR(__xludf.DUMMYFUNCTION("HYPERLINK(
""https://wa.me/""&amp;REGEXREPLACE(Q83,""[^0-9]"","""")&amp;
""?text=""&amp;
ENCODEURL(
""Hola *""&amp;B83&amp;""*.
Te recordamos que la factura Nº *""&amp;J83&amp;""* por el plan """"""&amp;E83&amp;"""""" se encuentra disponible para pago y vence hoy.
Monto: *$""&amp;I83&amp;""*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83" s="81"/>
      <c r="AH83" s="81">
        <f>AG83*1.19</f>
        <v>0</v>
      </c>
      <c r="AI83" s="81"/>
      <c r="AJ83" s="81"/>
      <c r="AK83" s="81"/>
    </row>
    <row r="84" hidden="1">
      <c r="A84" s="126" t="s">
        <v>1542</v>
      </c>
      <c r="B84" s="25" t="s">
        <v>1100</v>
      </c>
      <c r="C84" s="66"/>
      <c r="D84" s="66"/>
      <c r="E84" s="48" t="s">
        <v>1380</v>
      </c>
      <c r="F84" s="118"/>
      <c r="G84" s="66"/>
      <c r="H84" s="88" t="s">
        <v>1381</v>
      </c>
      <c r="I84" s="88">
        <f t="shared" si="1"/>
        <v>0</v>
      </c>
      <c r="J84" s="135" t="s">
        <v>1438</v>
      </c>
      <c r="K84" s="104"/>
      <c r="L84" s="66"/>
      <c r="M84" s="26" t="s">
        <v>1101</v>
      </c>
      <c r="N84" s="26" t="s">
        <v>1102</v>
      </c>
      <c r="O84" s="28" t="s">
        <v>1103</v>
      </c>
      <c r="P84" s="28">
        <v>2.76641999E8</v>
      </c>
      <c r="Q84" s="120" t="s">
        <v>1558</v>
      </c>
      <c r="R84" s="29"/>
      <c r="S84" s="29"/>
      <c r="T84" s="29"/>
      <c r="U84" s="29"/>
      <c r="V84" s="30" t="s">
        <v>811</v>
      </c>
      <c r="W84" s="48" t="s">
        <v>1380</v>
      </c>
      <c r="X84" s="66"/>
      <c r="Y84" s="48" t="s">
        <v>50</v>
      </c>
      <c r="Z84" s="28" t="s">
        <v>1105</v>
      </c>
      <c r="AA84" s="28" t="s">
        <v>1104</v>
      </c>
      <c r="AB84" s="106"/>
      <c r="AC84" s="66"/>
      <c r="AD84" s="66"/>
      <c r="AE84" s="81"/>
      <c r="AF84" s="121" t="str">
        <f>IFERROR(__xludf.DUMMYFUNCTION("HYPERLINK(
""https://wa.me/""&amp;REGEXREPLACE(Q84,""[^0-9]"","""")&amp;
""?text=""&amp;
ENCODEURL(
""Hola *""&amp;B84&amp;""*.
Te recordamos que la factura Nº *""&amp;J84&amp;""* por el plan """"""&amp;E84&amp;"""""" se encuentra disponible para pago y vence hoy.
Monto: *$""&amp;I84&amp;""*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*$""&amp;AG84&amp;""*
Valor total febrero (con IVA): *$""&amp;AH84&amp;""*
A partir de mañana el valor aument"&amp;"a un 25%, correspondiente al valor de diciembre.
Simple Pyme""
),
""Enviar WhatsApp""
)"),"Enviar WhatsApp")</f>
        <v>Enviar WhatsApp</v>
      </c>
      <c r="AG84" s="81"/>
      <c r="AH84" s="81"/>
      <c r="AI84" s="81"/>
      <c r="AJ84" s="81"/>
      <c r="AK84" s="81"/>
    </row>
    <row r="85">
      <c r="A85" s="79" t="s">
        <v>1542</v>
      </c>
      <c r="B85" s="25" t="s">
        <v>1106</v>
      </c>
      <c r="C85" s="30" t="s">
        <v>38</v>
      </c>
      <c r="D85" s="30" t="s">
        <v>38</v>
      </c>
      <c r="E85" s="28" t="s">
        <v>1362</v>
      </c>
      <c r="F85" s="118"/>
      <c r="G85" s="28">
        <v>1.0</v>
      </c>
      <c r="H85" s="88">
        <v>40000.0</v>
      </c>
      <c r="I85" s="88">
        <f t="shared" si="1"/>
        <v>47600</v>
      </c>
      <c r="J85" s="129"/>
      <c r="K85" s="104"/>
      <c r="L85" s="28"/>
      <c r="M85" s="26" t="s">
        <v>387</v>
      </c>
      <c r="N85" s="62" t="s">
        <v>388</v>
      </c>
      <c r="O85" s="28" t="s">
        <v>385</v>
      </c>
      <c r="P85" s="28" t="s">
        <v>1107</v>
      </c>
      <c r="Q85" s="120">
        <v>9.36563637E8</v>
      </c>
      <c r="R85" s="29"/>
      <c r="S85" s="29"/>
      <c r="T85" s="29"/>
      <c r="U85" s="29"/>
      <c r="V85" s="30" t="s">
        <v>811</v>
      </c>
      <c r="W85" s="30" t="s">
        <v>1364</v>
      </c>
      <c r="X85" s="136"/>
      <c r="Y85" s="28" t="s">
        <v>38</v>
      </c>
      <c r="Z85" s="28" t="s">
        <v>1109</v>
      </c>
      <c r="AA85" s="28" t="s">
        <v>1108</v>
      </c>
      <c r="AB85" s="66"/>
      <c r="AC85" s="66"/>
      <c r="AD85" s="66"/>
      <c r="AE85" s="81"/>
      <c r="AF85" s="81" t="str">
        <f>IFERROR(__xludf.DUMMYFUNCTION("HYPERLINK(
""https://wa.me/""&amp;REGEXREPLACE(Q85,""[^0-9]"","""")&amp;
""?text=""&amp;
ENCODEURL(
""Hola *""&amp;B85&amp;""*.
Te recordamos que la factura Nº *""&amp;J85&amp;""* por el plan """"""&amp;E85&amp;"""""" se encuentra disponible para pago y vence hoy.
Monto: *$""&amp;I85&amp;""*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*$""&amp;AG85&amp;""*
Valor total febrero (con IVA): *$""&amp;AH85&amp;""*
A partir de mañana el valor aument"&amp;"a un 25%, correspondiente al valor de diciembre.
Simple Pyme""
),
""Enviar WhatsApp""
)"),"Enviar WhatsApp")</f>
        <v>Enviar WhatsApp</v>
      </c>
      <c r="AG85" s="81"/>
      <c r="AH85" s="81"/>
      <c r="AI85" s="81"/>
      <c r="AJ85" s="81"/>
      <c r="AK85" s="81"/>
    </row>
    <row r="86">
      <c r="A86" s="126" t="s">
        <v>1542</v>
      </c>
      <c r="B86" s="25" t="s">
        <v>1110</v>
      </c>
      <c r="C86" s="30" t="s">
        <v>38</v>
      </c>
      <c r="D86" s="30" t="s">
        <v>38</v>
      </c>
      <c r="E86" s="48" t="s">
        <v>1416</v>
      </c>
      <c r="F86" s="118"/>
      <c r="G86" s="66"/>
      <c r="H86" s="88">
        <v>10000.0</v>
      </c>
      <c r="I86" s="88">
        <f t="shared" si="1"/>
        <v>11900</v>
      </c>
      <c r="J86" s="30"/>
      <c r="K86" s="97">
        <v>59500.0</v>
      </c>
      <c r="L86" s="66"/>
      <c r="M86" s="26" t="s">
        <v>1111</v>
      </c>
      <c r="N86" s="26" t="s">
        <v>283</v>
      </c>
      <c r="O86" s="28" t="s">
        <v>280</v>
      </c>
      <c r="P86" s="28" t="s">
        <v>284</v>
      </c>
      <c r="Q86" s="120">
        <v>9.59527618E8</v>
      </c>
      <c r="R86" s="63"/>
      <c r="S86" s="63"/>
      <c r="T86" s="63"/>
      <c r="U86" s="63"/>
      <c r="V86" s="30" t="s">
        <v>811</v>
      </c>
      <c r="W86" s="30" t="s">
        <v>1364</v>
      </c>
      <c r="X86" s="132">
        <v>46083.0</v>
      </c>
      <c r="Y86" s="48" t="s">
        <v>50</v>
      </c>
      <c r="Z86" s="28" t="s">
        <v>1112</v>
      </c>
      <c r="AA86" s="28" t="s">
        <v>285</v>
      </c>
      <c r="AB86" s="106"/>
      <c r="AC86" s="66"/>
      <c r="AD86" s="66"/>
      <c r="AE86" s="81"/>
      <c r="AF86" s="81" t="str">
        <f>IFERROR(__xludf.DUMMYFUNCTION("HYPERLINK(
""https://wa.me/""&amp;REGEXREPLACE(Q86,""[^0-9]"","""")&amp;
""?text=""&amp;
ENCODEURL(
""Hola *""&amp;B86&amp;""*.
Te recordamos que la factura Nº *""&amp;J86&amp;""* por el plan """"""&amp;E86&amp;"""""" se encuentra disponible para pago y vence hoy.
Monto: *$""&amp;I86&amp;""*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*$""&amp;AG86&amp;""*
Valor total febrero (con IVA): *$""&amp;AH86&amp;""*
A partir de mañana el valor aument"&amp;"a un 25%, correspondiente al valor de diciembre.
Simple Pyme""
),
""Enviar WhatsApp""
)"),"Enviar WhatsApp")</f>
        <v>Enviar WhatsApp</v>
      </c>
      <c r="AG86" s="81"/>
      <c r="AH86" s="81"/>
      <c r="AI86" s="81"/>
      <c r="AJ86" s="81"/>
      <c r="AK86" s="81"/>
    </row>
    <row r="87">
      <c r="A87" s="126" t="s">
        <v>1542</v>
      </c>
      <c r="B87" s="25" t="s">
        <v>1113</v>
      </c>
      <c r="C87" s="30" t="s">
        <v>38</v>
      </c>
      <c r="D87" s="30" t="s">
        <v>38</v>
      </c>
      <c r="E87" s="48" t="s">
        <v>1416</v>
      </c>
      <c r="F87" s="118"/>
      <c r="G87" s="66"/>
      <c r="H87" s="88">
        <v>10000.0</v>
      </c>
      <c r="I87" s="88">
        <f t="shared" si="1"/>
        <v>11900</v>
      </c>
      <c r="J87" s="30"/>
      <c r="K87" s="97">
        <v>92969.0</v>
      </c>
      <c r="L87" s="66"/>
      <c r="M87" s="26" t="s">
        <v>511</v>
      </c>
      <c r="N87" s="26" t="s">
        <v>512</v>
      </c>
      <c r="O87" s="28" t="s">
        <v>1114</v>
      </c>
      <c r="P87" s="28" t="s">
        <v>1115</v>
      </c>
      <c r="Q87" s="120" t="s">
        <v>1559</v>
      </c>
      <c r="R87" s="29"/>
      <c r="S87" s="29"/>
      <c r="T87" s="29"/>
      <c r="U87" s="29"/>
      <c r="V87" s="30" t="s">
        <v>811</v>
      </c>
      <c r="W87" s="30" t="s">
        <v>1364</v>
      </c>
      <c r="X87" s="127"/>
      <c r="Y87" s="48" t="s">
        <v>50</v>
      </c>
      <c r="Z87" s="28" t="s">
        <v>1116</v>
      </c>
      <c r="AA87" s="28" t="s">
        <v>512</v>
      </c>
      <c r="AB87" s="106"/>
      <c r="AC87" s="66"/>
      <c r="AD87" s="66"/>
      <c r="AE87" s="81"/>
      <c r="AF87" s="121" t="str">
        <f>IFERROR(__xludf.DUMMYFUNCTION("HYPERLINK(
""https://wa.me/""&amp;REGEXREPLACE(Q87,""[^0-9]"","""")&amp;
""?text=""&amp;
ENCODEURL(
""Buenas tardes *""&amp;B87&amp;""*.
Te recordamos que tu plan """"""&amp;E87&amp;"""""" no incluye la declaración de renta. Te enviamos varios correos informando sobre este proceso."&amp;" Esta semana vencen las primeras declaraciones juradas, lo que generará multas
Valor: *$""&amp;AG87&amp;""* + IVA = *$""&amp;AH87&amp;""*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87" s="123">
        <v>78125.0</v>
      </c>
      <c r="AH87" s="123">
        <f t="shared" ref="AH87:AH95" si="9">AG87*1.19</f>
        <v>92968.75</v>
      </c>
      <c r="AI87" s="81"/>
      <c r="AJ87" s="81"/>
      <c r="AK87" s="81"/>
    </row>
    <row r="88">
      <c r="A88" s="126" t="s">
        <v>1542</v>
      </c>
      <c r="B88" s="25" t="s">
        <v>1117</v>
      </c>
      <c r="C88" s="30" t="s">
        <v>38</v>
      </c>
      <c r="D88" s="30" t="s">
        <v>38</v>
      </c>
      <c r="E88" s="48" t="s">
        <v>1372</v>
      </c>
      <c r="F88" s="135">
        <v>2.0</v>
      </c>
      <c r="G88" s="28">
        <v>16.0</v>
      </c>
      <c r="H88" s="88">
        <f>(60500+14*5000)</f>
        <v>130500</v>
      </c>
      <c r="I88" s="88">
        <f t="shared" si="1"/>
        <v>155295</v>
      </c>
      <c r="J88" s="30"/>
      <c r="K88" s="97">
        <v>119000.0</v>
      </c>
      <c r="L88" s="28"/>
      <c r="M88" s="26" t="s">
        <v>411</v>
      </c>
      <c r="N88" s="26" t="s">
        <v>412</v>
      </c>
      <c r="O88" s="25" t="s">
        <v>1118</v>
      </c>
      <c r="P88" s="28" t="s">
        <v>1119</v>
      </c>
      <c r="Q88" s="30" t="s">
        <v>1560</v>
      </c>
      <c r="R88" s="158">
        <v>46091.0</v>
      </c>
      <c r="S88" s="47"/>
      <c r="T88" s="47"/>
      <c r="U88" s="47"/>
      <c r="V88" s="30" t="s">
        <v>811</v>
      </c>
      <c r="W88" s="30" t="s">
        <v>1364</v>
      </c>
      <c r="X88" s="127"/>
      <c r="Y88" s="48" t="s">
        <v>50</v>
      </c>
      <c r="Z88" s="28" t="s">
        <v>1121</v>
      </c>
      <c r="AA88" s="28" t="s">
        <v>1120</v>
      </c>
      <c r="AB88" s="106"/>
      <c r="AC88" s="66"/>
      <c r="AD88" s="66"/>
      <c r="AE88" s="81"/>
      <c r="AF88" s="121" t="str">
        <f>IFERROR(__xludf.DUMMYFUNCTION("HYPERLINK(
""https://wa.me/""&amp;REGEXREPLACE(Q88,""[^0-9]"","""")&amp;
""?text=""&amp;
ENCODEURL(
""Hola *""&amp;B88&amp;""*.
Te recordamos que la factura Nº *""&amp;J88&amp;""* por el plan """"""&amp;E88&amp;"""""" se encuentra disponible para pago y vence hoy.
Monto: *$""&amp;I88&amp;""*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88" s="81"/>
      <c r="AH88" s="81">
        <f t="shared" si="9"/>
        <v>0</v>
      </c>
      <c r="AI88" s="81"/>
      <c r="AJ88" s="81"/>
      <c r="AK88" s="81"/>
    </row>
    <row r="89">
      <c r="A89" s="126" t="s">
        <v>1542</v>
      </c>
      <c r="B89" s="64" t="s">
        <v>1122</v>
      </c>
      <c r="C89" s="30" t="s">
        <v>38</v>
      </c>
      <c r="D89" s="30" t="s">
        <v>38</v>
      </c>
      <c r="E89" s="48" t="s">
        <v>1372</v>
      </c>
      <c r="F89" s="118"/>
      <c r="G89" s="28">
        <v>1.0</v>
      </c>
      <c r="H89" s="124">
        <v>50000.0</v>
      </c>
      <c r="I89" s="88">
        <f t="shared" si="1"/>
        <v>59500</v>
      </c>
      <c r="J89" s="30"/>
      <c r="K89" s="88">
        <v>119000.0</v>
      </c>
      <c r="L89" s="66"/>
      <c r="M89" s="26" t="s">
        <v>1123</v>
      </c>
      <c r="N89" s="26" t="s">
        <v>119</v>
      </c>
      <c r="O89" s="25" t="s">
        <v>123</v>
      </c>
      <c r="P89" s="28" t="s">
        <v>1124</v>
      </c>
      <c r="Q89" s="28" t="s">
        <v>1561</v>
      </c>
      <c r="R89" s="29"/>
      <c r="S89" s="29"/>
      <c r="T89" s="29"/>
      <c r="U89" s="29"/>
      <c r="V89" s="30" t="s">
        <v>811</v>
      </c>
      <c r="W89" s="30" t="s">
        <v>1364</v>
      </c>
      <c r="X89" s="132">
        <v>46088.0</v>
      </c>
      <c r="Y89" s="48" t="s">
        <v>50</v>
      </c>
      <c r="Z89" s="28" t="s">
        <v>1126</v>
      </c>
      <c r="AA89" s="28" t="s">
        <v>1125</v>
      </c>
      <c r="AB89" s="106"/>
      <c r="AC89" s="66"/>
      <c r="AD89" s="66"/>
      <c r="AE89" s="81"/>
      <c r="AF89" s="121" t="str">
        <f>IFERROR(__xludf.DUMMYFUNCTION("HYPERLINK(
""https://wa.me/""&amp;REGEXREPLACE(Q89,""[^0-9]"","""")&amp;
""?text=""&amp;
ENCODEURL(
""Hola *""&amp;B89&amp;""*.
Te recordamos que la factura Nº *""&amp;J89&amp;""* por el plan """"""&amp;E89&amp;"""""" se encuentra disponible para pago y vence hoy.
Monto: *$""&amp;I89&amp;""*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89" s="81"/>
      <c r="AH89" s="81">
        <f t="shared" si="9"/>
        <v>0</v>
      </c>
      <c r="AI89" s="81"/>
      <c r="AJ89" s="81"/>
      <c r="AK89" s="81"/>
    </row>
    <row r="90">
      <c r="A90" s="126" t="s">
        <v>1542</v>
      </c>
      <c r="B90" s="25" t="s">
        <v>1127</v>
      </c>
      <c r="C90" s="30" t="s">
        <v>38</v>
      </c>
      <c r="D90" s="30" t="s">
        <v>38</v>
      </c>
      <c r="E90" s="48" t="s">
        <v>1362</v>
      </c>
      <c r="F90" s="118"/>
      <c r="G90" s="66"/>
      <c r="H90" s="88">
        <v>30000.0</v>
      </c>
      <c r="I90" s="88">
        <f t="shared" si="1"/>
        <v>35700</v>
      </c>
      <c r="J90" s="30"/>
      <c r="K90" s="104"/>
      <c r="L90" s="66"/>
      <c r="M90" s="26" t="s">
        <v>642</v>
      </c>
      <c r="N90" s="26" t="s">
        <v>643</v>
      </c>
      <c r="O90" s="28" t="s">
        <v>1128</v>
      </c>
      <c r="P90" s="28" t="s">
        <v>1129</v>
      </c>
      <c r="Q90" s="28" t="s">
        <v>1562</v>
      </c>
      <c r="R90" s="29"/>
      <c r="S90" s="29"/>
      <c r="T90" s="29"/>
      <c r="U90" s="29"/>
      <c r="V90" s="30" t="s">
        <v>811</v>
      </c>
      <c r="W90" s="30" t="s">
        <v>1364</v>
      </c>
      <c r="X90" s="66"/>
      <c r="Y90" s="48" t="s">
        <v>50</v>
      </c>
      <c r="Z90" s="28" t="s">
        <v>1131</v>
      </c>
      <c r="AA90" s="28" t="s">
        <v>1130</v>
      </c>
      <c r="AB90" s="106"/>
      <c r="AC90" s="66"/>
      <c r="AD90" s="66"/>
      <c r="AE90" s="81"/>
      <c r="AF90" s="121" t="str">
        <f>IFERROR(__xludf.DUMMYFUNCTION("HYPERLINK(
""https://wa.me/""&amp;REGEXREPLACE(Q90,""[^0-9]"","""")&amp;
""?text=""&amp;
ENCODEURL(
""Buenas tardes *""&amp;B90&amp;""*.
Te recordamos que la factura """"""&amp;J90&amp;"""""" de tu plan """"""&amp;E90&amp;"""""" se encuentre impaga a la fecha, lo que implica que tu servici"&amp;"o se encuentra suspendido. Para reactivar el servicio y que hagamos la declaración mensual debes realizar el pago lo antes posible.
Valor: *$""&amp;H90&amp;""* + IVA = *$""&amp;I90&amp;""*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90" s="81"/>
      <c r="AH90" s="81">
        <f t="shared" si="9"/>
        <v>0</v>
      </c>
      <c r="AI90" s="81"/>
      <c r="AJ90" s="81"/>
      <c r="AK90" s="81"/>
    </row>
    <row r="91">
      <c r="A91" s="79" t="s">
        <v>1542</v>
      </c>
      <c r="B91" s="25" t="s">
        <v>1132</v>
      </c>
      <c r="C91" s="30" t="s">
        <v>38</v>
      </c>
      <c r="D91" s="30" t="s">
        <v>38</v>
      </c>
      <c r="E91" s="28" t="s">
        <v>1416</v>
      </c>
      <c r="F91" s="118"/>
      <c r="G91" s="66"/>
      <c r="H91" s="88">
        <v>10000.0</v>
      </c>
      <c r="I91" s="88">
        <f t="shared" si="1"/>
        <v>11900</v>
      </c>
      <c r="J91" s="30"/>
      <c r="K91" s="104"/>
      <c r="L91" s="66"/>
      <c r="M91" s="26" t="s">
        <v>619</v>
      </c>
      <c r="N91" s="26" t="s">
        <v>1133</v>
      </c>
      <c r="O91" s="52" t="s">
        <v>1563</v>
      </c>
      <c r="P91" s="28" t="s">
        <v>1135</v>
      </c>
      <c r="Q91" s="120" t="s">
        <v>1564</v>
      </c>
      <c r="R91" s="29">
        <v>0.0</v>
      </c>
      <c r="S91" s="29"/>
      <c r="T91" s="29"/>
      <c r="U91" s="29"/>
      <c r="V91" s="30" t="s">
        <v>811</v>
      </c>
      <c r="W91" s="30" t="s">
        <v>1364</v>
      </c>
      <c r="X91" s="130"/>
      <c r="Y91" s="28" t="s">
        <v>50</v>
      </c>
      <c r="Z91" s="28" t="s">
        <v>1137</v>
      </c>
      <c r="AA91" s="28" t="s">
        <v>1136</v>
      </c>
      <c r="AB91" s="66"/>
      <c r="AC91" s="66"/>
      <c r="AD91" s="66"/>
      <c r="AE91" s="81"/>
      <c r="AF91" s="121" t="str">
        <f>IFERROR(__xludf.DUMMYFUNCTION("HYPERLINK(
""https://wa.me/""&amp;REGEXREPLACE(Q91,""[^0-9]"","""")&amp;
""?text=""&amp;
ENCODEURL(
""Buenas tardes *""&amp;B91&amp;""*.
Te recordamos que tu plan """"""&amp;E91&amp;"""""" no incluye la declaración de renta. Te enviamos varios correos informando sobre este proceso."&amp;" Esta semana vencen las primeras declaraciones juradas, lo que generará multas
Valor: *$""&amp;AG91&amp;""* + IVA = *$""&amp;AH91&amp;""*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91" s="123">
        <f>78125+100000</f>
        <v>178125</v>
      </c>
      <c r="AH91" s="123">
        <f t="shared" si="9"/>
        <v>211968.75</v>
      </c>
      <c r="AI91" s="81"/>
      <c r="AJ91" s="81"/>
      <c r="AK91" s="81"/>
    </row>
    <row r="92">
      <c r="A92" s="126" t="s">
        <v>1542</v>
      </c>
      <c r="B92" s="25" t="s">
        <v>1138</v>
      </c>
      <c r="C92" s="30" t="s">
        <v>38</v>
      </c>
      <c r="D92" s="30" t="s">
        <v>38</v>
      </c>
      <c r="E92" s="70" t="s">
        <v>1413</v>
      </c>
      <c r="F92" s="118"/>
      <c r="G92" s="28" t="s">
        <v>1565</v>
      </c>
      <c r="H92" s="124">
        <v>0.0</v>
      </c>
      <c r="I92" s="88">
        <f t="shared" si="1"/>
        <v>0</v>
      </c>
      <c r="J92" s="30" t="s">
        <v>1566</v>
      </c>
      <c r="K92" s="104"/>
      <c r="L92" s="30" t="s">
        <v>1567</v>
      </c>
      <c r="M92" s="26">
        <v>7.81483168E8</v>
      </c>
      <c r="N92" s="26" t="s">
        <v>654</v>
      </c>
      <c r="O92" s="65" t="s">
        <v>1143</v>
      </c>
      <c r="P92" s="28" t="s">
        <v>1140</v>
      </c>
      <c r="Q92" s="30" t="s">
        <v>1568</v>
      </c>
      <c r="R92" s="29"/>
      <c r="S92" s="29"/>
      <c r="T92" s="29"/>
      <c r="U92" s="29"/>
      <c r="V92" s="30" t="s">
        <v>811</v>
      </c>
      <c r="W92" s="30" t="s">
        <v>1364</v>
      </c>
      <c r="X92" s="125"/>
      <c r="Y92" s="48" t="s">
        <v>50</v>
      </c>
      <c r="Z92" s="28" t="s">
        <v>1142</v>
      </c>
      <c r="AA92" s="28" t="s">
        <v>1141</v>
      </c>
      <c r="AB92" s="106"/>
      <c r="AC92" s="66"/>
      <c r="AD92" s="66"/>
      <c r="AE92" s="81"/>
      <c r="AF92" s="121" t="str">
        <f>IFERROR(__xludf.DUMMYFUNCTION("HYPERLINK(
""https://wa.me/""&amp;REGEXREPLACE(Q92,""[^0-9]"","""")&amp;
""?text=""&amp;
ENCODEURL(
""Hola *""&amp;B92&amp;""*.
Te recordamos que la factura Nº *""&amp;J92&amp;""* por el plan """"""&amp;E92&amp;"""""" se encuentra disponible para pago y vence hoy.
Monto: *$""&amp;I92&amp;""*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92" s="81"/>
      <c r="AH92" s="81">
        <f t="shared" si="9"/>
        <v>0</v>
      </c>
      <c r="AI92" s="81"/>
      <c r="AJ92" s="81"/>
      <c r="AK92" s="81"/>
    </row>
    <row r="93">
      <c r="A93" s="126" t="s">
        <v>1542</v>
      </c>
      <c r="B93" s="25" t="s">
        <v>645</v>
      </c>
      <c r="C93" s="30" t="s">
        <v>38</v>
      </c>
      <c r="D93" s="30" t="s">
        <v>38</v>
      </c>
      <c r="E93" s="48" t="s">
        <v>1413</v>
      </c>
      <c r="F93" s="118"/>
      <c r="G93" s="28">
        <v>2.0</v>
      </c>
      <c r="H93" s="124">
        <v>150000.0</v>
      </c>
      <c r="I93" s="88">
        <f t="shared" si="1"/>
        <v>178500</v>
      </c>
      <c r="J93" s="30"/>
      <c r="K93" s="104"/>
      <c r="L93" s="66"/>
      <c r="M93" s="26" t="s">
        <v>646</v>
      </c>
      <c r="N93" s="26" t="s">
        <v>647</v>
      </c>
      <c r="O93" s="28" t="s">
        <v>1143</v>
      </c>
      <c r="P93" s="28" t="s">
        <v>1140</v>
      </c>
      <c r="Q93" s="30" t="s">
        <v>1568</v>
      </c>
      <c r="R93" s="29">
        <v>830361.0</v>
      </c>
      <c r="S93" s="29"/>
      <c r="T93" s="29"/>
      <c r="U93" s="29"/>
      <c r="V93" s="30" t="s">
        <v>811</v>
      </c>
      <c r="W93" s="30" t="s">
        <v>1364</v>
      </c>
      <c r="X93" s="132">
        <v>46094.0</v>
      </c>
      <c r="Y93" s="48" t="s">
        <v>38</v>
      </c>
      <c r="Z93" s="66"/>
      <c r="AA93" s="66"/>
      <c r="AB93" s="48" t="s">
        <v>811</v>
      </c>
      <c r="AC93" s="66"/>
      <c r="AD93" s="137"/>
      <c r="AE93" s="81"/>
      <c r="AF93" s="121" t="str">
        <f>IFERROR(__xludf.DUMMYFUNCTION("HYPERLINK(
""https://wa.me/""&amp;REGEXREPLACE(Q93,""[^0-9]"","""")&amp;
""?text=""&amp;
ENCODEURL(
""Hola *""&amp;B93&amp;""*.
Te recordamos que la factura Nº *""&amp;J93&amp;""* por el plan """"""&amp;E93&amp;"""""" se encuentra disponible para pago y vence hoy.
Monto: *$""&amp;I93&amp;""*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93" s="81"/>
      <c r="AH93" s="81">
        <f t="shared" si="9"/>
        <v>0</v>
      </c>
      <c r="AI93" s="81"/>
      <c r="AJ93" s="81"/>
      <c r="AK93" s="81"/>
    </row>
    <row r="94">
      <c r="A94" s="126" t="s">
        <v>1542</v>
      </c>
      <c r="B94" s="25" t="s">
        <v>575</v>
      </c>
      <c r="C94" s="30" t="s">
        <v>38</v>
      </c>
      <c r="D94" s="30" t="s">
        <v>38</v>
      </c>
      <c r="E94" s="48" t="s">
        <v>1362</v>
      </c>
      <c r="F94" s="118"/>
      <c r="G94" s="66"/>
      <c r="H94" s="124">
        <v>30000.0</v>
      </c>
      <c r="I94" s="88">
        <f t="shared" si="1"/>
        <v>35700</v>
      </c>
      <c r="J94" s="30"/>
      <c r="K94" s="97">
        <v>69727.0</v>
      </c>
      <c r="L94" s="66"/>
      <c r="M94" s="26" t="s">
        <v>576</v>
      </c>
      <c r="N94" s="26" t="s">
        <v>577</v>
      </c>
      <c r="O94" s="28" t="s">
        <v>1144</v>
      </c>
      <c r="P94" s="28" t="s">
        <v>1145</v>
      </c>
      <c r="Q94" s="143" t="s">
        <v>1569</v>
      </c>
      <c r="R94" s="29"/>
      <c r="S94" s="29"/>
      <c r="T94" s="29"/>
      <c r="U94" s="29"/>
      <c r="V94" s="30" t="s">
        <v>811</v>
      </c>
      <c r="W94" s="30" t="s">
        <v>1364</v>
      </c>
      <c r="X94" s="141">
        <v>46083.0</v>
      </c>
      <c r="Y94" s="48" t="s">
        <v>50</v>
      </c>
      <c r="Z94" s="28" t="s">
        <v>1147</v>
      </c>
      <c r="AA94" s="28" t="s">
        <v>1146</v>
      </c>
      <c r="AB94" s="106"/>
      <c r="AC94" s="66"/>
      <c r="AD94" s="66"/>
      <c r="AE94" s="81"/>
      <c r="AF94" s="121" t="str">
        <f>IFERROR(__xludf.DUMMYFUNCTION("HYPERLINK(
""https://wa.me/""&amp;REGEXREPLACE(Q94,""[^0-9]"","""")&amp;
""?text=""&amp;
ENCODEURL(
""Buenas tardes *""&amp;B94&amp;""*.
Te recordamos que tu plan """"""&amp;E94&amp;"""""" no incluye la declaración de renta. Te enviamos varios correos informando sobre este proceso."&amp;" Esta semana vencen las primeras declaraciones juradas, lo que generará multas
Valor: *$""&amp;AG94&amp;""* + IVA = *$""&amp;AH94&amp;""*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94" s="122">
        <v>117188.0</v>
      </c>
      <c r="AH94" s="123">
        <f t="shared" si="9"/>
        <v>139453.72</v>
      </c>
      <c r="AI94" s="81"/>
      <c r="AJ94" s="81"/>
      <c r="AK94" s="81"/>
    </row>
    <row r="95">
      <c r="A95" s="126" t="s">
        <v>1542</v>
      </c>
      <c r="B95" s="25" t="s">
        <v>146</v>
      </c>
      <c r="C95" s="30" t="s">
        <v>38</v>
      </c>
      <c r="D95" s="30" t="s">
        <v>38</v>
      </c>
      <c r="E95" s="48" t="s">
        <v>1362</v>
      </c>
      <c r="F95" s="118"/>
      <c r="G95" s="66"/>
      <c r="H95" s="88">
        <v>30000.0</v>
      </c>
      <c r="I95" s="88">
        <f t="shared" si="1"/>
        <v>35700</v>
      </c>
      <c r="J95" s="30"/>
      <c r="K95" s="97">
        <v>95200.0</v>
      </c>
      <c r="L95" s="66"/>
      <c r="M95" s="67" t="s">
        <v>147</v>
      </c>
      <c r="N95" s="26" t="s">
        <v>148</v>
      </c>
      <c r="O95" s="28" t="s">
        <v>1148</v>
      </c>
      <c r="P95" s="28" t="s">
        <v>1149</v>
      </c>
      <c r="Q95" s="30" t="s">
        <v>1570</v>
      </c>
      <c r="R95" s="29"/>
      <c r="S95" s="29"/>
      <c r="T95" s="29"/>
      <c r="U95" s="29"/>
      <c r="V95" s="30" t="s">
        <v>811</v>
      </c>
      <c r="W95" s="30" t="s">
        <v>1364</v>
      </c>
      <c r="X95" s="127"/>
      <c r="Y95" s="48" t="s">
        <v>50</v>
      </c>
      <c r="Z95" s="28" t="s">
        <v>1151</v>
      </c>
      <c r="AA95" s="28" t="s">
        <v>1150</v>
      </c>
      <c r="AB95" s="106"/>
      <c r="AC95" s="66"/>
      <c r="AD95" s="66"/>
      <c r="AE95" s="81"/>
      <c r="AF95" s="121" t="str">
        <f>IFERROR(__xludf.DUMMYFUNCTION("HYPERLINK(
""https://wa.me/""&amp;REGEXREPLACE(Q95,""[^0-9]"","""")&amp;
""?text=""&amp;
ENCODEURL(
""Buenas tardes *""&amp;B95&amp;""*.
Te recordamos que la factura """"""&amp;J95&amp;"""""" de tu plan """"""&amp;E95&amp;"""""" se encuentre impaga a la fecha, lo que implica que tu servici"&amp;"o se encuentra suspendido. Para reactivar el servicio y que hagamos la declaración mensual debes realizar el pago lo antes posible.
Valor: *$""&amp;H95&amp;""* + IVA = *$""&amp;I95&amp;""*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95" s="81"/>
      <c r="AH95" s="81">
        <f t="shared" si="9"/>
        <v>0</v>
      </c>
      <c r="AI95" s="81"/>
      <c r="AJ95" s="81"/>
      <c r="AK95" s="81"/>
    </row>
    <row r="96">
      <c r="A96" s="126" t="s">
        <v>1542</v>
      </c>
      <c r="B96" s="25" t="s">
        <v>1571</v>
      </c>
      <c r="C96" s="28" t="s">
        <v>50</v>
      </c>
      <c r="D96" s="28"/>
      <c r="E96" s="48" t="s">
        <v>1416</v>
      </c>
      <c r="F96" s="118"/>
      <c r="G96" s="66"/>
      <c r="H96" s="88">
        <v>10000.0</v>
      </c>
      <c r="I96" s="88">
        <f t="shared" si="1"/>
        <v>11900</v>
      </c>
      <c r="J96" s="30"/>
      <c r="K96" s="104"/>
      <c r="L96" s="28"/>
      <c r="M96" s="26" t="s">
        <v>1572</v>
      </c>
      <c r="N96" s="26" t="s">
        <v>1573</v>
      </c>
      <c r="O96" s="28" t="s">
        <v>1574</v>
      </c>
      <c r="P96" s="28" t="s">
        <v>1575</v>
      </c>
      <c r="Q96" s="28" t="s">
        <v>1576</v>
      </c>
      <c r="R96" s="47"/>
      <c r="S96" s="47"/>
      <c r="T96" s="47"/>
      <c r="U96" s="47"/>
      <c r="V96" s="30" t="s">
        <v>811</v>
      </c>
      <c r="W96" s="30" t="s">
        <v>1364</v>
      </c>
      <c r="X96" s="131">
        <v>46091.0</v>
      </c>
      <c r="Y96" s="48" t="s">
        <v>50</v>
      </c>
      <c r="Z96" s="28" t="s">
        <v>1577</v>
      </c>
      <c r="AA96" s="28" t="s">
        <v>1578</v>
      </c>
      <c r="AB96" s="106"/>
      <c r="AC96" s="66"/>
      <c r="AD96" s="66"/>
      <c r="AE96" s="81"/>
      <c r="AF96" s="121" t="str">
        <f>IFERROR(__xludf.DUMMYFUNCTION("HYPERLINK(
""https://wa.me/""&amp;REGEXREPLACE(Q96,""[^0-9]"","""")&amp;
""?text=""&amp;
ENCODEURL(
""Buenas tardes *""&amp;B96&amp;""*.
Te recordamos que tu plan *""""""&amp;E96&amp;""""""* *no incluye* la declaración de renta. Te enviamos varios correos informando sobre este proc"&amp;"eso. Esta semana vencen las primeras declaraciones juradas, lo que generará multas
Valor: *$""&amp;AG96&amp;""* + IVA = *$""&amp;AH96&amp;""*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96" s="123">
        <v>78125.0</v>
      </c>
      <c r="AH96" s="123">
        <v>92968.75</v>
      </c>
      <c r="AI96" s="123"/>
      <c r="AJ96" s="123"/>
      <c r="AK96" s="123"/>
    </row>
    <row r="97">
      <c r="A97" s="126" t="s">
        <v>1542</v>
      </c>
      <c r="B97" s="25" t="s">
        <v>1152</v>
      </c>
      <c r="C97" s="30" t="s">
        <v>38</v>
      </c>
      <c r="D97" s="30" t="s">
        <v>38</v>
      </c>
      <c r="E97" s="48" t="s">
        <v>1362</v>
      </c>
      <c r="F97" s="118"/>
      <c r="G97" s="66"/>
      <c r="H97" s="88">
        <v>30000.0</v>
      </c>
      <c r="I97" s="88">
        <f t="shared" si="1"/>
        <v>35700</v>
      </c>
      <c r="J97" s="30"/>
      <c r="K97" s="97">
        <v>238000.0</v>
      </c>
      <c r="L97" s="66"/>
      <c r="M97" s="26" t="s">
        <v>466</v>
      </c>
      <c r="N97" s="26" t="s">
        <v>462</v>
      </c>
      <c r="O97" s="28" t="s">
        <v>459</v>
      </c>
      <c r="P97" s="66"/>
      <c r="Q97" s="120" t="s">
        <v>1579</v>
      </c>
      <c r="R97" s="29"/>
      <c r="S97" s="29"/>
      <c r="T97" s="29"/>
      <c r="U97" s="29"/>
      <c r="V97" s="30" t="s">
        <v>811</v>
      </c>
      <c r="W97" s="30" t="s">
        <v>1364</v>
      </c>
      <c r="X97" s="127">
        <v>46085.0</v>
      </c>
      <c r="Y97" s="48" t="s">
        <v>50</v>
      </c>
      <c r="Z97" s="28" t="s">
        <v>1153</v>
      </c>
      <c r="AA97" s="66"/>
      <c r="AB97" s="106"/>
      <c r="AC97" s="66"/>
      <c r="AD97" s="66"/>
      <c r="AE97" s="81"/>
      <c r="AF97" s="121" t="str">
        <f>IFERROR(__xludf.DUMMYFUNCTION("HYPERLINK(
""https://wa.me/""&amp;REGEXREPLACE(Q97,""[^0-9]"","""")&amp;
""?text=""&amp;
ENCODEURL(
""Hola *""&amp;B97&amp;""*.
Te recordamos que la factura Nº *""&amp;J97&amp;""* por el plan """"""&amp;E97&amp;"""""" se encuentra disponible para pago y vence hoy.
Monto: *$""&amp;I97&amp;""*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*$""&amp;AG97&amp;""*
Valor total febrero (con IVA): *$""&amp;AH97&amp;""*
A partir de mañana el valor aument"&amp;"a un 25%, correspondiente al valor de diciembre.
Simple Pyme""
),
""Enviar WhatsApp""
)"),"Enviar WhatsApp")</f>
        <v>Enviar WhatsApp</v>
      </c>
      <c r="AG97" s="81"/>
      <c r="AH97" s="81"/>
      <c r="AI97" s="81"/>
      <c r="AJ97" s="81"/>
      <c r="AK97" s="81"/>
    </row>
    <row r="98">
      <c r="A98" s="126" t="s">
        <v>1542</v>
      </c>
      <c r="B98" s="25" t="s">
        <v>1154</v>
      </c>
      <c r="C98" s="30" t="s">
        <v>38</v>
      </c>
      <c r="D98" s="30" t="s">
        <v>38</v>
      </c>
      <c r="E98" s="48" t="s">
        <v>1362</v>
      </c>
      <c r="F98" s="118"/>
      <c r="G98" s="66"/>
      <c r="H98" s="88">
        <v>30000.0</v>
      </c>
      <c r="I98" s="88">
        <f t="shared" si="1"/>
        <v>35700</v>
      </c>
      <c r="J98" s="30"/>
      <c r="K98" s="104"/>
      <c r="L98" s="66"/>
      <c r="M98" s="26" t="s">
        <v>570</v>
      </c>
      <c r="N98" s="62" t="s">
        <v>571</v>
      </c>
      <c r="O98" s="28" t="s">
        <v>568</v>
      </c>
      <c r="P98" s="28" t="s">
        <v>1155</v>
      </c>
      <c r="Q98" s="28" t="s">
        <v>1580</v>
      </c>
      <c r="R98" s="29"/>
      <c r="S98" s="29"/>
      <c r="T98" s="29"/>
      <c r="U98" s="29"/>
      <c r="V98" s="30" t="s">
        <v>811</v>
      </c>
      <c r="W98" s="30" t="s">
        <v>1364</v>
      </c>
      <c r="X98" s="136"/>
      <c r="Y98" s="48" t="s">
        <v>50</v>
      </c>
      <c r="Z98" s="28" t="s">
        <v>1157</v>
      </c>
      <c r="AA98" s="28" t="s">
        <v>1156</v>
      </c>
      <c r="AB98" s="106"/>
      <c r="AC98" s="66"/>
      <c r="AD98" s="66"/>
      <c r="AE98" s="81"/>
      <c r="AF98" s="121" t="str">
        <f>IFERROR(__xludf.DUMMYFUNCTION("HYPERLINK(
""https://wa.me/""&amp;REGEXREPLACE(Q98,""[^0-9]"","""")&amp;
""?text=""&amp;
ENCODEURL(
""Buenas tardes *""&amp;B98&amp;""*.
Te recordamos que tu plan """"""&amp;E98&amp;"""""" no incluye la declaración de renta. Te enviamos varios correos informando sobre este proceso."&amp;" Esta semana vencen las primeras declaraciones juradas, lo que generará multas
Valor: *$""&amp;AG98&amp;""* + IVA = *$""&amp;AH98&amp;""*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98" s="123">
        <v>125000.0</v>
      </c>
      <c r="AH98" s="123">
        <f>AG98*1.19</f>
        <v>148750</v>
      </c>
      <c r="AI98" s="81"/>
      <c r="AJ98" s="81"/>
      <c r="AK98" s="81"/>
    </row>
    <row r="99">
      <c r="A99" s="126" t="s">
        <v>1542</v>
      </c>
      <c r="B99" s="25" t="s">
        <v>1158</v>
      </c>
      <c r="C99" s="30" t="s">
        <v>38</v>
      </c>
      <c r="D99" s="30" t="s">
        <v>38</v>
      </c>
      <c r="E99" s="48" t="s">
        <v>1362</v>
      </c>
      <c r="F99" s="118"/>
      <c r="G99" s="66"/>
      <c r="H99" s="88">
        <v>30000.0</v>
      </c>
      <c r="I99" s="88">
        <f t="shared" si="1"/>
        <v>35700</v>
      </c>
      <c r="J99" s="30"/>
      <c r="K99" s="97">
        <v>95200.0</v>
      </c>
      <c r="L99" s="66"/>
      <c r="M99" s="26" t="s">
        <v>191</v>
      </c>
      <c r="N99" s="26" t="s">
        <v>192</v>
      </c>
      <c r="O99" s="28" t="s">
        <v>189</v>
      </c>
      <c r="P99" s="28" t="s">
        <v>1159</v>
      </c>
      <c r="Q99" s="28" t="s">
        <v>1581</v>
      </c>
      <c r="R99" s="29"/>
      <c r="S99" s="29"/>
      <c r="T99" s="29"/>
      <c r="U99" s="29"/>
      <c r="V99" s="30" t="s">
        <v>811</v>
      </c>
      <c r="W99" s="30" t="s">
        <v>1364</v>
      </c>
      <c r="X99" s="127">
        <v>46083.0</v>
      </c>
      <c r="Y99" s="48" t="s">
        <v>50</v>
      </c>
      <c r="Z99" s="28" t="s">
        <v>1160</v>
      </c>
      <c r="AA99" s="28" t="s">
        <v>192</v>
      </c>
      <c r="AB99" s="106"/>
      <c r="AC99" s="66"/>
      <c r="AD99" s="66"/>
      <c r="AE99" s="81"/>
      <c r="AF99" s="121" t="str">
        <f>IFERROR(__xludf.DUMMYFUNCTION("HYPERLINK(
""https://wa.me/""&amp;REGEXREPLACE(Q99,""[^0-9]"","""")&amp;
""?text=""&amp;
ENCODEURL(
""Hola *""&amp;B99&amp;""*.
Te recordamos que la factura Nº *""&amp;J99&amp;""* por el plan """"""&amp;E99&amp;"""""" se encuentra disponible para pago y vence hoy.
Monto: *$""&amp;I99&amp;""*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*$""&amp;AG99&amp;""*
Valor total febrero (con IVA): *$""&amp;AH99&amp;""*
A partir de mañana el valor aument"&amp;"a un 25%, correspondiente al valor de diciembre.
Simple Pyme""
),
""Enviar WhatsApp""
)"),"Enviar WhatsApp")</f>
        <v>Enviar WhatsApp</v>
      </c>
      <c r="AG99" s="81"/>
      <c r="AH99" s="81"/>
      <c r="AI99" s="81"/>
      <c r="AJ99" s="81"/>
      <c r="AK99" s="81"/>
    </row>
    <row r="100">
      <c r="A100" s="126" t="s">
        <v>1542</v>
      </c>
      <c r="B100" s="25" t="s">
        <v>1161</v>
      </c>
      <c r="C100" s="30" t="s">
        <v>38</v>
      </c>
      <c r="D100" s="30" t="s">
        <v>38</v>
      </c>
      <c r="E100" s="48" t="s">
        <v>1413</v>
      </c>
      <c r="F100" s="118"/>
      <c r="G100" s="66"/>
      <c r="H100" s="88">
        <v>60504.0</v>
      </c>
      <c r="I100" s="88">
        <f t="shared" si="1"/>
        <v>71999.76</v>
      </c>
      <c r="J100" s="30"/>
      <c r="K100" s="88">
        <v>59500.0</v>
      </c>
      <c r="L100" s="66"/>
      <c r="M100" s="26" t="s">
        <v>196</v>
      </c>
      <c r="N100" s="26" t="s">
        <v>1162</v>
      </c>
      <c r="O100" s="28" t="s">
        <v>194</v>
      </c>
      <c r="P100" s="28" t="s">
        <v>1163</v>
      </c>
      <c r="Q100" s="120" t="s">
        <v>1582</v>
      </c>
      <c r="R100" s="29"/>
      <c r="S100" s="29"/>
      <c r="T100" s="29"/>
      <c r="U100" s="29"/>
      <c r="V100" s="30" t="s">
        <v>811</v>
      </c>
      <c r="W100" s="30" t="s">
        <v>1364</v>
      </c>
      <c r="X100" s="127">
        <v>46086.0</v>
      </c>
      <c r="Y100" s="48" t="s">
        <v>50</v>
      </c>
      <c r="Z100" s="28" t="s">
        <v>1165</v>
      </c>
      <c r="AA100" s="28" t="s">
        <v>1164</v>
      </c>
      <c r="AB100" s="106"/>
      <c r="AC100" s="66"/>
      <c r="AD100" s="66"/>
      <c r="AE100" s="81"/>
      <c r="AF100" s="121" t="str">
        <f>IFERROR(__xludf.DUMMYFUNCTION("HYPERLINK(
""https://wa.me/""&amp;REGEXREPLACE(Q100,""[^0-9]"","""")&amp;
""?text=""&amp;
ENCODEURL(
""Hola *""&amp;B100&amp;""*.
Te recordamos que la factura Nº *""&amp;J100&amp;""* por el plan """"""&amp;E100&amp;"""""" se encuentra disponible para pago y vence hoy.
Monto: *$""&amp;I100&amp;""*"&amp;"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00" s="81"/>
      <c r="AH100" s="81">
        <f t="shared" ref="AH100:AH103" si="10">AG100*1.19</f>
        <v>0</v>
      </c>
      <c r="AI100" s="81"/>
      <c r="AJ100" s="81"/>
      <c r="AK100" s="81"/>
    </row>
    <row r="101">
      <c r="A101" s="79" t="s">
        <v>1542</v>
      </c>
      <c r="B101" s="25" t="s">
        <v>1166</v>
      </c>
      <c r="C101" s="30" t="s">
        <v>38</v>
      </c>
      <c r="D101" s="30" t="s">
        <v>38</v>
      </c>
      <c r="E101" s="28" t="s">
        <v>1413</v>
      </c>
      <c r="F101" s="118"/>
      <c r="G101" s="66"/>
      <c r="H101" s="88">
        <v>60504.0</v>
      </c>
      <c r="I101" s="88">
        <f t="shared" si="1"/>
        <v>71999.76</v>
      </c>
      <c r="J101" s="30"/>
      <c r="K101" s="104"/>
      <c r="L101" s="66"/>
      <c r="M101" s="26" t="s">
        <v>356</v>
      </c>
      <c r="N101" s="26" t="s">
        <v>359</v>
      </c>
      <c r="O101" s="28" t="s">
        <v>1167</v>
      </c>
      <c r="P101" s="28" t="s">
        <v>1168</v>
      </c>
      <c r="Q101" s="120" t="s">
        <v>1583</v>
      </c>
      <c r="R101" s="29"/>
      <c r="S101" s="29"/>
      <c r="T101" s="29"/>
      <c r="U101" s="29"/>
      <c r="V101" s="30" t="s">
        <v>811</v>
      </c>
      <c r="W101" s="30" t="s">
        <v>1364</v>
      </c>
      <c r="X101" s="127"/>
      <c r="Y101" s="28" t="s">
        <v>50</v>
      </c>
      <c r="Z101" s="28" t="s">
        <v>1170</v>
      </c>
      <c r="AA101" s="28" t="s">
        <v>1169</v>
      </c>
      <c r="AB101" s="66"/>
      <c r="AC101" s="66"/>
      <c r="AD101" s="66"/>
      <c r="AE101" s="81"/>
      <c r="AF101" s="121" t="str">
        <f>IFERROR(__xludf.DUMMYFUNCTION("HYPERLINK(
""https://wa.me/""&amp;REGEXREPLACE(Q101,""[^0-9]"","""")&amp;
""?text=""&amp;
ENCODEURL(
""Buenas tardes *""&amp;B101&amp;""*.
Te recordamos que la factura """"""&amp;J101&amp;"""""" de tu plan """"""&amp;E101&amp;"""""" se encuentre impaga a la fecha, lo que implica que tu ser"&amp;"vicio se encuentra suspendido. Para reactivar el servicio y que hagamos la declaración mensual debes realizar el pago lo antes posible.
Valor: *$""&amp;H101&amp;""* + IVA = *$""&amp;I101&amp;""*
*CUENTA BANCARIA*
VOLLAIRE &amp; OLIVOS SIMPLE PYME LTDA
Banco BCI
Cuenta corri"&amp;"ente
RUT 78.306.207-0
Número de cuenta: 70809538
MATIAS.OLIVOS@VSVCONSULTORES.COM
También puedes pagar con tarjeta de débito o crédito en el siguiente link:
https://www.flow.cl/btn.php?token=xe78c9acb73c3eff5e917d5c932a4a2f7f971abe
Simple Pyme""
),
""En"&amp;"viar WhatsApp""
)"),"Enviar WhatsApp")</f>
        <v>Enviar WhatsApp</v>
      </c>
      <c r="AG101" s="81"/>
      <c r="AH101" s="81">
        <f t="shared" si="10"/>
        <v>0</v>
      </c>
      <c r="AI101" s="81"/>
      <c r="AJ101" s="81"/>
      <c r="AK101" s="81"/>
    </row>
    <row r="102" hidden="1">
      <c r="A102" s="126" t="s">
        <v>1542</v>
      </c>
      <c r="B102" s="25" t="s">
        <v>1172</v>
      </c>
      <c r="C102" s="28"/>
      <c r="D102" s="66"/>
      <c r="E102" s="48" t="s">
        <v>1413</v>
      </c>
      <c r="F102" s="137"/>
      <c r="G102" s="66"/>
      <c r="H102" s="159">
        <v>60500.0</v>
      </c>
      <c r="I102" s="88">
        <f t="shared" si="1"/>
        <v>71995</v>
      </c>
      <c r="J102" s="135" t="s">
        <v>1438</v>
      </c>
      <c r="K102" s="104"/>
      <c r="L102" s="71" t="s">
        <v>1584</v>
      </c>
      <c r="M102" s="34" t="s">
        <v>1173</v>
      </c>
      <c r="N102" s="34" t="s">
        <v>1174</v>
      </c>
      <c r="O102" s="68" t="s">
        <v>1175</v>
      </c>
      <c r="P102" s="28" t="s">
        <v>1176</v>
      </c>
      <c r="Q102" s="120">
        <v>9.95993291E8</v>
      </c>
      <c r="R102" s="29"/>
      <c r="S102" s="29"/>
      <c r="T102" s="29"/>
      <c r="U102" s="29"/>
      <c r="V102" s="30" t="s">
        <v>811</v>
      </c>
      <c r="W102" s="48" t="s">
        <v>1585</v>
      </c>
      <c r="X102" s="66"/>
      <c r="Y102" s="48" t="s">
        <v>50</v>
      </c>
      <c r="Z102" s="28" t="s">
        <v>1179</v>
      </c>
      <c r="AA102" s="28" t="s">
        <v>1177</v>
      </c>
      <c r="AB102" s="106"/>
      <c r="AC102" s="66"/>
      <c r="AD102" s="66"/>
      <c r="AE102" s="81"/>
      <c r="AF102" s="81" t="str">
        <f>IFERROR(__xludf.DUMMYFUNCTION("HYPERLINK(
""https://wa.me/""&amp;REGEXREPLACE(Q102,""[^0-9]"","""")&amp;
""?text=""&amp;
ENCODEURL(
""Hola *""&amp;B102&amp;""*.
Te recordamos que la factura Nº *""&amp;J102&amp;""* por el plan """"""&amp;E102&amp;"""""" se encuentra disponible para pago y vence hoy.
Monto: *$""&amp;I102&amp;""*"&amp;"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*$""&amp;AG102&amp;""*
Valor total febrero (con IVA): *$""&amp;AH102&amp;""*
A partir de mañana el valor"&amp;" aumenta un 25%, correspondiente al valor de diciembre.
Simple Pyme""
),
""Enviar WhatsApp""
)"),"Enviar WhatsApp")</f>
        <v>Enviar WhatsApp</v>
      </c>
      <c r="AG102" s="81">
        <v>0.0</v>
      </c>
      <c r="AH102" s="81">
        <f t="shared" si="10"/>
        <v>0</v>
      </c>
      <c r="AI102" s="81"/>
      <c r="AJ102" s="81"/>
      <c r="AK102" s="81"/>
    </row>
    <row r="103">
      <c r="A103" s="79" t="s">
        <v>1542</v>
      </c>
      <c r="B103" s="25" t="s">
        <v>604</v>
      </c>
      <c r="C103" s="30" t="s">
        <v>38</v>
      </c>
      <c r="D103" s="30" t="s">
        <v>38</v>
      </c>
      <c r="E103" s="28" t="s">
        <v>1372</v>
      </c>
      <c r="F103" s="118"/>
      <c r="G103" s="28">
        <v>1.0</v>
      </c>
      <c r="H103" s="88">
        <v>50000.0</v>
      </c>
      <c r="I103" s="88">
        <f t="shared" si="1"/>
        <v>59500</v>
      </c>
      <c r="J103" s="30"/>
      <c r="K103" s="104"/>
      <c r="L103" s="66"/>
      <c r="M103" s="26" t="s">
        <v>605</v>
      </c>
      <c r="N103" s="26" t="s">
        <v>606</v>
      </c>
      <c r="O103" s="28" t="s">
        <v>603</v>
      </c>
      <c r="P103" s="28" t="s">
        <v>1180</v>
      </c>
      <c r="Q103" s="30" t="s">
        <v>1586</v>
      </c>
      <c r="R103" s="29"/>
      <c r="S103" s="29"/>
      <c r="T103" s="29"/>
      <c r="U103" s="29"/>
      <c r="V103" s="30" t="s">
        <v>811</v>
      </c>
      <c r="W103" s="30" t="s">
        <v>1364</v>
      </c>
      <c r="X103" s="128">
        <v>46091.0</v>
      </c>
      <c r="Y103" s="28" t="s">
        <v>50</v>
      </c>
      <c r="Z103" s="28" t="s">
        <v>1181</v>
      </c>
      <c r="AA103" s="66"/>
      <c r="AB103" s="66"/>
      <c r="AC103" s="66"/>
      <c r="AD103" s="66"/>
      <c r="AE103" s="81"/>
      <c r="AF103" s="121" t="str">
        <f>IFERROR(__xludf.DUMMYFUNCTION("HYPERLINK(
""https://wa.me/""&amp;REGEXREPLACE(Q103,""[^0-9]"","""")&amp;
""?text=""&amp;
ENCODEURL(
""Buenas tardes *""&amp;B103&amp;""*.
Te recordamos que tu plan """"""&amp;E103&amp;"""""" no incluye la declaración de renta. Te enviamos varios correos informando sobre este proce"&amp;"so. Esta semana vencen las primeras declaraciones juradas, lo que generará multas
Valor: *$""&amp;AG103&amp;""* + IVA = *$""&amp;AH103&amp;""*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3" s="123">
        <v>156250.0</v>
      </c>
      <c r="AH103" s="123">
        <f t="shared" si="10"/>
        <v>185937.5</v>
      </c>
      <c r="AI103" s="81"/>
      <c r="AJ103" s="81"/>
      <c r="AK103" s="81"/>
    </row>
    <row r="104" hidden="1">
      <c r="A104" s="126" t="s">
        <v>1542</v>
      </c>
      <c r="B104" s="25" t="s">
        <v>1183</v>
      </c>
      <c r="C104" s="66"/>
      <c r="D104" s="66"/>
      <c r="E104" s="48" t="s">
        <v>1380</v>
      </c>
      <c r="F104" s="137"/>
      <c r="G104" s="66"/>
      <c r="H104" s="159">
        <v>0.0</v>
      </c>
      <c r="I104" s="88">
        <f t="shared" si="1"/>
        <v>0</v>
      </c>
      <c r="J104" s="135" t="s">
        <v>1438</v>
      </c>
      <c r="K104" s="104"/>
      <c r="L104" s="66"/>
      <c r="M104" s="26" t="s">
        <v>1184</v>
      </c>
      <c r="N104" s="26" t="s">
        <v>1185</v>
      </c>
      <c r="O104" s="160" t="s">
        <v>1186</v>
      </c>
      <c r="P104" s="81"/>
      <c r="Q104" s="120" t="s">
        <v>1587</v>
      </c>
      <c r="R104" s="29"/>
      <c r="S104" s="29"/>
      <c r="T104" s="29"/>
      <c r="U104" s="29"/>
      <c r="V104" s="30" t="s">
        <v>811</v>
      </c>
      <c r="W104" s="48" t="s">
        <v>1380</v>
      </c>
      <c r="X104" s="66"/>
      <c r="Y104" s="48" t="s">
        <v>50</v>
      </c>
      <c r="Z104" s="66"/>
      <c r="AA104" s="66"/>
      <c r="AB104" s="106"/>
      <c r="AC104" s="66"/>
      <c r="AD104" s="66"/>
      <c r="AE104" s="81"/>
      <c r="AF104" s="121" t="str">
        <f>IFERROR(__xludf.DUMMYFUNCTION("HYPERLINK(
""https://wa.me/""&amp;REGEXREPLACE(Q104,""[^0-9]"","""")&amp;
""?text=""&amp;
ENCODEURL(
""Hola *""&amp;B104&amp;""*.
Te recordamos que la factura Nº *""&amp;J104&amp;""* por el plan """"""&amp;E104&amp;"""""" se encuentra disponible para pago y vence hoy.
Monto: *$""&amp;I104&amp;""*"&amp;"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*$""&amp;AG104&amp;""*
Valor total febrero (con IVA): *$""&amp;AH104&amp;""*
A partir de mañana el valor"&amp;" aumenta un 25%, correspondiente al valor de diciembre.
Simple Pyme""
),
""Enviar WhatsApp""
)"),"Enviar WhatsApp")</f>
        <v>Enviar WhatsApp</v>
      </c>
      <c r="AG104" s="81"/>
      <c r="AH104" s="81"/>
      <c r="AI104" s="81"/>
      <c r="AJ104" s="81"/>
      <c r="AK104" s="81"/>
    </row>
    <row r="105" hidden="1">
      <c r="A105" s="126" t="s">
        <v>1542</v>
      </c>
      <c r="B105" s="74" t="s">
        <v>1187</v>
      </c>
      <c r="C105" s="30" t="s">
        <v>38</v>
      </c>
      <c r="D105" s="30" t="s">
        <v>38</v>
      </c>
      <c r="E105" s="70" t="s">
        <v>1380</v>
      </c>
      <c r="F105" s="161"/>
      <c r="G105" s="162"/>
      <c r="H105" s="163">
        <v>60504.0</v>
      </c>
      <c r="I105" s="163">
        <f t="shared" si="1"/>
        <v>71999.76</v>
      </c>
      <c r="J105" s="30">
        <v>603.0</v>
      </c>
      <c r="K105" s="164">
        <v>192969.0</v>
      </c>
      <c r="L105" s="162"/>
      <c r="M105" s="75" t="s">
        <v>612</v>
      </c>
      <c r="N105" s="75" t="s">
        <v>613</v>
      </c>
      <c r="O105" s="76" t="s">
        <v>616</v>
      </c>
      <c r="P105" s="76" t="s">
        <v>1188</v>
      </c>
      <c r="Q105" s="165" t="s">
        <v>1588</v>
      </c>
      <c r="R105" s="77"/>
      <c r="S105" s="77"/>
      <c r="T105" s="77"/>
      <c r="U105" s="77"/>
      <c r="V105" s="30" t="s">
        <v>811</v>
      </c>
      <c r="W105" s="48" t="s">
        <v>1380</v>
      </c>
      <c r="X105" s="166"/>
      <c r="Y105" s="48" t="s">
        <v>50</v>
      </c>
      <c r="Z105" s="78" t="s">
        <v>1189</v>
      </c>
      <c r="AA105" s="76" t="s">
        <v>615</v>
      </c>
      <c r="AB105" s="106"/>
      <c r="AC105" s="162"/>
      <c r="AD105" s="162"/>
      <c r="AE105" s="167"/>
      <c r="AF105" s="121" t="str">
        <f>IFERROR(__xludf.DUMMYFUNCTION("HYPERLINK(
""https://wa.me/""&amp;REGEXREPLACE(Q105,""[^0-9]"","""")&amp;
""?text=""&amp;
ENCODEURL(
""Buenas tardes *""&amp;B105&amp;""*.
Te recordamos que tu plan """"""&amp;E105&amp;"""""" no incluye la declaración de renta. Te enviamos varios correos informando sobre este proce"&amp;"so. Esta semana vencen las primeras declaraciones juradas, lo que generará multas
Valor: *$""&amp;AG105&amp;""* + IVA = *$""&amp;AH105&amp;""*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5" s="123">
        <v>78125.0</v>
      </c>
      <c r="AH105" s="123">
        <f>AG105*1.19</f>
        <v>92968.75</v>
      </c>
      <c r="AI105" s="81"/>
      <c r="AJ105" s="81"/>
      <c r="AK105" s="81"/>
    </row>
    <row r="106">
      <c r="A106" s="79" t="s">
        <v>1542</v>
      </c>
      <c r="B106" s="79" t="s">
        <v>1589</v>
      </c>
      <c r="C106" s="28" t="s">
        <v>50</v>
      </c>
      <c r="D106" s="28"/>
      <c r="E106" s="28" t="s">
        <v>1362</v>
      </c>
      <c r="F106" s="118"/>
      <c r="G106" s="66"/>
      <c r="H106" s="124">
        <v>30000.0</v>
      </c>
      <c r="I106" s="88">
        <f t="shared" si="1"/>
        <v>35700</v>
      </c>
      <c r="J106" s="30"/>
      <c r="K106" s="104"/>
      <c r="L106" s="71"/>
      <c r="M106" s="26" t="s">
        <v>1590</v>
      </c>
      <c r="N106" s="26" t="s">
        <v>1591</v>
      </c>
      <c r="O106" s="28" t="s">
        <v>1592</v>
      </c>
      <c r="P106" s="28" t="s">
        <v>1593</v>
      </c>
      <c r="Q106" s="28" t="s">
        <v>1594</v>
      </c>
      <c r="R106" s="29"/>
      <c r="S106" s="29"/>
      <c r="T106" s="29"/>
      <c r="U106" s="29"/>
      <c r="V106" s="30" t="s">
        <v>811</v>
      </c>
      <c r="W106" s="30" t="s">
        <v>1364</v>
      </c>
      <c r="X106" s="132">
        <v>46094.0</v>
      </c>
      <c r="Y106" s="28" t="s">
        <v>50</v>
      </c>
      <c r="Z106" s="28" t="s">
        <v>1595</v>
      </c>
      <c r="AA106" s="28" t="s">
        <v>1596</v>
      </c>
      <c r="AB106" s="66"/>
      <c r="AC106" s="66"/>
      <c r="AD106" s="66"/>
      <c r="AE106" s="81"/>
      <c r="AF106" s="121" t="str">
        <f>IFERROR(__xludf.DUMMYFUNCTION("HYPERLINK(
""https://wa.me/""&amp;REGEXREPLACE(Q106,""[^0-9]"","""")&amp;
""?text=""&amp;
ENCODEURL(
""Buenas tardes *""&amp;B106&amp;""*.
Te recordamos que tu plan *""""""&amp;E106&amp;""""""* *no incluye* la declaración de renta. Te enviamos varios correos informando sobre este p"&amp;"roceso. Esta semana vencen las primeras declaraciones juradas, lo que generará multas
Valor: *$""&amp;AG106&amp;""* + IVA = *$""&amp;AH106&amp;""*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06" s="122">
        <v>125000.0</v>
      </c>
      <c r="AH106" s="123">
        <v>148750.0</v>
      </c>
      <c r="AI106" s="123"/>
      <c r="AJ106" s="123"/>
      <c r="AK106" s="123"/>
    </row>
    <row r="107">
      <c r="A107" s="126" t="s">
        <v>1542</v>
      </c>
      <c r="B107" s="79" t="s">
        <v>469</v>
      </c>
      <c r="C107" s="30" t="s">
        <v>38</v>
      </c>
      <c r="D107" s="30" t="s">
        <v>38</v>
      </c>
      <c r="E107" s="48" t="s">
        <v>1362</v>
      </c>
      <c r="F107" s="118"/>
      <c r="G107" s="66"/>
      <c r="H107" s="88">
        <v>30000.0</v>
      </c>
      <c r="I107" s="88">
        <f t="shared" si="1"/>
        <v>35700</v>
      </c>
      <c r="J107" s="30"/>
      <c r="K107" s="97">
        <v>59500.0</v>
      </c>
      <c r="L107" s="28"/>
      <c r="M107" s="26" t="s">
        <v>470</v>
      </c>
      <c r="N107" s="26" t="s">
        <v>471</v>
      </c>
      <c r="O107" s="28" t="s">
        <v>1190</v>
      </c>
      <c r="P107" s="28" t="s">
        <v>1191</v>
      </c>
      <c r="Q107" s="149" t="s">
        <v>1597</v>
      </c>
      <c r="R107" s="47"/>
      <c r="S107" s="47"/>
      <c r="T107" s="47"/>
      <c r="U107" s="47"/>
      <c r="V107" s="30" t="s">
        <v>811</v>
      </c>
      <c r="W107" s="30" t="s">
        <v>1364</v>
      </c>
      <c r="X107" s="168"/>
      <c r="Y107" s="48" t="s">
        <v>50</v>
      </c>
      <c r="Z107" s="28" t="s">
        <v>1193</v>
      </c>
      <c r="AA107" s="28" t="s">
        <v>1192</v>
      </c>
      <c r="AB107" s="106"/>
      <c r="AC107" s="66"/>
      <c r="AD107" s="66"/>
      <c r="AE107" s="81"/>
      <c r="AF107" s="121" t="str">
        <f>IFERROR(__xludf.DUMMYFUNCTION("HYPERLINK(
""https://wa.me/""&amp;REGEXREPLACE(Q107,""[^0-9]"","""")&amp;
""?text=""&amp;
ENCODEURL(
""Buenas tardes *""&amp;B107&amp;""*. *HOY SE PAGA EL IVA Y TU SERVICIO ESTÁ SUSPENDIDO*
Te recordamos que la factura """"""&amp;J107&amp;"""""" de tu plan """"""&amp;E107&amp;"""""" se enc"&amp;"uentre impaga a la fecha, lo que implica que tu servicio se encuentra suspendido. Para reactivar el servicio y que hagamos la declaración mensual debes realizar el pago lo antes posible.
Valor: *$""&amp;H107&amp;""* + IVA = *$""&amp;I107&amp;""*
*CUENTA BANCARIA*
VOLLAI"&amp;"RE &amp; OLIVOS SIMPLE PYME LTDA
Banco BCI
Cuenta corriente
RUT 78.306.207-0
Número de cuenta: 70809538
MATIAS.OLIVOS@VSVCONSULTORES.COM
También puedes pagar con tarjeta de débito o crédito en el siguiente link:
https://www.flow.cl/btn.php?token=xe78c9acb73c"&amp;"3eff5e917d5c932a4a2f7f971abe
Simple Pyme""
),
""Enviar WhatsApp""
)"),"Enviar WhatsApp")</f>
        <v>Enviar WhatsApp</v>
      </c>
      <c r="AG107" s="81"/>
      <c r="AH107" s="81">
        <f t="shared" ref="AH107:AH108" si="11">AG107*1.19</f>
        <v>0</v>
      </c>
      <c r="AI107" s="81"/>
      <c r="AJ107" s="81"/>
      <c r="AK107" s="81"/>
    </row>
    <row r="108">
      <c r="A108" s="126" t="s">
        <v>1542</v>
      </c>
      <c r="B108" s="25" t="s">
        <v>1194</v>
      </c>
      <c r="C108" s="30" t="s">
        <v>38</v>
      </c>
      <c r="D108" s="30" t="s">
        <v>38</v>
      </c>
      <c r="E108" s="70" t="s">
        <v>1362</v>
      </c>
      <c r="F108" s="118"/>
      <c r="G108" s="71" t="s">
        <v>1598</v>
      </c>
      <c r="H108" s="54">
        <v>30000.0</v>
      </c>
      <c r="I108" s="88">
        <f t="shared" si="1"/>
        <v>35700</v>
      </c>
      <c r="J108" s="30"/>
      <c r="K108" s="104"/>
      <c r="L108" s="66"/>
      <c r="M108" s="26" t="s">
        <v>1195</v>
      </c>
      <c r="N108" s="26" t="s">
        <v>546</v>
      </c>
      <c r="O108" s="28" t="s">
        <v>1196</v>
      </c>
      <c r="P108" s="28" t="s">
        <v>1197</v>
      </c>
      <c r="Q108" s="139" t="s">
        <v>1599</v>
      </c>
      <c r="R108" s="29"/>
      <c r="S108" s="29"/>
      <c r="T108" s="29"/>
      <c r="U108" s="29"/>
      <c r="V108" s="30" t="s">
        <v>811</v>
      </c>
      <c r="W108" s="30" t="s">
        <v>1364</v>
      </c>
      <c r="X108" s="140">
        <v>46085.0</v>
      </c>
      <c r="Y108" s="48" t="s">
        <v>50</v>
      </c>
      <c r="Z108" s="28" t="s">
        <v>1198</v>
      </c>
      <c r="AA108" s="28" t="s">
        <v>550</v>
      </c>
      <c r="AB108" s="106"/>
      <c r="AC108" s="66"/>
      <c r="AD108" s="66"/>
      <c r="AE108" s="81"/>
      <c r="AF108" s="121" t="str">
        <f>IFERROR(__xludf.DUMMYFUNCTION("HYPERLINK(
""https://wa.me/""&amp;REGEXREPLACE(Q108,""[^0-9]"","""")&amp;
""?text=""&amp;
ENCODEURL(
""Buenas tardes *""&amp;B108&amp;""*.
Te recordamos que tu plan """"""&amp;E108&amp;"""""" no incluye la declaración de renta. Te enviamos varios correos informando sobre este proce"&amp;"so. Esta semana vencen las primeras declaraciones juradas, lo que generará multas
Valor: *$""&amp;AG108&amp;""* + IVA = *$""&amp;AH108&amp;""*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8" s="122">
        <v>78125.0</v>
      </c>
      <c r="AH108" s="123">
        <f t="shared" si="11"/>
        <v>92968.75</v>
      </c>
      <c r="AI108" s="81"/>
      <c r="AJ108" s="81"/>
      <c r="AK108" s="81"/>
    </row>
    <row r="109" hidden="1">
      <c r="A109" s="126" t="s">
        <v>1542</v>
      </c>
      <c r="B109" s="25" t="s">
        <v>1600</v>
      </c>
      <c r="C109" s="66"/>
      <c r="D109" s="66"/>
      <c r="E109" s="48" t="s">
        <v>1380</v>
      </c>
      <c r="F109" s="118"/>
      <c r="G109" s="66"/>
      <c r="H109" s="88">
        <v>0.0</v>
      </c>
      <c r="I109" s="88">
        <f t="shared" si="1"/>
        <v>0</v>
      </c>
      <c r="J109" s="135" t="s">
        <v>1438</v>
      </c>
      <c r="K109" s="104"/>
      <c r="L109" s="66"/>
      <c r="M109" s="45" t="s">
        <v>1020</v>
      </c>
      <c r="N109" s="26" t="s">
        <v>1021</v>
      </c>
      <c r="O109" s="25" t="s">
        <v>1601</v>
      </c>
      <c r="P109" s="66"/>
      <c r="Q109" s="120" t="s">
        <v>1534</v>
      </c>
      <c r="R109" s="29"/>
      <c r="S109" s="29"/>
      <c r="T109" s="29"/>
      <c r="U109" s="29"/>
      <c r="V109" s="30" t="s">
        <v>811</v>
      </c>
      <c r="W109" s="48" t="s">
        <v>1380</v>
      </c>
      <c r="X109" s="66"/>
      <c r="Y109" s="48" t="s">
        <v>50</v>
      </c>
      <c r="Z109" s="66"/>
      <c r="AA109" s="66"/>
      <c r="AB109" s="106"/>
      <c r="AC109" s="66"/>
      <c r="AD109" s="66"/>
      <c r="AE109" s="81"/>
      <c r="AF109" s="121" t="str">
        <f>IFERROR(__xludf.DUMMYFUNCTION("HYPERLINK(
""https://wa.me/""&amp;REGEXREPLACE(Q109,""[^0-9]"","""")&amp;
""?text=""&amp;
ENCODEURL(
""Hola *""&amp;B109&amp;""*.
Te recordamos que la factura Nº *""&amp;J109&amp;""* por el plan """"""&amp;E109&amp;"""""" se encuentra disponible para pago y vence hoy.
Monto: *$""&amp;I109&amp;""*"&amp;"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*$""&amp;AG109&amp;""*
Valor total febrero (con IVA): *$""&amp;AH109&amp;""*
A partir de mañana el valor"&amp;" aumenta un 25%, correspondiente al valor de diciembre.
Simple Pyme""
),
""Enviar WhatsApp""
)"),"Enviar WhatsApp")</f>
        <v>Enviar WhatsApp</v>
      </c>
      <c r="AG109" s="81"/>
      <c r="AH109" s="81"/>
      <c r="AI109" s="81"/>
      <c r="AJ109" s="81"/>
      <c r="AK109" s="81"/>
    </row>
    <row r="110">
      <c r="A110" s="79">
        <v>0.0</v>
      </c>
      <c r="B110" s="25" t="s">
        <v>1199</v>
      </c>
      <c r="C110" s="30" t="s">
        <v>38</v>
      </c>
      <c r="D110" s="30" t="s">
        <v>38</v>
      </c>
      <c r="E110" s="70" t="s">
        <v>1416</v>
      </c>
      <c r="F110" s="118"/>
      <c r="G110" s="66"/>
      <c r="H110" s="54">
        <v>10000.0</v>
      </c>
      <c r="I110" s="88">
        <f t="shared" si="1"/>
        <v>11900</v>
      </c>
      <c r="J110" s="30" t="s">
        <v>1438</v>
      </c>
      <c r="K110" s="104"/>
      <c r="L110" s="71" t="s">
        <v>1602</v>
      </c>
      <c r="M110" s="26" t="s">
        <v>584</v>
      </c>
      <c r="N110" s="28" t="s">
        <v>585</v>
      </c>
      <c r="O110" s="81" t="s">
        <v>582</v>
      </c>
      <c r="P110" s="28" t="s">
        <v>1200</v>
      </c>
      <c r="Q110" s="28" t="s">
        <v>1603</v>
      </c>
      <c r="R110" s="54"/>
      <c r="S110" s="54"/>
      <c r="T110" s="54"/>
      <c r="U110" s="54"/>
      <c r="V110" s="30" t="s">
        <v>811</v>
      </c>
      <c r="W110" s="30" t="s">
        <v>1364</v>
      </c>
      <c r="X110" s="136"/>
      <c r="Y110" s="48" t="s">
        <v>50</v>
      </c>
      <c r="Z110" s="28" t="s">
        <v>1201</v>
      </c>
      <c r="AA110" s="28" t="s">
        <v>585</v>
      </c>
      <c r="AB110" s="106"/>
      <c r="AC110" s="66"/>
      <c r="AD110" s="66"/>
      <c r="AE110" s="81"/>
      <c r="AF110" s="121" t="str">
        <f>IFERROR(__xludf.DUMMYFUNCTION("HYPERLINK(
""https://wa.me/""&amp;REGEXREPLACE(Q110,""[^0-9]"","""")&amp;
""?text=""&amp;
ENCODEURL(
""Buenas tardes *""&amp;B110&amp;""*.
Te recordamos que tu plan """"""&amp;E110&amp;"""""" no incluye la declaración de renta. Te enviamos varios correos informando sobre este proce"&amp;"so. Esta semana vencen las primeras declaraciones juradas, lo que generará multas
Valor: *$""&amp;AG110&amp;""* + IVA = *$""&amp;AH110&amp;""*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10" s="122">
        <v>78125.0</v>
      </c>
      <c r="AH110" s="123">
        <f t="shared" ref="AH110:AH123" si="12">AG110*1.19</f>
        <v>92968.75</v>
      </c>
      <c r="AI110" s="81"/>
      <c r="AJ110" s="81"/>
      <c r="AK110" s="81"/>
    </row>
    <row r="111">
      <c r="A111" s="126" t="s">
        <v>1604</v>
      </c>
      <c r="B111" s="25" t="s">
        <v>1209</v>
      </c>
      <c r="C111" s="30" t="s">
        <v>38</v>
      </c>
      <c r="D111" s="30" t="s">
        <v>38</v>
      </c>
      <c r="E111" s="70" t="s">
        <v>1416</v>
      </c>
      <c r="F111" s="137"/>
      <c r="G111" s="66"/>
      <c r="H111" s="88">
        <v>10000.0</v>
      </c>
      <c r="I111" s="88">
        <f t="shared" si="1"/>
        <v>11900</v>
      </c>
      <c r="J111" s="30"/>
      <c r="K111" s="97">
        <v>71995.0</v>
      </c>
      <c r="L111" s="66"/>
      <c r="M111" s="26" t="s">
        <v>590</v>
      </c>
      <c r="N111" s="28" t="s">
        <v>1210</v>
      </c>
      <c r="O111" s="28" t="s">
        <v>1211</v>
      </c>
      <c r="P111" s="66"/>
      <c r="Q111" s="120" t="s">
        <v>1605</v>
      </c>
      <c r="R111" s="54"/>
      <c r="S111" s="54"/>
      <c r="T111" s="54"/>
      <c r="U111" s="54"/>
      <c r="V111" s="30" t="s">
        <v>811</v>
      </c>
      <c r="W111" s="30" t="s">
        <v>1364</v>
      </c>
      <c r="X111" s="128"/>
      <c r="Y111" s="48" t="s">
        <v>50</v>
      </c>
      <c r="Z111" s="71" t="s">
        <v>1606</v>
      </c>
      <c r="AA111" s="66"/>
      <c r="AB111" s="106"/>
      <c r="AC111" s="66"/>
      <c r="AD111" s="66"/>
      <c r="AE111" s="81"/>
      <c r="AF111" s="121" t="str">
        <f>IFERROR(__xludf.DUMMYFUNCTION("HYPERLINK(
""https://wa.me/""&amp;REGEXREPLACE(Q111,""[^0-9]"","""")&amp;
""?text=""&amp;
ENCODEURL(
""Buenas tardes *""&amp;B111&amp;""*.
Te recordamos que tu plan """"""&amp;E111&amp;"""""" no incluye la declaración de renta. Te enviamos varios correos informando sobre este proce"&amp;"so. Esta semana vencen las primeras declaraciones juradas, lo que generará multas
Valor: *$""&amp;AG111&amp;""* + IVA = *$""&amp;AH111&amp;""*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11" s="123">
        <v>125000.0</v>
      </c>
      <c r="AH111" s="123">
        <f t="shared" si="12"/>
        <v>148750</v>
      </c>
      <c r="AI111" s="81"/>
      <c r="AJ111" s="81"/>
      <c r="AK111" s="81"/>
    </row>
    <row r="112">
      <c r="A112" s="126" t="s">
        <v>1604</v>
      </c>
      <c r="B112" s="25" t="s">
        <v>1212</v>
      </c>
      <c r="C112" s="30" t="s">
        <v>38</v>
      </c>
      <c r="D112" s="30" t="s">
        <v>38</v>
      </c>
      <c r="E112" s="48" t="s">
        <v>1416</v>
      </c>
      <c r="F112" s="137"/>
      <c r="G112" s="66"/>
      <c r="H112" s="88">
        <v>10000.0</v>
      </c>
      <c r="I112" s="88">
        <f t="shared" si="1"/>
        <v>11900</v>
      </c>
      <c r="J112" s="30"/>
      <c r="K112" s="88">
        <v>119000.0</v>
      </c>
      <c r="L112" s="71"/>
      <c r="M112" s="85" t="s">
        <v>256</v>
      </c>
      <c r="N112" s="86" t="s">
        <v>257</v>
      </c>
      <c r="O112" s="85" t="s">
        <v>260</v>
      </c>
      <c r="P112" s="87" t="s">
        <v>1213</v>
      </c>
      <c r="Q112" s="139" t="s">
        <v>1607</v>
      </c>
      <c r="R112" s="54"/>
      <c r="S112" s="54"/>
      <c r="T112" s="54"/>
      <c r="U112" s="54"/>
      <c r="V112" s="30" t="s">
        <v>811</v>
      </c>
      <c r="W112" s="30" t="s">
        <v>1364</v>
      </c>
      <c r="X112" s="141">
        <v>46086.0</v>
      </c>
      <c r="Y112" s="48" t="s">
        <v>50</v>
      </c>
      <c r="Z112" s="66"/>
      <c r="AA112" s="66"/>
      <c r="AB112" s="106"/>
      <c r="AC112" s="66"/>
      <c r="AD112" s="66"/>
      <c r="AE112" s="81"/>
      <c r="AF112" s="121" t="str">
        <f>IFERROR(__xludf.DUMMYFUNCTION("HYPERLINK(
""https://wa.me/""&amp;REGEXREPLACE(Q112,""[^0-9]"","""")&amp;
""?text=""&amp;
ENCODEURL(
""Hola *""&amp;B112&amp;""*.
Te recordamos que la factura Nº *""&amp;J112&amp;""* por el plan """"""&amp;E112&amp;"""""" se encuentra disponible para pago y vence hoy.
Monto: *$""&amp;I112&amp;""*"&amp;"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*$""&amp;AG112&amp;""*
Valor total febrero (con IVA): *$""&amp;AH112&amp;""*
A partir de mañana el valor"&amp;" aumenta un 25%, correspondiente al valor de diciembre.
Simple Pyme""
),
""Enviar WhatsApp""
)"),"Enviar WhatsApp")</f>
        <v>Enviar WhatsApp</v>
      </c>
      <c r="AG112" s="81"/>
      <c r="AH112" s="81">
        <f t="shared" si="12"/>
        <v>0</v>
      </c>
      <c r="AI112" s="81"/>
      <c r="AJ112" s="81"/>
      <c r="AK112" s="81"/>
    </row>
    <row r="113">
      <c r="A113" s="79" t="s">
        <v>1604</v>
      </c>
      <c r="B113" s="25" t="s">
        <v>1214</v>
      </c>
      <c r="C113" s="30" t="s">
        <v>38</v>
      </c>
      <c r="D113" s="30" t="s">
        <v>38</v>
      </c>
      <c r="E113" s="28" t="s">
        <v>1372</v>
      </c>
      <c r="F113" s="137"/>
      <c r="G113" s="30">
        <v>0.0</v>
      </c>
      <c r="H113" s="169">
        <v>50000.0</v>
      </c>
      <c r="I113" s="88">
        <f t="shared" si="1"/>
        <v>59500</v>
      </c>
      <c r="J113" s="30"/>
      <c r="K113" s="104"/>
      <c r="L113" s="30"/>
      <c r="M113" s="26" t="s">
        <v>300</v>
      </c>
      <c r="N113" s="28" t="s">
        <v>301</v>
      </c>
      <c r="O113" s="28" t="s">
        <v>298</v>
      </c>
      <c r="P113" s="87" t="s">
        <v>1215</v>
      </c>
      <c r="Q113" s="120" t="s">
        <v>1608</v>
      </c>
      <c r="R113" s="54"/>
      <c r="S113" s="54"/>
      <c r="T113" s="54"/>
      <c r="U113" s="54"/>
      <c r="V113" s="30" t="s">
        <v>811</v>
      </c>
      <c r="W113" s="30" t="s">
        <v>1364</v>
      </c>
      <c r="X113" s="128">
        <v>45790.0</v>
      </c>
      <c r="Y113" s="28" t="s">
        <v>50</v>
      </c>
      <c r="Z113" s="66"/>
      <c r="AA113" s="66"/>
      <c r="AB113" s="66"/>
      <c r="AC113" s="66"/>
      <c r="AD113" s="66"/>
      <c r="AE113" s="81"/>
      <c r="AF113" s="121" t="str">
        <f>IFERROR(__xludf.DUMMYFUNCTION("HYPERLINK(
""https://wa.me/""&amp;REGEXREPLACE(Q113,""[^0-9]"","""")&amp;
""?text=""&amp;
ENCODEURL(
""Buenas tardes *""&amp;B113&amp;""*.
Te recordamos que la factura """"""&amp;J113&amp;"""""" de tu plan """"""&amp;E113&amp;"""""" se encuentre impaga a la fecha, lo que implica que tu ser"&amp;"vicio se encuentra suspendido. Para reactivar el servicio y que hagamos la declaración mensual debes realizar el pago lo antes posible.
Valor: *$""&amp;H113&amp;""* + IVA = *$""&amp;I113&amp;""*
*CUENTA BANCARIA*
VOLLAIRE &amp; OLIVOS SIMPLE PYME LTDA
Banco BCI
Cuenta corri"&amp;"ente
RUT 78.306.207-0
Número de cuenta: 70809538
MATIAS.OLIVOS@VSVCONSULTORES.COM
También puedes pagar con tarjeta de débito o crédito en el siguiente link:
https://www.flow.cl/btn.php?token=xe78c9acb73c3eff5e917d5c932a4a2f7f971abe
Simple Pyme""
),
""En"&amp;"viar WhatsApp""
)"),"Enviar WhatsApp")</f>
        <v>Enviar WhatsApp</v>
      </c>
      <c r="AG113" s="81"/>
      <c r="AH113" s="81">
        <f t="shared" si="12"/>
        <v>0</v>
      </c>
      <c r="AI113" s="81"/>
      <c r="AJ113" s="81"/>
      <c r="AK113" s="81"/>
    </row>
    <row r="114" hidden="1">
      <c r="A114" s="126" t="s">
        <v>1604</v>
      </c>
      <c r="B114" s="25" t="s">
        <v>1216</v>
      </c>
      <c r="C114" s="28"/>
      <c r="D114" s="66"/>
      <c r="E114" s="48" t="s">
        <v>1413</v>
      </c>
      <c r="F114" s="138"/>
      <c r="G114" s="81"/>
      <c r="H114" s="170">
        <v>60500.0</v>
      </c>
      <c r="I114" s="88">
        <f t="shared" si="1"/>
        <v>71995</v>
      </c>
      <c r="J114" s="135" t="s">
        <v>1438</v>
      </c>
      <c r="K114" s="171"/>
      <c r="L114" s="71" t="s">
        <v>1609</v>
      </c>
      <c r="M114" s="26" t="s">
        <v>1217</v>
      </c>
      <c r="N114" s="30" t="s">
        <v>1218</v>
      </c>
      <c r="O114" s="28" t="s">
        <v>1219</v>
      </c>
      <c r="P114" s="66"/>
      <c r="Q114" s="120" t="s">
        <v>1610</v>
      </c>
      <c r="R114" s="88"/>
      <c r="S114" s="88"/>
      <c r="T114" s="88"/>
      <c r="U114" s="88"/>
      <c r="V114" s="30" t="s">
        <v>811</v>
      </c>
      <c r="W114" s="48" t="s">
        <v>1585</v>
      </c>
      <c r="X114" s="66"/>
      <c r="Y114" s="48" t="s">
        <v>50</v>
      </c>
      <c r="Z114" s="66"/>
      <c r="AA114" s="66"/>
      <c r="AB114" s="106"/>
      <c r="AC114" s="66"/>
      <c r="AD114" s="66"/>
      <c r="AE114" s="81"/>
      <c r="AF114" s="121" t="str">
        <f>IFERROR(__xludf.DUMMYFUNCTION("HYPERLINK(
""https://wa.me/""&amp;REGEXREPLACE(Q114,""[^0-9]"","""")&amp;
""?text=""&amp;
ENCODEURL(
""Hola *""&amp;B114&amp;""*.
Te recordamos que la factura Nº *""&amp;J114&amp;""* por el plan """"""&amp;E114&amp;"""""" se encuentra disponible para pago y vence hoy.
Monto: *$""&amp;I114&amp;""*"&amp;"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*$""&amp;AG114&amp;""*
Valor total febrero (con IVA): *$""&amp;AH114&amp;""*
A partir de mañana el valor"&amp;" aumenta un 25%, correspondiente al valor de diciembre.
Simple Pyme""
),
""Enviar WhatsApp""
)"),"Enviar WhatsApp")</f>
        <v>Enviar WhatsApp</v>
      </c>
      <c r="AG114" s="81">
        <v>0.0</v>
      </c>
      <c r="AH114" s="81">
        <f t="shared" si="12"/>
        <v>0</v>
      </c>
      <c r="AI114" s="81"/>
      <c r="AJ114" s="81"/>
      <c r="AK114" s="81"/>
    </row>
    <row r="115">
      <c r="A115" s="126" t="s">
        <v>1604</v>
      </c>
      <c r="B115" s="25" t="s">
        <v>1220</v>
      </c>
      <c r="C115" s="30" t="s">
        <v>38</v>
      </c>
      <c r="D115" s="30" t="s">
        <v>38</v>
      </c>
      <c r="E115" s="48" t="s">
        <v>1372</v>
      </c>
      <c r="F115" s="137"/>
      <c r="G115" s="66"/>
      <c r="H115" s="159">
        <v>50000.0</v>
      </c>
      <c r="I115" s="88">
        <f t="shared" si="1"/>
        <v>59500</v>
      </c>
      <c r="J115" s="30"/>
      <c r="K115" s="97">
        <v>59500.0</v>
      </c>
      <c r="L115" s="66"/>
      <c r="M115" s="26" t="s">
        <v>530</v>
      </c>
      <c r="N115" s="28" t="s">
        <v>531</v>
      </c>
      <c r="O115" s="28" t="s">
        <v>528</v>
      </c>
      <c r="P115" s="87" t="s">
        <v>1221</v>
      </c>
      <c r="Q115" s="120" t="s">
        <v>1611</v>
      </c>
      <c r="R115" s="54"/>
      <c r="S115" s="54"/>
      <c r="T115" s="54"/>
      <c r="U115" s="54"/>
      <c r="V115" s="30" t="s">
        <v>811</v>
      </c>
      <c r="W115" s="30" t="s">
        <v>1364</v>
      </c>
      <c r="X115" s="127">
        <v>46090.0</v>
      </c>
      <c r="Y115" s="48" t="s">
        <v>50</v>
      </c>
      <c r="Z115" s="28" t="s">
        <v>1222</v>
      </c>
      <c r="AA115" s="71" t="s">
        <v>531</v>
      </c>
      <c r="AB115" s="48" t="s">
        <v>1612</v>
      </c>
      <c r="AC115" s="66"/>
      <c r="AD115" s="66"/>
      <c r="AE115" s="81"/>
      <c r="AF115" s="121" t="str">
        <f>IFERROR(__xludf.DUMMYFUNCTION("HYPERLINK(
""https://wa.me/""&amp;REGEXREPLACE(Q115,""[^0-9]"","""")&amp;
""?text=""&amp;
ENCODEURL(
""Hola *""&amp;B115&amp;""*.
Te recordamos que la factura Nº *""&amp;J115&amp;""* por el plan """"""&amp;E115&amp;"""""" se encuentra disponible para pago y vence hoy.
Monto: *$""&amp;I115&amp;""*"&amp;"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*$""&amp;AG115&amp;""*
Valor total febrero (con IVA): *$""&amp;AH115&amp;""*
A partir de mañana el valor"&amp;" aumenta un 25%, correspondiente al valor de diciembre.
Simple Pyme""
),
""Enviar WhatsApp""
)"),"Enviar WhatsApp")</f>
        <v>Enviar WhatsApp</v>
      </c>
      <c r="AG115" s="122">
        <v>125000.0</v>
      </c>
      <c r="AH115" s="123">
        <f t="shared" si="12"/>
        <v>148750</v>
      </c>
      <c r="AI115" s="81"/>
      <c r="AJ115" s="81"/>
      <c r="AK115" s="81"/>
    </row>
    <row r="116" hidden="1">
      <c r="A116" s="126" t="s">
        <v>1604</v>
      </c>
      <c r="B116" s="81" t="s">
        <v>1223</v>
      </c>
      <c r="C116" s="28"/>
      <c r="D116" s="66"/>
      <c r="E116" s="48" t="s">
        <v>1413</v>
      </c>
      <c r="F116" s="137"/>
      <c r="G116" s="66"/>
      <c r="H116" s="159">
        <v>60500.0</v>
      </c>
      <c r="I116" s="88">
        <f t="shared" si="1"/>
        <v>71995</v>
      </c>
      <c r="J116" s="135" t="s">
        <v>1438</v>
      </c>
      <c r="K116" s="104"/>
      <c r="L116" s="71" t="s">
        <v>1613</v>
      </c>
      <c r="M116" s="89" t="s">
        <v>1224</v>
      </c>
      <c r="N116" s="86" t="s">
        <v>1225</v>
      </c>
      <c r="O116" s="28" t="s">
        <v>1226</v>
      </c>
      <c r="P116" s="81"/>
      <c r="Q116" s="172"/>
      <c r="R116" s="54"/>
      <c r="S116" s="54"/>
      <c r="T116" s="54"/>
      <c r="U116" s="54"/>
      <c r="V116" s="30" t="s">
        <v>811</v>
      </c>
      <c r="W116" s="48" t="s">
        <v>1585</v>
      </c>
      <c r="X116" s="66"/>
      <c r="Y116" s="48" t="s">
        <v>50</v>
      </c>
      <c r="Z116" s="66"/>
      <c r="AA116" s="66"/>
      <c r="AB116" s="106"/>
      <c r="AC116" s="66"/>
      <c r="AD116" s="66"/>
      <c r="AE116" s="81"/>
      <c r="AF116" s="121" t="str">
        <f>IFERROR(__xludf.DUMMYFUNCTION("HYPERLINK(
""https://wa.me/""&amp;REGEXREPLACE(Q116,""[^0-9]"","""")&amp;
""?text=""&amp;
ENCODEURL(
""Hola *""&amp;B116&amp;""*.
Te recordamos que la factura Nº *""&amp;J116&amp;""* por el plan """"""&amp;E116&amp;"""""" se encuentra disponible para pago y vence hoy.
Monto: *$""&amp;I116&amp;""*"&amp;"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*$""&amp;AG116&amp;""*
Valor total febrero (con IVA): *$""&amp;AH116&amp;""*
A partir de mañana el valor"&amp;" aumenta un 25%, correspondiente al valor de diciembre.
Simple Pyme""
),
""Enviar WhatsApp""
)"),"Enviar WhatsApp")</f>
        <v>Enviar WhatsApp</v>
      </c>
      <c r="AG116" s="81">
        <v>0.0</v>
      </c>
      <c r="AH116" s="81">
        <f t="shared" si="12"/>
        <v>0</v>
      </c>
      <c r="AI116" s="81"/>
      <c r="AJ116" s="81"/>
      <c r="AK116" s="81"/>
    </row>
    <row r="117" hidden="1">
      <c r="A117" s="126" t="s">
        <v>1604</v>
      </c>
      <c r="B117" s="81" t="s">
        <v>1227</v>
      </c>
      <c r="C117" s="28"/>
      <c r="D117" s="66"/>
      <c r="E117" s="48" t="s">
        <v>1416</v>
      </c>
      <c r="F117" s="137"/>
      <c r="G117" s="66"/>
      <c r="H117" s="159">
        <v>30000.0</v>
      </c>
      <c r="I117" s="88">
        <f t="shared" si="1"/>
        <v>35700</v>
      </c>
      <c r="J117" s="135" t="s">
        <v>1438</v>
      </c>
      <c r="K117" s="104"/>
      <c r="L117" s="71" t="s">
        <v>1613</v>
      </c>
      <c r="M117" s="26" t="s">
        <v>1228</v>
      </c>
      <c r="N117" s="28" t="s">
        <v>1229</v>
      </c>
      <c r="O117" s="28" t="s">
        <v>1230</v>
      </c>
      <c r="P117" s="66"/>
      <c r="Q117" s="172"/>
      <c r="R117" s="88"/>
      <c r="S117" s="88"/>
      <c r="T117" s="88"/>
      <c r="U117" s="54"/>
      <c r="V117" s="30" t="s">
        <v>811</v>
      </c>
      <c r="W117" s="48" t="s">
        <v>1585</v>
      </c>
      <c r="X117" s="66"/>
      <c r="Y117" s="48" t="s">
        <v>50</v>
      </c>
      <c r="Z117" s="66"/>
      <c r="AA117" s="66"/>
      <c r="AB117" s="106"/>
      <c r="AC117" s="66"/>
      <c r="AD117" s="66"/>
      <c r="AE117" s="81"/>
      <c r="AF117" s="121" t="str">
        <f>IFERROR(__xludf.DUMMYFUNCTION("HYPERLINK(
""https://wa.me/""&amp;REGEXREPLACE(Q117,""[^0-9]"","""")&amp;
""?text=""&amp;
ENCODEURL(
""Hola *""&amp;B117&amp;""*.
Te recordamos que la factura Nº *""&amp;J117&amp;""* por el plan """"""&amp;E117&amp;"""""" se encuentra disponible para pago y vence hoy.
Monto: *$""&amp;I117&amp;""*"&amp;"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*$""&amp;AG117&amp;""*
Valor total febrero (con IVA): *$""&amp;AH117&amp;""*
A partir de mañana el valor"&amp;" aumenta un 25%, correspondiente al valor de diciembre.
Simple Pyme""
),
""Enviar WhatsApp""
)"),"Enviar WhatsApp")</f>
        <v>Enviar WhatsApp</v>
      </c>
      <c r="AG117" s="81">
        <v>0.0</v>
      </c>
      <c r="AH117" s="81">
        <f t="shared" si="12"/>
        <v>0</v>
      </c>
      <c r="AI117" s="81"/>
      <c r="AJ117" s="81"/>
      <c r="AK117" s="81"/>
    </row>
    <row r="118" hidden="1">
      <c r="A118" s="126" t="s">
        <v>1604</v>
      </c>
      <c r="B118" s="25" t="s">
        <v>1231</v>
      </c>
      <c r="C118" s="28"/>
      <c r="D118" s="66"/>
      <c r="E118" s="48" t="s">
        <v>1362</v>
      </c>
      <c r="F118" s="137"/>
      <c r="G118" s="66"/>
      <c r="H118" s="159">
        <v>30000.0</v>
      </c>
      <c r="I118" s="88">
        <f t="shared" si="1"/>
        <v>35700</v>
      </c>
      <c r="J118" s="135" t="s">
        <v>1438</v>
      </c>
      <c r="K118" s="104"/>
      <c r="L118" s="71" t="s">
        <v>1584</v>
      </c>
      <c r="M118" s="85" t="s">
        <v>1232</v>
      </c>
      <c r="N118" s="28" t="s">
        <v>1233</v>
      </c>
      <c r="O118" s="28" t="s">
        <v>1234</v>
      </c>
      <c r="P118" s="66"/>
      <c r="Q118" s="172"/>
      <c r="R118" s="54"/>
      <c r="S118" s="54"/>
      <c r="T118" s="54"/>
      <c r="U118" s="54"/>
      <c r="V118" s="30" t="s">
        <v>811</v>
      </c>
      <c r="W118" s="48" t="s">
        <v>1585</v>
      </c>
      <c r="X118" s="66"/>
      <c r="Y118" s="48" t="s">
        <v>50</v>
      </c>
      <c r="Z118" s="66"/>
      <c r="AA118" s="66"/>
      <c r="AB118" s="106"/>
      <c r="AC118" s="66"/>
      <c r="AD118" s="66"/>
      <c r="AE118" s="81"/>
      <c r="AF118" s="121" t="str">
        <f>IFERROR(__xludf.DUMMYFUNCTION("HYPERLINK(
""https://wa.me/""&amp;REGEXREPLACE(Q118,""[^0-9]"","""")&amp;
""?text=""&amp;
ENCODEURL(
""Hola *""&amp;B118&amp;""*.
Te recordamos que la factura Nº *""&amp;J118&amp;""* por el plan """"""&amp;E118&amp;"""""" se encuentra disponible para pago y vence hoy.
Monto: *$""&amp;I118&amp;""*"&amp;"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*$""&amp;AG118&amp;""*
Valor total febrero (con IVA): *$""&amp;AH118&amp;""*
A partir de mañana el valor"&amp;" aumenta un 25%, correspondiente al valor de diciembre.
Simple Pyme""
),
""Enviar WhatsApp""
)"),"Enviar WhatsApp")</f>
        <v>Enviar WhatsApp</v>
      </c>
      <c r="AG118" s="81">
        <v>0.0</v>
      </c>
      <c r="AH118" s="81">
        <f t="shared" si="12"/>
        <v>0</v>
      </c>
      <c r="AI118" s="81"/>
      <c r="AJ118" s="81"/>
      <c r="AK118" s="81"/>
    </row>
    <row r="119" hidden="1">
      <c r="A119" s="126" t="s">
        <v>1604</v>
      </c>
      <c r="B119" s="25" t="s">
        <v>1235</v>
      </c>
      <c r="C119" s="28"/>
      <c r="D119" s="66"/>
      <c r="E119" s="48" t="s">
        <v>1413</v>
      </c>
      <c r="F119" s="137"/>
      <c r="G119" s="66"/>
      <c r="H119" s="159">
        <v>60500.0</v>
      </c>
      <c r="I119" s="88">
        <f t="shared" si="1"/>
        <v>71995</v>
      </c>
      <c r="J119" s="135" t="s">
        <v>1438</v>
      </c>
      <c r="K119" s="104"/>
      <c r="L119" s="71" t="s">
        <v>1614</v>
      </c>
      <c r="M119" s="26">
        <v>7.82295888E8</v>
      </c>
      <c r="N119" s="30" t="s">
        <v>1236</v>
      </c>
      <c r="O119" s="28" t="s">
        <v>1237</v>
      </c>
      <c r="P119" s="66"/>
      <c r="Q119" s="172"/>
      <c r="R119" s="54"/>
      <c r="S119" s="54"/>
      <c r="T119" s="54"/>
      <c r="U119" s="54"/>
      <c r="V119" s="30" t="s">
        <v>811</v>
      </c>
      <c r="W119" s="48" t="s">
        <v>1585</v>
      </c>
      <c r="X119" s="66"/>
      <c r="Y119" s="48" t="s">
        <v>50</v>
      </c>
      <c r="Z119" s="66"/>
      <c r="AA119" s="66"/>
      <c r="AB119" s="106"/>
      <c r="AC119" s="66"/>
      <c r="AD119" s="66"/>
      <c r="AE119" s="81"/>
      <c r="AF119" s="121" t="str">
        <f>IFERROR(__xludf.DUMMYFUNCTION("HYPERLINK(
""https://wa.me/""&amp;REGEXREPLACE(Q119,""[^0-9]"","""")&amp;
""?text=""&amp;
ENCODEURL(
""Hola *""&amp;B119&amp;""*.
Te recordamos que la factura Nº *""&amp;J119&amp;""* por el plan """"""&amp;E119&amp;"""""" se encuentra disponible para pago y vence hoy.
Monto: *$""&amp;I119&amp;""*"&amp;"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*$""&amp;AG119&amp;""*
Valor total febrero (con IVA): *$""&amp;AH119&amp;""*
A partir de mañana el valor"&amp;" aumenta un 25%, correspondiente al valor de diciembre.
Simple Pyme""
),
""Enviar WhatsApp""
)"),"Enviar WhatsApp")</f>
        <v>Enviar WhatsApp</v>
      </c>
      <c r="AG119" s="81">
        <v>0.0</v>
      </c>
      <c r="AH119" s="81">
        <f t="shared" si="12"/>
        <v>0</v>
      </c>
      <c r="AI119" s="81"/>
      <c r="AJ119" s="81"/>
      <c r="AK119" s="81"/>
    </row>
    <row r="120" hidden="1">
      <c r="A120" s="126" t="s">
        <v>1604</v>
      </c>
      <c r="B120" s="25" t="s">
        <v>1238</v>
      </c>
      <c r="C120" s="28"/>
      <c r="D120" s="66"/>
      <c r="E120" s="48" t="s">
        <v>1413</v>
      </c>
      <c r="F120" s="137"/>
      <c r="G120" s="66"/>
      <c r="H120" s="159">
        <v>60500.0</v>
      </c>
      <c r="I120" s="88">
        <f t="shared" si="1"/>
        <v>71995</v>
      </c>
      <c r="J120" s="135" t="s">
        <v>1438</v>
      </c>
      <c r="K120" s="104"/>
      <c r="L120" s="71" t="s">
        <v>1584</v>
      </c>
      <c r="M120" s="26" t="s">
        <v>1239</v>
      </c>
      <c r="N120" s="28" t="s">
        <v>1229</v>
      </c>
      <c r="O120" s="28" t="s">
        <v>1240</v>
      </c>
      <c r="P120" s="66"/>
      <c r="Q120" s="173"/>
      <c r="R120" s="88"/>
      <c r="S120" s="88"/>
      <c r="T120" s="88"/>
      <c r="U120" s="88"/>
      <c r="V120" s="30" t="s">
        <v>811</v>
      </c>
      <c r="W120" s="48" t="s">
        <v>1585</v>
      </c>
      <c r="X120" s="149"/>
      <c r="Y120" s="48" t="s">
        <v>50</v>
      </c>
      <c r="Z120" s="66"/>
      <c r="AA120" s="66"/>
      <c r="AB120" s="106"/>
      <c r="AC120" s="66"/>
      <c r="AD120" s="66"/>
      <c r="AE120" s="81"/>
      <c r="AF120" s="121" t="str">
        <f>IFERROR(__xludf.DUMMYFUNCTION("HYPERLINK(
""https://wa.me/""&amp;REGEXREPLACE(Q120,""[^0-9]"","""")&amp;
""?text=""&amp;
ENCODEURL(
""Hola *""&amp;B120&amp;""*.
Te recordamos que la factura Nº *""&amp;J120&amp;""* por el plan """"""&amp;E120&amp;"""""" se encuentra disponible para pago y vence hoy.
Monto: *$""&amp;I120&amp;""*"&amp;"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*$""&amp;AG120&amp;""*
Valor total febrero (con IVA): *$""&amp;AH120&amp;""*
A partir de mañana el valor"&amp;" aumenta un 25%, correspondiente al valor de diciembre.
Simple Pyme""
),
""Enviar WhatsApp""
)"),"Enviar WhatsApp")</f>
        <v>Enviar WhatsApp</v>
      </c>
      <c r="AG120" s="81">
        <v>0.0</v>
      </c>
      <c r="AH120" s="81">
        <f t="shared" si="12"/>
        <v>0</v>
      </c>
      <c r="AI120" s="81"/>
      <c r="AJ120" s="81"/>
      <c r="AK120" s="81"/>
    </row>
    <row r="121">
      <c r="A121" s="126" t="s">
        <v>1604</v>
      </c>
      <c r="B121" s="81" t="s">
        <v>1241</v>
      </c>
      <c r="C121" s="30" t="s">
        <v>38</v>
      </c>
      <c r="D121" s="30" t="s">
        <v>38</v>
      </c>
      <c r="E121" s="48" t="s">
        <v>1372</v>
      </c>
      <c r="F121" s="137"/>
      <c r="G121" s="28">
        <v>1.0</v>
      </c>
      <c r="H121" s="159">
        <v>60000.0</v>
      </c>
      <c r="I121" s="88">
        <f t="shared" si="1"/>
        <v>71400</v>
      </c>
      <c r="J121" s="30"/>
      <c r="K121" s="104"/>
      <c r="L121" s="66"/>
      <c r="M121" s="26" t="s">
        <v>1242</v>
      </c>
      <c r="N121" s="28" t="s">
        <v>486</v>
      </c>
      <c r="O121" s="28" t="s">
        <v>483</v>
      </c>
      <c r="P121" s="28" t="s">
        <v>487</v>
      </c>
      <c r="Q121" s="120" t="s">
        <v>1615</v>
      </c>
      <c r="R121" s="54"/>
      <c r="S121" s="54"/>
      <c r="T121" s="54"/>
      <c r="U121" s="54"/>
      <c r="V121" s="30" t="s">
        <v>811</v>
      </c>
      <c r="W121" s="30" t="s">
        <v>1364</v>
      </c>
      <c r="X121" s="128"/>
      <c r="Y121" s="48" t="s">
        <v>50</v>
      </c>
      <c r="Z121" s="28" t="s">
        <v>1243</v>
      </c>
      <c r="AA121" s="28">
        <v>1421.0</v>
      </c>
      <c r="AB121" s="48" t="s">
        <v>811</v>
      </c>
      <c r="AC121" s="66"/>
      <c r="AD121" s="66"/>
      <c r="AE121" s="81"/>
      <c r="AF121" s="121" t="str">
        <f>IFERROR(__xludf.DUMMYFUNCTION("HYPERLINK(
""https://wa.me/""&amp;REGEXREPLACE(Q121,""[^0-9]"","""")&amp;
""?text=""&amp;
ENCODEURL(
""Hola *""&amp;B121&amp;""*.
Te recordamos que la factura Nº *""&amp;J121&amp;""* por el plan """"""&amp;E121&amp;"""""" se encuentra disponible para pago y vence hoy.
Monto: *$""&amp;I121&amp;""*"&amp;"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21" s="81"/>
      <c r="AH121" s="81">
        <f t="shared" si="12"/>
        <v>0</v>
      </c>
      <c r="AI121" s="81"/>
      <c r="AJ121" s="81"/>
      <c r="AK121" s="81"/>
    </row>
    <row r="122" hidden="1">
      <c r="A122" s="126" t="s">
        <v>1604</v>
      </c>
      <c r="B122" s="25" t="s">
        <v>1244</v>
      </c>
      <c r="C122" s="28"/>
      <c r="D122" s="66"/>
      <c r="E122" s="48" t="s">
        <v>1362</v>
      </c>
      <c r="F122" s="137"/>
      <c r="G122" s="66"/>
      <c r="H122" s="159">
        <v>30000.0</v>
      </c>
      <c r="I122" s="88">
        <f t="shared" si="1"/>
        <v>35700</v>
      </c>
      <c r="J122" s="135" t="s">
        <v>1438</v>
      </c>
      <c r="K122" s="104"/>
      <c r="L122" s="71" t="s">
        <v>1584</v>
      </c>
      <c r="M122" s="26" t="s">
        <v>1245</v>
      </c>
      <c r="N122" s="28" t="s">
        <v>1246</v>
      </c>
      <c r="O122" s="28" t="s">
        <v>1247</v>
      </c>
      <c r="P122" s="28" t="s">
        <v>1248</v>
      </c>
      <c r="Q122" s="120" t="s">
        <v>1616</v>
      </c>
      <c r="R122" s="54"/>
      <c r="S122" s="54"/>
      <c r="T122" s="54"/>
      <c r="U122" s="54"/>
      <c r="V122" s="30" t="s">
        <v>811</v>
      </c>
      <c r="W122" s="48" t="s">
        <v>1585</v>
      </c>
      <c r="X122" s="66"/>
      <c r="Y122" s="48" t="s">
        <v>50</v>
      </c>
      <c r="Z122" s="28" t="s">
        <v>1250</v>
      </c>
      <c r="AA122" s="28" t="s">
        <v>1249</v>
      </c>
      <c r="AB122" s="48" t="s">
        <v>811</v>
      </c>
      <c r="AC122" s="66"/>
      <c r="AD122" s="66"/>
      <c r="AE122" s="81"/>
      <c r="AF122" s="121" t="str">
        <f>IFERROR(__xludf.DUMMYFUNCTION("HYPERLINK(
""https://wa.me/""&amp;REGEXREPLACE(Q122,""[^0-9]"","""")&amp;
""?text=""&amp;
ENCODEURL(
""Hola *""&amp;B122&amp;""*.
Te recordamos que la factura Nº *""&amp;J122&amp;""* por el plan """"""&amp;E122&amp;"""""" se encuentra disponible para pago y vence hoy.
Monto: *$""&amp;I122&amp;""*"&amp;"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*$""&amp;AG122&amp;""*
Valor total febrero (con IVA): *$""&amp;AH122&amp;""*
A partir de mañana el valor"&amp;" aumenta un 25%, correspondiente al valor de diciembre.
Simple Pyme""
),
""Enviar WhatsApp""
)"),"Enviar WhatsApp")</f>
        <v>Enviar WhatsApp</v>
      </c>
      <c r="AG122" s="81">
        <v>0.0</v>
      </c>
      <c r="AH122" s="81">
        <f t="shared" si="12"/>
        <v>0</v>
      </c>
      <c r="AI122" s="81"/>
      <c r="AJ122" s="81"/>
      <c r="AK122" s="81"/>
    </row>
    <row r="123" hidden="1">
      <c r="A123" s="126" t="s">
        <v>1604</v>
      </c>
      <c r="B123" s="81" t="s">
        <v>1251</v>
      </c>
      <c r="C123" s="28"/>
      <c r="D123" s="66"/>
      <c r="E123" s="48" t="s">
        <v>1416</v>
      </c>
      <c r="F123" s="137"/>
      <c r="G123" s="66"/>
      <c r="H123" s="159">
        <v>10000.0</v>
      </c>
      <c r="I123" s="88">
        <f t="shared" si="1"/>
        <v>11900</v>
      </c>
      <c r="J123" s="135" t="s">
        <v>1438</v>
      </c>
      <c r="K123" s="104"/>
      <c r="L123" s="71" t="s">
        <v>1584</v>
      </c>
      <c r="M123" s="26" t="s">
        <v>1252</v>
      </c>
      <c r="N123" s="28" t="s">
        <v>1253</v>
      </c>
      <c r="O123" s="28" t="s">
        <v>1254</v>
      </c>
      <c r="P123" s="28" t="s">
        <v>1255</v>
      </c>
      <c r="Q123" s="120" t="s">
        <v>1617</v>
      </c>
      <c r="R123" s="54"/>
      <c r="S123" s="54"/>
      <c r="T123" s="54"/>
      <c r="U123" s="54"/>
      <c r="V123" s="30" t="s">
        <v>811</v>
      </c>
      <c r="W123" s="48" t="s">
        <v>1585</v>
      </c>
      <c r="X123" s="66"/>
      <c r="Y123" s="48" t="s">
        <v>50</v>
      </c>
      <c r="Z123" s="28" t="s">
        <v>1257</v>
      </c>
      <c r="AA123" s="28" t="s">
        <v>1256</v>
      </c>
      <c r="AB123" s="48" t="s">
        <v>811</v>
      </c>
      <c r="AC123" s="66"/>
      <c r="AD123" s="66"/>
      <c r="AE123" s="81"/>
      <c r="AF123" s="121" t="str">
        <f>IFERROR(__xludf.DUMMYFUNCTION("HYPERLINK(
""https://wa.me/""&amp;REGEXREPLACE(Q123,""[^0-9]"","""")&amp;
""?text=""&amp;
ENCODEURL(
""Hola *""&amp;B123&amp;""*.
Te recordamos que la factura Nº *""&amp;J123&amp;""* por el plan """"""&amp;E123&amp;"""""" se encuentra disponible para pago y vence hoy.
Monto: *$""&amp;I123&amp;""*"&amp;"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*$""&amp;AG123&amp;""*
Valor total febrero (con IVA): *$""&amp;AH123&amp;""*
A partir de mañana el valor"&amp;" aumenta un 25%, correspondiente al valor de diciembre.
Simple Pyme""
),
""Enviar WhatsApp""
)"),"Enviar WhatsApp")</f>
        <v>Enviar WhatsApp</v>
      </c>
      <c r="AG123" s="81">
        <v>0.0</v>
      </c>
      <c r="AH123" s="81">
        <f t="shared" si="12"/>
        <v>0</v>
      </c>
      <c r="AI123" s="81"/>
      <c r="AJ123" s="81"/>
      <c r="AK123" s="81"/>
    </row>
    <row r="124">
      <c r="A124" s="126" t="s">
        <v>1604</v>
      </c>
      <c r="B124" s="25" t="s">
        <v>1618</v>
      </c>
      <c r="C124" s="28" t="s">
        <v>50</v>
      </c>
      <c r="D124" s="28"/>
      <c r="E124" s="48" t="s">
        <v>1416</v>
      </c>
      <c r="F124" s="137"/>
      <c r="G124" s="66"/>
      <c r="H124" s="88">
        <v>10000.0</v>
      </c>
      <c r="I124" s="88">
        <f t="shared" si="1"/>
        <v>11900</v>
      </c>
      <c r="J124" s="30"/>
      <c r="K124" s="104"/>
      <c r="L124" s="66"/>
      <c r="M124" s="26" t="s">
        <v>1619</v>
      </c>
      <c r="N124" s="28" t="s">
        <v>1620</v>
      </c>
      <c r="O124" s="25" t="s">
        <v>1514</v>
      </c>
      <c r="P124" s="28">
        <v>1.74830924E8</v>
      </c>
      <c r="Q124" s="139" t="s">
        <v>1516</v>
      </c>
      <c r="R124" s="54"/>
      <c r="S124" s="54"/>
      <c r="T124" s="54"/>
      <c r="U124" s="54"/>
      <c r="V124" s="30" t="s">
        <v>811</v>
      </c>
      <c r="W124" s="30" t="s">
        <v>1364</v>
      </c>
      <c r="X124" s="145">
        <v>46084.0</v>
      </c>
      <c r="Y124" s="48" t="s">
        <v>50</v>
      </c>
      <c r="Z124" s="28" t="s">
        <v>1518</v>
      </c>
      <c r="AA124" s="28" t="s">
        <v>1519</v>
      </c>
      <c r="AB124" s="48" t="s">
        <v>1621</v>
      </c>
      <c r="AC124" s="66"/>
      <c r="AD124" s="66"/>
      <c r="AE124" s="81"/>
      <c r="AF124" s="144" t="s">
        <v>1473</v>
      </c>
      <c r="AG124" s="122">
        <v>78125.0</v>
      </c>
      <c r="AH124" s="123">
        <v>92968.75</v>
      </c>
      <c r="AI124" s="123">
        <f>AH124/2</f>
        <v>46484.375</v>
      </c>
      <c r="AJ124" s="123"/>
      <c r="AK124" s="123"/>
    </row>
    <row r="125" hidden="1">
      <c r="A125" s="126" t="s">
        <v>1604</v>
      </c>
      <c r="B125" s="25" t="s">
        <v>1258</v>
      </c>
      <c r="C125" s="28"/>
      <c r="D125" s="66"/>
      <c r="E125" s="48" t="s">
        <v>1372</v>
      </c>
      <c r="F125" s="137"/>
      <c r="G125" s="66"/>
      <c r="H125" s="159">
        <v>50000.0</v>
      </c>
      <c r="I125" s="88">
        <f t="shared" si="1"/>
        <v>59500</v>
      </c>
      <c r="J125" s="135" t="s">
        <v>1438</v>
      </c>
      <c r="K125" s="104"/>
      <c r="L125" s="71" t="s">
        <v>1584</v>
      </c>
      <c r="M125" s="26" t="s">
        <v>1259</v>
      </c>
      <c r="N125" s="28" t="s">
        <v>1260</v>
      </c>
      <c r="O125" s="28" t="s">
        <v>1261</v>
      </c>
      <c r="P125" s="28" t="s">
        <v>1262</v>
      </c>
      <c r="Q125" s="120" t="s">
        <v>1622</v>
      </c>
      <c r="R125" s="54"/>
      <c r="S125" s="54"/>
      <c r="T125" s="54"/>
      <c r="U125" s="54"/>
      <c r="V125" s="30" t="s">
        <v>811</v>
      </c>
      <c r="W125" s="48" t="s">
        <v>1585</v>
      </c>
      <c r="X125" s="66"/>
      <c r="Y125" s="48" t="s">
        <v>50</v>
      </c>
      <c r="Z125" s="28" t="s">
        <v>1264</v>
      </c>
      <c r="AA125" s="28" t="s">
        <v>1263</v>
      </c>
      <c r="AB125" s="48" t="s">
        <v>811</v>
      </c>
      <c r="AC125" s="66"/>
      <c r="AD125" s="66"/>
      <c r="AE125" s="81"/>
      <c r="AF125" s="121" t="str">
        <f>IFERROR(__xludf.DUMMYFUNCTION("HYPERLINK(
""https://wa.me/""&amp;REGEXREPLACE(Q125,""[^0-9]"","""")&amp;
""?text=""&amp;
ENCODEURL(
""Hola *""&amp;B125&amp;""*.
Te recordamos que la factura Nº *""&amp;J125&amp;""* por el plan """"""&amp;E125&amp;"""""" se encuentra disponible para pago y vence hoy.
Monto: *$""&amp;I125&amp;""*"&amp;"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*$""&amp;AG125&amp;""*
Valor total febrero (con IVA): *$""&amp;AH125&amp;""*
A partir de mañana el valor"&amp;" aumenta un 25%, correspondiente al valor de diciembre.
Simple Pyme""
),
""Enviar WhatsApp""
)"),"Enviar WhatsApp")</f>
        <v>Enviar WhatsApp</v>
      </c>
      <c r="AG125" s="81">
        <v>0.0</v>
      </c>
      <c r="AH125" s="81">
        <f>AG125*1.19</f>
        <v>0</v>
      </c>
      <c r="AI125" s="81"/>
      <c r="AJ125" s="81"/>
      <c r="AK125" s="81"/>
    </row>
    <row r="126">
      <c r="A126" s="126" t="s">
        <v>1604</v>
      </c>
      <c r="B126" s="25" t="s">
        <v>1623</v>
      </c>
      <c r="C126" s="28" t="s">
        <v>50</v>
      </c>
      <c r="D126" s="28"/>
      <c r="E126" s="48" t="s">
        <v>1416</v>
      </c>
      <c r="F126" s="137"/>
      <c r="G126" s="66"/>
      <c r="H126" s="159">
        <v>10000.0</v>
      </c>
      <c r="I126" s="88">
        <f t="shared" si="1"/>
        <v>11900</v>
      </c>
      <c r="J126" s="30"/>
      <c r="K126" s="104"/>
      <c r="L126" s="81"/>
      <c r="M126" s="26" t="s">
        <v>1624</v>
      </c>
      <c r="N126" s="26" t="s">
        <v>1625</v>
      </c>
      <c r="O126" s="28" t="s">
        <v>1626</v>
      </c>
      <c r="P126" s="28" t="s">
        <v>1627</v>
      </c>
      <c r="Q126" s="120" t="s">
        <v>1628</v>
      </c>
      <c r="R126" s="54"/>
      <c r="S126" s="54"/>
      <c r="T126" s="54"/>
      <c r="U126" s="54"/>
      <c r="V126" s="30" t="s">
        <v>811</v>
      </c>
      <c r="W126" s="30" t="s">
        <v>1364</v>
      </c>
      <c r="X126" s="127">
        <v>46085.0</v>
      </c>
      <c r="Y126" s="48" t="s">
        <v>50</v>
      </c>
      <c r="Z126" s="28" t="s">
        <v>1629</v>
      </c>
      <c r="AA126" s="28" t="s">
        <v>1630</v>
      </c>
      <c r="AB126" s="48" t="s">
        <v>811</v>
      </c>
      <c r="AC126" s="66"/>
      <c r="AD126" s="66"/>
      <c r="AE126" s="81"/>
      <c r="AF126" s="121" t="str">
        <f>IFERROR(__xludf.DUMMYFUNCTION("HYPERLINK(
""https://wa.me/""&amp;REGEXREPLACE(Q126,""[^0-9]"","""")&amp;
""?text=""&amp;
ENCODEURL(
""Buenas tardes *""&amp;B126&amp;""*.
Te recordamos que tu plan *""""""&amp;E126&amp;""""""* *no incluye* la declaración de renta. Te enviamos varios correos informando sobre este p"&amp;"roceso. Esta semana vencen las primeras declaraciones juradas, lo que generará multas
Valor: *$""&amp;AG126&amp;""* + IVA = *$""&amp;AH126&amp;""*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26" s="122">
        <v>78125.0</v>
      </c>
      <c r="AH126" s="123">
        <v>92968.75</v>
      </c>
      <c r="AI126" s="123"/>
      <c r="AJ126" s="123"/>
      <c r="AK126" s="123"/>
    </row>
    <row r="127" hidden="1">
      <c r="A127" s="126" t="s">
        <v>1604</v>
      </c>
      <c r="B127" s="25" t="s">
        <v>1265</v>
      </c>
      <c r="C127" s="66"/>
      <c r="D127" s="66"/>
      <c r="E127" s="48" t="s">
        <v>1380</v>
      </c>
      <c r="F127" s="137"/>
      <c r="G127" s="66"/>
      <c r="H127" s="159">
        <v>0.0</v>
      </c>
      <c r="I127" s="88">
        <f t="shared" si="1"/>
        <v>0</v>
      </c>
      <c r="J127" s="135" t="s">
        <v>1438</v>
      </c>
      <c r="K127" s="104"/>
      <c r="L127" s="66"/>
      <c r="M127" s="26" t="s">
        <v>1266</v>
      </c>
      <c r="N127" s="28" t="s">
        <v>1267</v>
      </c>
      <c r="O127" s="28" t="s">
        <v>1268</v>
      </c>
      <c r="P127" s="66"/>
      <c r="Q127" s="120" t="s">
        <v>1509</v>
      </c>
      <c r="R127" s="54"/>
      <c r="S127" s="54"/>
      <c r="T127" s="54"/>
      <c r="U127" s="54"/>
      <c r="V127" s="30" t="s">
        <v>811</v>
      </c>
      <c r="W127" s="48" t="s">
        <v>1380</v>
      </c>
      <c r="X127" s="66"/>
      <c r="Y127" s="48" t="s">
        <v>50</v>
      </c>
      <c r="Z127" s="66"/>
      <c r="AA127" s="66"/>
      <c r="AB127" s="48" t="s">
        <v>1631</v>
      </c>
      <c r="AC127" s="66"/>
      <c r="AD127" s="66"/>
      <c r="AE127" s="81"/>
      <c r="AF127" s="121" t="str">
        <f>IFERROR(__xludf.DUMMYFUNCTION("HYPERLINK(
""https://wa.me/""&amp;REGEXREPLACE(Q127,""[^0-9]"","""")&amp;
""?text=""&amp;
ENCODEURL(
""Hola *""&amp;B127&amp;""*.
Te recordamos que la factura Nº *""&amp;J127&amp;""* por el plan """"""&amp;E127&amp;"""""" se encuentra disponible para pago y vence hoy.
Monto: *$""&amp;I127&amp;""*"&amp;"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*$""&amp;AG127&amp;""*
Valor total febrero (con IVA): *$""&amp;AH127&amp;""*
A partir de mañana el valor"&amp;" aumenta un 25%, correspondiente al valor de diciembre.
Simple Pyme""
),
""Enviar WhatsApp""
)"),"Enviar WhatsApp")</f>
        <v>Enviar WhatsApp</v>
      </c>
      <c r="AG127" s="81"/>
      <c r="AH127" s="81"/>
      <c r="AI127" s="81"/>
      <c r="AJ127" s="81"/>
      <c r="AK127" s="81"/>
    </row>
    <row r="128">
      <c r="A128" s="126" t="s">
        <v>1604</v>
      </c>
      <c r="B128" s="25" t="s">
        <v>1269</v>
      </c>
      <c r="C128" s="30" t="s">
        <v>38</v>
      </c>
      <c r="D128" s="30" t="s">
        <v>38</v>
      </c>
      <c r="E128" s="48" t="s">
        <v>1372</v>
      </c>
      <c r="F128" s="137"/>
      <c r="G128" s="66"/>
      <c r="H128" s="169">
        <v>70000.0</v>
      </c>
      <c r="I128" s="88">
        <f t="shared" si="1"/>
        <v>83300</v>
      </c>
      <c r="J128" s="30"/>
      <c r="K128" s="97">
        <v>119000.0</v>
      </c>
      <c r="L128" s="66"/>
      <c r="M128" s="26" t="s">
        <v>212</v>
      </c>
      <c r="N128" s="28" t="s">
        <v>213</v>
      </c>
      <c r="O128" s="28" t="s">
        <v>217</v>
      </c>
      <c r="P128" s="87" t="s">
        <v>1270</v>
      </c>
      <c r="Q128" s="174">
        <v>9.54838676E8</v>
      </c>
      <c r="R128" s="175"/>
      <c r="S128" s="175"/>
      <c r="T128" s="175"/>
      <c r="U128" s="54"/>
      <c r="V128" s="30" t="s">
        <v>811</v>
      </c>
      <c r="W128" s="30" t="s">
        <v>1364</v>
      </c>
      <c r="X128" s="150">
        <v>46085.0</v>
      </c>
      <c r="Y128" s="48" t="s">
        <v>50</v>
      </c>
      <c r="Z128" s="66"/>
      <c r="AA128" s="66"/>
      <c r="AB128" s="48" t="s">
        <v>1612</v>
      </c>
      <c r="AC128" s="66"/>
      <c r="AD128" s="66"/>
      <c r="AE128" s="81"/>
      <c r="AF128" s="81" t="str">
        <f>IFERROR(__xludf.DUMMYFUNCTION("HYPERLINK(
""https://wa.me/""&amp;REGEXREPLACE(Q128,""[^0-9]"","""")&amp;
""?text=""&amp;
ENCODEURL(
""Hola *""&amp;B128&amp;""*.
Te recordamos que la factura Nº *""&amp;J128&amp;""* por el plan """"""&amp;E128&amp;"""""" se encuentra disponible para pago y vence hoy.
Monto: *$""&amp;I128&amp;""*"&amp;"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*$""&amp;AG128&amp;""*
Valor total febrero (con IVA): *$""&amp;AH128&amp;""*
A partir de mañana el valor"&amp;" aumenta un 25%, correspondiente al valor de diciembre.
Simple Pyme""
),
""Enviar WhatsApp""
)"),"Enviar WhatsApp")</f>
        <v>Enviar WhatsApp</v>
      </c>
      <c r="AG128" s="81"/>
      <c r="AH128" s="81"/>
      <c r="AI128" s="81"/>
      <c r="AJ128" s="81"/>
      <c r="AK128" s="81"/>
    </row>
    <row r="129" hidden="1">
      <c r="A129" s="126" t="s">
        <v>1604</v>
      </c>
      <c r="B129" s="25" t="s">
        <v>1271</v>
      </c>
      <c r="C129" s="28"/>
      <c r="D129" s="66"/>
      <c r="E129" s="48" t="s">
        <v>1416</v>
      </c>
      <c r="F129" s="137"/>
      <c r="G129" s="66"/>
      <c r="H129" s="159">
        <v>10000.0</v>
      </c>
      <c r="I129" s="88">
        <f t="shared" si="1"/>
        <v>11900</v>
      </c>
      <c r="J129" s="135" t="s">
        <v>1438</v>
      </c>
      <c r="K129" s="104"/>
      <c r="L129" s="71" t="s">
        <v>1632</v>
      </c>
      <c r="M129" s="62" t="s">
        <v>1272</v>
      </c>
      <c r="N129" s="28" t="s">
        <v>809</v>
      </c>
      <c r="O129" s="52" t="s">
        <v>1273</v>
      </c>
      <c r="P129" s="28" t="s">
        <v>1274</v>
      </c>
      <c r="Q129" s="172"/>
      <c r="R129" s="88"/>
      <c r="S129" s="88"/>
      <c r="T129" s="88"/>
      <c r="U129" s="88"/>
      <c r="V129" s="48" t="s">
        <v>811</v>
      </c>
      <c r="W129" s="48" t="s">
        <v>1585</v>
      </c>
      <c r="X129" s="66"/>
      <c r="Y129" s="48" t="s">
        <v>50</v>
      </c>
      <c r="Z129" s="66"/>
      <c r="AA129" s="66"/>
      <c r="AB129" s="48" t="s">
        <v>811</v>
      </c>
      <c r="AC129" s="66"/>
      <c r="AD129" s="66"/>
      <c r="AE129" s="81"/>
      <c r="AF129" s="121" t="str">
        <f>IFERROR(__xludf.DUMMYFUNCTION("HYPERLINK(
""https://wa.me/""&amp;REGEXREPLACE(Q129,""[^0-9]"","""")&amp;
""?text=""&amp;
ENCODEURL(
""Hola *""&amp;B129&amp;""*.
Te recordamos que la factura Nº *""&amp;J129&amp;""* por el plan """"""&amp;E129&amp;"""""" se encuentra disponible para pago y vence hoy.
Monto: *$""&amp;I129&amp;""*"&amp;"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*$""&amp;AG129&amp;""*
Valor total febrero (con IVA): *$""&amp;AH129&amp;""*
A partir de mañana el valor"&amp;" aumenta un 25%, correspondiente al valor de diciembre.
Simple Pyme""
),
""Enviar WhatsApp""
)"),"Enviar WhatsApp")</f>
        <v>Enviar WhatsApp</v>
      </c>
      <c r="AG129" s="81">
        <v>0.0</v>
      </c>
      <c r="AH129" s="81">
        <f>AG129*1.19</f>
        <v>0</v>
      </c>
      <c r="AI129" s="81"/>
      <c r="AJ129" s="81"/>
      <c r="AK129" s="81"/>
    </row>
    <row r="130">
      <c r="A130" s="126" t="s">
        <v>1604</v>
      </c>
      <c r="B130" s="25" t="s">
        <v>1633</v>
      </c>
      <c r="C130" s="28" t="s">
        <v>50</v>
      </c>
      <c r="D130" s="28"/>
      <c r="E130" s="48" t="s">
        <v>1634</v>
      </c>
      <c r="F130" s="176" t="s">
        <v>1635</v>
      </c>
      <c r="G130" s="28" t="s">
        <v>1636</v>
      </c>
      <c r="H130" s="159">
        <v>10000.0</v>
      </c>
      <c r="I130" s="88">
        <f t="shared" si="1"/>
        <v>11900</v>
      </c>
      <c r="J130" s="30"/>
      <c r="K130" s="104"/>
      <c r="L130" s="28" t="s">
        <v>1637</v>
      </c>
      <c r="M130" s="26" t="s">
        <v>1638</v>
      </c>
      <c r="N130" s="28" t="s">
        <v>1636</v>
      </c>
      <c r="O130" s="28" t="s">
        <v>1639</v>
      </c>
      <c r="P130" s="106"/>
      <c r="Q130" s="30" t="s">
        <v>1640</v>
      </c>
      <c r="R130" s="30"/>
      <c r="S130" s="30"/>
      <c r="T130" s="30"/>
      <c r="U130" s="30"/>
      <c r="V130" s="48" t="s">
        <v>880</v>
      </c>
      <c r="W130" s="30" t="s">
        <v>1364</v>
      </c>
      <c r="X130" s="136"/>
      <c r="Y130" s="48" t="s">
        <v>50</v>
      </c>
      <c r="Z130" s="66"/>
      <c r="AA130" s="66"/>
      <c r="AB130" s="48" t="s">
        <v>1612</v>
      </c>
      <c r="AC130" s="66"/>
      <c r="AD130" s="66"/>
      <c r="AE130" s="81"/>
      <c r="AF130" s="177" t="s">
        <v>1473</v>
      </c>
      <c r="AG130" s="123">
        <v>125000.0</v>
      </c>
      <c r="AH130" s="123">
        <v>148750.0</v>
      </c>
      <c r="AI130" s="123"/>
      <c r="AJ130" s="123"/>
      <c r="AK130" s="123"/>
    </row>
    <row r="131">
      <c r="A131" s="126" t="s">
        <v>1604</v>
      </c>
      <c r="B131" s="25" t="s">
        <v>1275</v>
      </c>
      <c r="C131" s="30" t="s">
        <v>38</v>
      </c>
      <c r="D131" s="30" t="s">
        <v>38</v>
      </c>
      <c r="E131" s="48" t="s">
        <v>1362</v>
      </c>
      <c r="F131" s="178">
        <v>2.0</v>
      </c>
      <c r="G131" s="66"/>
      <c r="H131" s="159">
        <v>40000.0</v>
      </c>
      <c r="I131" s="88">
        <f t="shared" si="1"/>
        <v>47600</v>
      </c>
      <c r="J131" s="30"/>
      <c r="K131" s="104"/>
      <c r="L131" s="94"/>
      <c r="M131" s="26" t="s">
        <v>225</v>
      </c>
      <c r="N131" s="28" t="s">
        <v>226</v>
      </c>
      <c r="O131" s="28" t="s">
        <v>222</v>
      </c>
      <c r="P131" s="28" t="s">
        <v>1276</v>
      </c>
      <c r="Q131" s="30" t="s">
        <v>1641</v>
      </c>
      <c r="R131" s="54"/>
      <c r="S131" s="54"/>
      <c r="T131" s="54"/>
      <c r="U131" s="54"/>
      <c r="V131" s="30" t="s">
        <v>811</v>
      </c>
      <c r="W131" s="30" t="s">
        <v>1364</v>
      </c>
      <c r="X131" s="179">
        <v>46085.0</v>
      </c>
      <c r="Y131" s="48" t="s">
        <v>50</v>
      </c>
      <c r="Z131" s="28" t="s">
        <v>1277</v>
      </c>
      <c r="AA131" s="66"/>
      <c r="AB131" s="48" t="s">
        <v>1612</v>
      </c>
      <c r="AC131" s="66"/>
      <c r="AD131" s="66"/>
      <c r="AE131" s="81"/>
      <c r="AF131" s="121" t="str">
        <f>IFERROR(__xludf.DUMMYFUNCTION("HYPERLINK(
""https://wa.me/""&amp;REGEXREPLACE(Q131,""[^0-9]"","""")&amp;
""?text=""&amp;
ENCODEURL(
""Hola *""&amp;B131&amp;""*.
Te recordamos que la factura Nº *""&amp;J131&amp;""* por el plan """"""&amp;E131&amp;"""""" se encuentra disponible para pago y vence hoy.
Monto: *$""&amp;I131&amp;""*"&amp;"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*$""&amp;AG131&amp;""*
Valor total febrero (con IVA): *$""&amp;AH131&amp;""*
A partir de mañana el valor"&amp;" aumenta un 25%, correspondiente al valor de diciembre.
Simple Pyme""
),
""Enviar WhatsApp""
)"),"Enviar WhatsApp")</f>
        <v>Enviar WhatsApp</v>
      </c>
      <c r="AG131" s="81"/>
      <c r="AH131" s="81"/>
      <c r="AI131" s="81"/>
      <c r="AJ131" s="81"/>
      <c r="AK131" s="81"/>
    </row>
    <row r="132" hidden="1">
      <c r="A132" s="180" t="s">
        <v>1604</v>
      </c>
      <c r="B132" s="59" t="s">
        <v>1278</v>
      </c>
      <c r="C132" s="28" t="s">
        <v>50</v>
      </c>
      <c r="D132" s="28"/>
      <c r="E132" s="46" t="s">
        <v>1372</v>
      </c>
      <c r="F132" s="181">
        <v>2.0</v>
      </c>
      <c r="G132" s="46">
        <v>0.0</v>
      </c>
      <c r="H132" s="182">
        <v>70000.0</v>
      </c>
      <c r="I132" s="88">
        <f t="shared" si="1"/>
        <v>83300</v>
      </c>
      <c r="J132" s="183" t="s">
        <v>1376</v>
      </c>
      <c r="K132" s="184"/>
      <c r="L132" s="46"/>
      <c r="M132" s="46" t="s">
        <v>1279</v>
      </c>
      <c r="N132" s="73" t="s">
        <v>1280</v>
      </c>
      <c r="O132" s="46" t="s">
        <v>1281</v>
      </c>
      <c r="P132" s="46" t="s">
        <v>1282</v>
      </c>
      <c r="Q132" s="46" t="s">
        <v>1642</v>
      </c>
      <c r="R132" s="91"/>
      <c r="S132" s="91"/>
      <c r="T132" s="91"/>
      <c r="U132" s="91"/>
      <c r="V132" s="30" t="s">
        <v>811</v>
      </c>
      <c r="W132" s="183" t="s">
        <v>1470</v>
      </c>
      <c r="X132" s="185"/>
      <c r="Y132" s="69"/>
      <c r="Z132" s="46" t="s">
        <v>1284</v>
      </c>
      <c r="AA132" s="46" t="s">
        <v>1283</v>
      </c>
      <c r="AB132" s="46" t="s">
        <v>1612</v>
      </c>
      <c r="AC132" s="69"/>
      <c r="AD132" s="69"/>
      <c r="AE132" s="73"/>
      <c r="AF132" s="121" t="str">
        <f>IFERROR(__xludf.DUMMYFUNCTION("HYPERLINK(
""https://wa.me/""&amp;REGEXREPLACE(Q132,""[^0-9]"","""")&amp;
""?text=""&amp;
ENCODEURL(
""Hola *""&amp;B132&amp;""*.
Te recordamos que la factura Nº *""&amp;J132&amp;""* por el plan """"""&amp;E132&amp;"""""" se encuentra disponible para pago y vence hoy.
Monto: *$""&amp;I132&amp;""*"&amp;"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*$""&amp;AG132&amp;""*
Valor total febrero (con IVA): *$""&amp;AH132&amp;""*
A partir de mañana el valor"&amp;" aumenta un 25%, correspondiente al valor de diciembre.
Simple Pyme""
),
""Enviar WhatsApp""
)"),"Enviar WhatsApp")</f>
        <v>Enviar WhatsApp</v>
      </c>
      <c r="AG132" s="73"/>
      <c r="AH132" s="73"/>
      <c r="AI132" s="73"/>
      <c r="AJ132" s="73"/>
      <c r="AK132" s="73"/>
    </row>
    <row r="133">
      <c r="A133" s="126" t="s">
        <v>1604</v>
      </c>
      <c r="B133" s="25" t="s">
        <v>1285</v>
      </c>
      <c r="C133" s="30" t="s">
        <v>38</v>
      </c>
      <c r="D133" s="30" t="s">
        <v>38</v>
      </c>
      <c r="E133" s="48" t="s">
        <v>1372</v>
      </c>
      <c r="F133" s="178">
        <v>1.0</v>
      </c>
      <c r="G133" s="28">
        <v>0.0</v>
      </c>
      <c r="H133" s="159">
        <v>50000.0</v>
      </c>
      <c r="I133" s="88">
        <f t="shared" si="1"/>
        <v>59500</v>
      </c>
      <c r="J133" s="30"/>
      <c r="K133" s="97">
        <v>185937.0</v>
      </c>
      <c r="L133" s="28"/>
      <c r="M133" s="26" t="s">
        <v>711</v>
      </c>
      <c r="N133" s="28" t="s">
        <v>1286</v>
      </c>
      <c r="O133" s="28" t="s">
        <v>709</v>
      </c>
      <c r="P133" s="28" t="s">
        <v>1287</v>
      </c>
      <c r="Q133" s="30" t="s">
        <v>1643</v>
      </c>
      <c r="R133" s="54"/>
      <c r="S133" s="54"/>
      <c r="T133" s="54"/>
      <c r="U133" s="54"/>
      <c r="V133" s="30" t="s">
        <v>811</v>
      </c>
      <c r="W133" s="30" t="s">
        <v>1364</v>
      </c>
      <c r="X133" s="132">
        <v>46094.0</v>
      </c>
      <c r="Y133" s="48" t="s">
        <v>50</v>
      </c>
      <c r="Z133" s="28" t="s">
        <v>1288</v>
      </c>
      <c r="AA133" s="66"/>
      <c r="AB133" s="48" t="s">
        <v>1621</v>
      </c>
      <c r="AC133" s="66"/>
      <c r="AD133" s="66"/>
      <c r="AE133" s="81"/>
      <c r="AF133" s="121" t="str">
        <f>IFERROR(__xludf.DUMMYFUNCTION("HYPERLINK(
""https://wa.me/""&amp;REGEXREPLACE(Q133,""[^0-9]"","""")&amp;
""?text=""&amp;
ENCODEURL(
""Buenas tardes *""&amp;B133&amp;""*.
Te recordamos que tu plan *""""""&amp;E133&amp;""""""* *no incluye* la declaración de renta. Te enviamos varios correos informando sobre este p"&amp;"roceso. Esta semana vencen las primeras declaraciones juradas, lo que generará multas
Valor: *$""&amp;AG133&amp;""* + IVA = *$""&amp;AH133&amp;""*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33" s="123">
        <v>156250.0</v>
      </c>
      <c r="AH133" s="123">
        <v>185937.5</v>
      </c>
      <c r="AI133" s="123"/>
      <c r="AJ133" s="123"/>
      <c r="AK133" s="123"/>
    </row>
    <row r="134" hidden="1">
      <c r="A134" s="126" t="s">
        <v>1604</v>
      </c>
      <c r="B134" s="26" t="s">
        <v>1289</v>
      </c>
      <c r="C134" s="28"/>
      <c r="D134" s="28"/>
      <c r="E134" s="48" t="s">
        <v>1380</v>
      </c>
      <c r="F134" s="137"/>
      <c r="G134" s="66"/>
      <c r="H134" s="159">
        <v>0.0</v>
      </c>
      <c r="I134" s="88">
        <f t="shared" si="1"/>
        <v>0</v>
      </c>
      <c r="J134" s="135" t="s">
        <v>1438</v>
      </c>
      <c r="K134" s="104"/>
      <c r="L134" s="28"/>
      <c r="M134" s="28" t="s">
        <v>988</v>
      </c>
      <c r="N134" s="28" t="s">
        <v>989</v>
      </c>
      <c r="O134" s="28" t="s">
        <v>990</v>
      </c>
      <c r="P134" s="66"/>
      <c r="Q134" s="172"/>
      <c r="R134" s="54"/>
      <c r="S134" s="54"/>
      <c r="T134" s="54"/>
      <c r="U134" s="54"/>
      <c r="V134" s="30" t="s">
        <v>811</v>
      </c>
      <c r="W134" s="48" t="s">
        <v>1380</v>
      </c>
      <c r="X134" s="66"/>
      <c r="Y134" s="106"/>
      <c r="Z134" s="66"/>
      <c r="AA134" s="66"/>
      <c r="AB134" s="106"/>
      <c r="AC134" s="66"/>
      <c r="AD134" s="66"/>
      <c r="AE134" s="81"/>
      <c r="AF134" s="121" t="str">
        <f>IFERROR(__xludf.DUMMYFUNCTION("HYPERLINK(
""https://wa.me/""&amp;REGEXREPLACE(Q134,""[^0-9]"","""")&amp;
""?text=""&amp;
ENCODEURL(
""Hola *""&amp;B134&amp;""*.
Te recordamos que la factura Nº *""&amp;J134&amp;""* por el plan """"""&amp;E134&amp;"""""" se encuentra disponible para pago y vence hoy.
Monto: *$""&amp;I134&amp;""*"&amp;"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*$""&amp;AG134&amp;""*
Valor total febrero (con IVA): *$""&amp;AH134&amp;""*
A partir de mañana el valor"&amp;" aumenta un 25%, correspondiente al valor de diciembre.
Simple Pyme""
),
""Enviar WhatsApp""
)"),"Enviar WhatsApp")</f>
        <v>Enviar WhatsApp</v>
      </c>
      <c r="AG134" s="81"/>
      <c r="AH134" s="81"/>
      <c r="AI134" s="81"/>
      <c r="AJ134" s="81"/>
      <c r="AK134" s="81"/>
    </row>
    <row r="135" hidden="1">
      <c r="A135" s="126" t="s">
        <v>1604</v>
      </c>
      <c r="B135" s="25" t="s">
        <v>1290</v>
      </c>
      <c r="C135" s="28"/>
      <c r="D135" s="66"/>
      <c r="E135" s="48" t="s">
        <v>1413</v>
      </c>
      <c r="F135" s="137"/>
      <c r="G135" s="66"/>
      <c r="H135" s="159">
        <v>60500.0</v>
      </c>
      <c r="I135" s="88">
        <f t="shared" si="1"/>
        <v>71995</v>
      </c>
      <c r="J135" s="135" t="s">
        <v>1438</v>
      </c>
      <c r="K135" s="104"/>
      <c r="L135" s="71" t="s">
        <v>1613</v>
      </c>
      <c r="M135" s="26" t="s">
        <v>1291</v>
      </c>
      <c r="N135" s="28" t="s">
        <v>1292</v>
      </c>
      <c r="O135" s="52" t="s">
        <v>1293</v>
      </c>
      <c r="P135" s="28" t="s">
        <v>1294</v>
      </c>
      <c r="Q135" s="28" t="s">
        <v>1644</v>
      </c>
      <c r="R135" s="88"/>
      <c r="S135" s="88"/>
      <c r="T135" s="88"/>
      <c r="U135" s="88"/>
      <c r="V135" s="30" t="s">
        <v>811</v>
      </c>
      <c r="W135" s="48" t="s">
        <v>1585</v>
      </c>
      <c r="X135" s="66"/>
      <c r="Y135" s="106"/>
      <c r="Z135" s="66"/>
      <c r="AA135" s="66"/>
      <c r="AB135" s="48" t="s">
        <v>811</v>
      </c>
      <c r="AC135" s="66"/>
      <c r="AD135" s="66"/>
      <c r="AE135" s="81"/>
      <c r="AF135" s="121" t="str">
        <f>IFERROR(__xludf.DUMMYFUNCTION("HYPERLINK(
""https://wa.me/""&amp;REGEXREPLACE(Q135,""[^0-9]"","""")&amp;
""?text=""&amp;
ENCODEURL(
""Hola *""&amp;B135&amp;""*.
Te recordamos que la factura Nº *""&amp;J135&amp;""* por el plan """"""&amp;E135&amp;"""""" se encuentra disponible para pago y vence hoy.
Monto: *$""&amp;I135&amp;""*"&amp;"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*$""&amp;AG135&amp;""*
Valor total febrero (con IVA): *$""&amp;AH135&amp;""*
A partir de mañana el valor"&amp;" aumenta un 25%, correspondiente al valor de diciembre.
Simple Pyme""
),
""Enviar WhatsApp""
)"),"Enviar WhatsApp")</f>
        <v>Enviar WhatsApp</v>
      </c>
      <c r="AG135" s="81">
        <v>0.0</v>
      </c>
      <c r="AH135" s="81">
        <f t="shared" ref="AH135:AH140" si="13">AG135*1.19</f>
        <v>0</v>
      </c>
      <c r="AI135" s="81"/>
      <c r="AJ135" s="81"/>
      <c r="AK135" s="81"/>
    </row>
    <row r="136">
      <c r="A136" s="126" t="s">
        <v>1604</v>
      </c>
      <c r="B136" s="25" t="s">
        <v>1295</v>
      </c>
      <c r="C136" s="30" t="s">
        <v>38</v>
      </c>
      <c r="D136" s="30" t="s">
        <v>38</v>
      </c>
      <c r="E136" s="48" t="s">
        <v>1413</v>
      </c>
      <c r="F136" s="137"/>
      <c r="G136" s="66"/>
      <c r="H136" s="169">
        <v>60504.0</v>
      </c>
      <c r="I136" s="88">
        <f t="shared" si="1"/>
        <v>71999.76</v>
      </c>
      <c r="J136" s="30"/>
      <c r="K136" s="104"/>
      <c r="L136" s="66"/>
      <c r="M136" s="26" t="s">
        <v>506</v>
      </c>
      <c r="N136" s="92" t="s">
        <v>1296</v>
      </c>
      <c r="O136" s="28" t="s">
        <v>1297</v>
      </c>
      <c r="P136" s="28" t="s">
        <v>506</v>
      </c>
      <c r="Q136" s="28" t="s">
        <v>1645</v>
      </c>
      <c r="R136" s="54"/>
      <c r="S136" s="54"/>
      <c r="T136" s="54"/>
      <c r="U136" s="54"/>
      <c r="V136" s="30" t="s">
        <v>811</v>
      </c>
      <c r="W136" s="30" t="s">
        <v>1364</v>
      </c>
      <c r="X136" s="66"/>
      <c r="Y136" s="106"/>
      <c r="Z136" s="66"/>
      <c r="AA136" s="66"/>
      <c r="AB136" s="106"/>
      <c r="AC136" s="66"/>
      <c r="AD136" s="66"/>
      <c r="AE136" s="81"/>
      <c r="AF136" s="121" t="str">
        <f>IFERROR(__xludf.DUMMYFUNCTION("HYPERLINK(
""https://wa.me/""&amp;REGEXREPLACE(Q136,""[^0-9]"","""")&amp;
""?text=""&amp;
ENCODEURL(
""Hola *""&amp;B136&amp;""*.
Te recordamos que la factura Nº *""&amp;J136&amp;""* por el plan """"""&amp;E136&amp;"""""" se encuentra disponible para pago y vence hoy.
Monto: *$""&amp;I136&amp;""*"&amp;"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36" s="81"/>
      <c r="AH136" s="81">
        <f t="shared" si="13"/>
        <v>0</v>
      </c>
      <c r="AI136" s="81"/>
      <c r="AJ136" s="81"/>
      <c r="AK136" s="81"/>
    </row>
    <row r="137" hidden="1">
      <c r="A137" s="126" t="s">
        <v>1604</v>
      </c>
      <c r="B137" s="25" t="s">
        <v>1298</v>
      </c>
      <c r="C137" s="28"/>
      <c r="D137" s="66"/>
      <c r="E137" s="48" t="s">
        <v>1413</v>
      </c>
      <c r="F137" s="137"/>
      <c r="G137" s="66"/>
      <c r="H137" s="159">
        <v>60500.0</v>
      </c>
      <c r="I137" s="88">
        <f t="shared" si="1"/>
        <v>71995</v>
      </c>
      <c r="J137" s="135" t="s">
        <v>1438</v>
      </c>
      <c r="K137" s="104"/>
      <c r="L137" s="71" t="s">
        <v>1584</v>
      </c>
      <c r="M137" s="26" t="s">
        <v>1299</v>
      </c>
      <c r="N137" s="28" t="s">
        <v>1300</v>
      </c>
      <c r="O137" s="28" t="s">
        <v>1301</v>
      </c>
      <c r="P137" s="28" t="s">
        <v>1302</v>
      </c>
      <c r="Q137" s="28" t="s">
        <v>1646</v>
      </c>
      <c r="R137" s="54"/>
      <c r="S137" s="54"/>
      <c r="T137" s="54"/>
      <c r="U137" s="54"/>
      <c r="V137" s="30" t="s">
        <v>811</v>
      </c>
      <c r="W137" s="48" t="s">
        <v>1585</v>
      </c>
      <c r="X137" s="66"/>
      <c r="Y137" s="106"/>
      <c r="Z137" s="66"/>
      <c r="AA137" s="66"/>
      <c r="AB137" s="106"/>
      <c r="AC137" s="66"/>
      <c r="AD137" s="66"/>
      <c r="AE137" s="81"/>
      <c r="AF137" s="121" t="str">
        <f>IFERROR(__xludf.DUMMYFUNCTION("HYPERLINK(
""https://wa.me/""&amp;REGEXREPLACE(Q137,""[^0-9]"","""")&amp;
""?text=""&amp;
ENCODEURL(
""Hola *""&amp;B137&amp;""*.
Te recordamos que la factura Nº *""&amp;J137&amp;""* por el plan """"""&amp;E137&amp;"""""" se encuentra disponible para pago y vence hoy.
Monto: *$""&amp;I137&amp;""*"&amp;"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*$""&amp;AG137&amp;""*
Valor total febrero (con IVA): *$""&amp;AH137&amp;""*
A partir de mañana el valor"&amp;" aumenta un 25%, correspondiente al valor de diciembre.
Simple Pyme""
),
""Enviar WhatsApp""
)"),"Enviar WhatsApp")</f>
        <v>Enviar WhatsApp</v>
      </c>
      <c r="AG137" s="81">
        <v>0.0</v>
      </c>
      <c r="AH137" s="81">
        <f t="shared" si="13"/>
        <v>0</v>
      </c>
      <c r="AI137" s="81"/>
      <c r="AJ137" s="81"/>
      <c r="AK137" s="81"/>
    </row>
    <row r="138">
      <c r="A138" s="126" t="s">
        <v>1604</v>
      </c>
      <c r="B138" s="65" t="s">
        <v>1303</v>
      </c>
      <c r="C138" s="30" t="s">
        <v>38</v>
      </c>
      <c r="D138" s="30" t="s">
        <v>38</v>
      </c>
      <c r="E138" s="48" t="s">
        <v>1413</v>
      </c>
      <c r="F138" s="137"/>
      <c r="G138" s="66"/>
      <c r="H138" s="169">
        <v>60504.0</v>
      </c>
      <c r="I138" s="88">
        <f t="shared" si="1"/>
        <v>71999.76</v>
      </c>
      <c r="J138" s="30"/>
      <c r="K138" s="104"/>
      <c r="L138" s="66"/>
      <c r="M138" s="94" t="s">
        <v>478</v>
      </c>
      <c r="N138" s="93" t="s">
        <v>479</v>
      </c>
      <c r="O138" s="94" t="s">
        <v>1304</v>
      </c>
      <c r="P138" s="28" t="s">
        <v>1305</v>
      </c>
      <c r="Q138" s="186" t="s">
        <v>1647</v>
      </c>
      <c r="R138" s="54"/>
      <c r="S138" s="54"/>
      <c r="T138" s="54"/>
      <c r="U138" s="54"/>
      <c r="V138" s="30" t="s">
        <v>811</v>
      </c>
      <c r="W138" s="30" t="s">
        <v>1364</v>
      </c>
      <c r="X138" s="128">
        <v>46086.0</v>
      </c>
      <c r="Y138" s="106"/>
      <c r="Z138" s="66"/>
      <c r="AA138" s="66"/>
      <c r="AB138" s="105" t="s">
        <v>1612</v>
      </c>
      <c r="AC138" s="66"/>
      <c r="AD138" s="66"/>
      <c r="AE138" s="81"/>
      <c r="AF138" s="121" t="str">
        <f>IFERROR(__xludf.DUMMYFUNCTION("HYPERLINK(
""https://wa.me/""&amp;REGEXREPLACE(Q138,""[^0-9]"","""")&amp;
""?text=""&amp;
ENCODEURL(
""Hola *""&amp;B138&amp;""*.
Te recordamos que la factura Nº *""&amp;J138&amp;""* por el plan """"""&amp;E138&amp;"""""" se encuentra disponible para pago y vence hoy.
Monto: *$""&amp;I138&amp;""*"&amp;"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38" s="81"/>
      <c r="AH138" s="81">
        <f t="shared" si="13"/>
        <v>0</v>
      </c>
      <c r="AI138" s="81"/>
      <c r="AJ138" s="81"/>
      <c r="AK138" s="81"/>
    </row>
    <row r="139">
      <c r="A139" s="81"/>
      <c r="B139" s="25" t="s">
        <v>1306</v>
      </c>
      <c r="C139" s="30" t="s">
        <v>38</v>
      </c>
      <c r="D139" s="30" t="s">
        <v>38</v>
      </c>
      <c r="E139" s="48" t="s">
        <v>1362</v>
      </c>
      <c r="F139" s="94"/>
      <c r="G139" s="94"/>
      <c r="H139" s="88">
        <v>30000.0</v>
      </c>
      <c r="I139" s="88">
        <f t="shared" si="1"/>
        <v>35700</v>
      </c>
      <c r="J139" s="30"/>
      <c r="K139" s="142">
        <v>119000.0</v>
      </c>
      <c r="L139" s="187"/>
      <c r="M139" s="26" t="s">
        <v>491</v>
      </c>
      <c r="N139" s="26" t="s">
        <v>492</v>
      </c>
      <c r="O139" s="25" t="s">
        <v>1307</v>
      </c>
      <c r="P139" s="28" t="s">
        <v>1308</v>
      </c>
      <c r="Q139" s="28" t="s">
        <v>1648</v>
      </c>
      <c r="R139" s="54"/>
      <c r="S139" s="54"/>
      <c r="T139" s="54"/>
      <c r="U139" s="54"/>
      <c r="V139" s="30" t="s">
        <v>811</v>
      </c>
      <c r="W139" s="30" t="s">
        <v>1364</v>
      </c>
      <c r="X139" s="128">
        <v>46086.0</v>
      </c>
      <c r="Y139" s="66"/>
      <c r="Z139" s="28" t="s">
        <v>1309</v>
      </c>
      <c r="AA139" s="28" t="s">
        <v>494</v>
      </c>
      <c r="AB139" s="48" t="s">
        <v>1621</v>
      </c>
      <c r="AC139" s="66"/>
      <c r="AD139" s="66"/>
      <c r="AE139" s="94"/>
      <c r="AF139" s="121" t="str">
        <f>IFERROR(__xludf.DUMMYFUNCTION("HYPERLINK(
""https://wa.me/""&amp;REGEXREPLACE(Q139,""[^0-9]"","""")&amp;
""?text=""&amp;
ENCODEURL(
""Hola *""&amp;B139&amp;""*.
Te recordamos que la factura Nº *""&amp;J139&amp;""* por el plan """"""&amp;E139&amp;"""""" se encuentra disponible para pago y vence hoy.
Monto: *$""&amp;I139&amp;""*"&amp;"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*$""&amp;AG139&amp;""*
Valor total febrero (con IVA): *$""&amp;AH139&amp;""*
A partir de mañana el valor"&amp;" aumenta un 25%, correspondiente al valor de diciembre.
Simple Pyme""
),
""Enviar WhatsApp""
)"),"Enviar WhatsApp")</f>
        <v>Enviar WhatsApp</v>
      </c>
      <c r="AG139" s="122">
        <v>100000.0</v>
      </c>
      <c r="AH139" s="123">
        <f t="shared" si="13"/>
        <v>119000</v>
      </c>
      <c r="AI139" s="81"/>
      <c r="AJ139" s="81"/>
      <c r="AK139" s="81"/>
    </row>
    <row r="140" hidden="1">
      <c r="A140" s="126" t="s">
        <v>1604</v>
      </c>
      <c r="B140" s="94" t="s">
        <v>1310</v>
      </c>
      <c r="C140" s="28"/>
      <c r="D140" s="66"/>
      <c r="E140" s="48" t="s">
        <v>1413</v>
      </c>
      <c r="F140" s="137"/>
      <c r="G140" s="66"/>
      <c r="H140" s="159">
        <v>60500.0</v>
      </c>
      <c r="I140" s="88">
        <f t="shared" si="1"/>
        <v>71995</v>
      </c>
      <c r="J140" s="135" t="s">
        <v>1438</v>
      </c>
      <c r="K140" s="104"/>
      <c r="L140" s="71" t="s">
        <v>1613</v>
      </c>
      <c r="M140" s="26" t="s">
        <v>1311</v>
      </c>
      <c r="N140" s="28" t="s">
        <v>809</v>
      </c>
      <c r="O140" s="28" t="s">
        <v>1312</v>
      </c>
      <c r="P140" s="28" t="s">
        <v>1313</v>
      </c>
      <c r="Q140" s="28" t="s">
        <v>1649</v>
      </c>
      <c r="R140" s="54"/>
      <c r="S140" s="54"/>
      <c r="T140" s="54"/>
      <c r="U140" s="54"/>
      <c r="V140" s="70" t="s">
        <v>880</v>
      </c>
      <c r="W140" s="48" t="s">
        <v>1585</v>
      </c>
      <c r="X140" s="66"/>
      <c r="Y140" s="106"/>
      <c r="Z140" s="66"/>
      <c r="AA140" s="66"/>
      <c r="AB140" s="106"/>
      <c r="AC140" s="66"/>
      <c r="AD140" s="66"/>
      <c r="AE140" s="81"/>
      <c r="AF140" s="121" t="str">
        <f>IFERROR(__xludf.DUMMYFUNCTION("HYPERLINK(
""https://wa.me/""&amp;REGEXREPLACE(Q140,""[^0-9]"","""")&amp;
""?text=""&amp;
ENCODEURL(
""Hola *""&amp;B140&amp;""*.
Te recordamos que la factura Nº *""&amp;J140&amp;""* por el plan """"""&amp;E140&amp;"""""" se encuentra disponible para pago y vence hoy.
Monto: *$""&amp;I140&amp;""*"&amp;"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*$""&amp;AG140&amp;""*
Valor total febrero (con IVA): *$""&amp;AH140&amp;""*
A partir de mañana el valor"&amp;" aumenta un 25%, correspondiente al valor de diciembre.
Simple Pyme""
),
""Enviar WhatsApp""
)"),"Enviar WhatsApp")</f>
        <v>Enviar WhatsApp</v>
      </c>
      <c r="AG140" s="81">
        <v>0.0</v>
      </c>
      <c r="AH140" s="81">
        <f t="shared" si="13"/>
        <v>0</v>
      </c>
      <c r="AI140" s="81"/>
      <c r="AJ140" s="81"/>
      <c r="AK140" s="81"/>
    </row>
    <row r="141" hidden="1">
      <c r="A141" s="81"/>
      <c r="B141" s="25" t="s">
        <v>1650</v>
      </c>
      <c r="C141" s="28" t="s">
        <v>50</v>
      </c>
      <c r="D141" s="28"/>
      <c r="E141" s="48" t="s">
        <v>1416</v>
      </c>
      <c r="F141" s="137"/>
      <c r="G141" s="66"/>
      <c r="H141" s="159">
        <v>10000.0</v>
      </c>
      <c r="I141" s="88">
        <f t="shared" si="1"/>
        <v>11900</v>
      </c>
      <c r="J141" s="30" t="s">
        <v>1376</v>
      </c>
      <c r="K141" s="137"/>
      <c r="L141" s="66"/>
      <c r="M141" s="94" t="s">
        <v>1651</v>
      </c>
      <c r="N141" s="28" t="s">
        <v>1652</v>
      </c>
      <c r="O141" s="28" t="s">
        <v>1653</v>
      </c>
      <c r="P141" s="66"/>
      <c r="Q141" s="28" t="s">
        <v>1654</v>
      </c>
      <c r="R141" s="54"/>
      <c r="S141" s="30" t="s">
        <v>880</v>
      </c>
      <c r="T141" s="30" t="s">
        <v>880</v>
      </c>
      <c r="U141" s="30" t="s">
        <v>880</v>
      </c>
      <c r="V141" s="30" t="s">
        <v>880</v>
      </c>
      <c r="W141" s="30" t="s">
        <v>1470</v>
      </c>
      <c r="X141" s="66"/>
      <c r="Y141" s="106"/>
      <c r="Z141" s="28" t="s">
        <v>1655</v>
      </c>
      <c r="AA141" s="66"/>
      <c r="AB141" s="48" t="s">
        <v>811</v>
      </c>
      <c r="AC141" s="66"/>
      <c r="AD141" s="66"/>
      <c r="AE141" s="81"/>
      <c r="AF141" s="121" t="str">
        <f>IFERROR(__xludf.DUMMYFUNCTION("HYPERLINK(
""https://wa.me/""&amp;REGEXREPLACE(Q141,""[^0-9]"","""")&amp;
""?text=""&amp;
ENCODEURL(
""Buenas tardes *""&amp;B141&amp;""*.
Te recordamos que tu plan *""""""&amp;E141&amp;""""""* *no incluye* la declaración de renta. Te enviamos varios correos informando sobre este p"&amp;"roceso. Esta semana vencen las primeras declaraciones juradas, lo que generará multas
Valor: *$""&amp;AG141&amp;""* + IVA = *$""&amp;AH141&amp;""*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41" s="144">
        <v>100000.0</v>
      </c>
      <c r="AH141" s="81">
        <v>119000.0</v>
      </c>
      <c r="AI141" s="81"/>
      <c r="AJ141" s="81"/>
      <c r="AK141" s="81"/>
    </row>
    <row r="142" hidden="1">
      <c r="A142" s="81"/>
      <c r="B142" s="25" t="s">
        <v>1656</v>
      </c>
      <c r="C142" s="28" t="s">
        <v>50</v>
      </c>
      <c r="D142" s="28"/>
      <c r="E142" s="48" t="s">
        <v>1416</v>
      </c>
      <c r="F142" s="137"/>
      <c r="G142" s="66"/>
      <c r="H142" s="159">
        <v>10000.0</v>
      </c>
      <c r="I142" s="88">
        <f t="shared" si="1"/>
        <v>11900</v>
      </c>
      <c r="J142" s="30" t="s">
        <v>1376</v>
      </c>
      <c r="K142" s="137"/>
      <c r="L142" s="71" t="s">
        <v>1178</v>
      </c>
      <c r="M142" s="26" t="s">
        <v>1657</v>
      </c>
      <c r="N142" s="28" t="s">
        <v>1658</v>
      </c>
      <c r="O142" s="28" t="s">
        <v>1659</v>
      </c>
      <c r="P142" s="66"/>
      <c r="Q142" s="28" t="s">
        <v>1654</v>
      </c>
      <c r="R142" s="54"/>
      <c r="S142" s="30" t="s">
        <v>880</v>
      </c>
      <c r="T142" s="30" t="s">
        <v>880</v>
      </c>
      <c r="U142" s="30" t="s">
        <v>880</v>
      </c>
      <c r="V142" s="30" t="s">
        <v>880</v>
      </c>
      <c r="W142" s="30" t="s">
        <v>1470</v>
      </c>
      <c r="X142" s="128"/>
      <c r="Y142" s="106"/>
      <c r="Z142" s="28" t="s">
        <v>1656</v>
      </c>
      <c r="AA142" s="66"/>
      <c r="AB142" s="48" t="s">
        <v>811</v>
      </c>
      <c r="AC142" s="66"/>
      <c r="AD142" s="66"/>
      <c r="AE142" s="81"/>
      <c r="AF142" s="121" t="str">
        <f>IFERROR(__xludf.DUMMYFUNCTION("HYPERLINK(
""https://wa.me/""&amp;REGEXREPLACE(Q142,""[^0-9]"","""")&amp;
""?text=""&amp;
ENCODEURL(
""Buenas tardes *""&amp;B142&amp;""*.
Te recordamos que tu plan *""""""&amp;E142&amp;""""""* *no incluye* la declaración de renta. Te enviamos varios correos informando sobre este p"&amp;"roceso. Esta semana vencen las primeras declaraciones juradas, lo que generará multas
Valor: *$""&amp;AG142&amp;""* + IVA = *$""&amp;AH142&amp;""*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42" s="144">
        <v>100000.0</v>
      </c>
      <c r="AH142" s="81">
        <v>119000.0</v>
      </c>
      <c r="AI142" s="81"/>
      <c r="AJ142" s="81"/>
      <c r="AK142" s="81"/>
    </row>
    <row r="143" hidden="1">
      <c r="A143" s="81"/>
      <c r="B143" s="95" t="s">
        <v>1317</v>
      </c>
      <c r="C143" s="66"/>
      <c r="D143" s="66"/>
      <c r="E143" s="105" t="s">
        <v>1380</v>
      </c>
      <c r="F143" s="137"/>
      <c r="G143" s="66"/>
      <c r="H143" s="95">
        <v>0.0</v>
      </c>
      <c r="I143" s="188">
        <v>0.0</v>
      </c>
      <c r="J143" s="188" t="s">
        <v>1438</v>
      </c>
      <c r="K143" s="137"/>
      <c r="L143" s="66"/>
      <c r="M143" s="96" t="s">
        <v>1318</v>
      </c>
      <c r="N143" s="96" t="s">
        <v>1319</v>
      </c>
      <c r="O143" s="53" t="s">
        <v>1320</v>
      </c>
      <c r="P143" s="66"/>
      <c r="Q143" s="71" t="s">
        <v>1660</v>
      </c>
      <c r="R143" s="97"/>
      <c r="S143" s="97"/>
      <c r="T143" s="97"/>
      <c r="U143" s="97"/>
      <c r="V143" s="30" t="s">
        <v>811</v>
      </c>
      <c r="W143" s="105" t="s">
        <v>1380</v>
      </c>
      <c r="X143" s="66"/>
      <c r="Y143" s="106"/>
      <c r="Z143" s="66"/>
      <c r="AA143" s="66"/>
      <c r="AB143" s="106"/>
      <c r="AC143" s="66"/>
      <c r="AD143" s="66"/>
      <c r="AE143" s="81"/>
      <c r="AF143" s="121" t="str">
        <f>IFERROR(__xludf.DUMMYFUNCTION("HYPERLINK(
""https://wa.me/""&amp;REGEXREPLACE(Q143,""[^0-9]"","""")&amp;
""?text=""&amp;
ENCODEURL(
""Hola *""&amp;B143&amp;""*.
Te recordamos que la factura Nº *""&amp;J143&amp;""* por el plan """"""&amp;E143&amp;"""""" se encuentra disponible para pago y vence hoy.
Monto: *$""&amp;I143&amp;""*"&amp;"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*$""&amp;AG143&amp;""*
Valor total febrero (con IVA): *$""&amp;AH143&amp;""*
A partir de mañana el valor"&amp;" aumenta un 25%, correspondiente al valor de diciembre.
Simple Pyme""
),
""Enviar WhatsApp""
)"),"Enviar WhatsApp")</f>
        <v>Enviar WhatsApp</v>
      </c>
      <c r="AG143" s="81"/>
      <c r="AH143" s="81"/>
      <c r="AI143" s="81"/>
      <c r="AJ143" s="81"/>
      <c r="AK143" s="81"/>
    </row>
    <row r="144">
      <c r="A144" s="81"/>
      <c r="B144" s="71" t="s">
        <v>1321</v>
      </c>
      <c r="C144" s="30" t="s">
        <v>38</v>
      </c>
      <c r="D144" s="30" t="s">
        <v>38</v>
      </c>
      <c r="E144" s="105" t="s">
        <v>1362</v>
      </c>
      <c r="H144" s="96">
        <v>30000.0</v>
      </c>
      <c r="I144" s="88">
        <f t="shared" ref="I144:I146" si="14">H144*1.19</f>
        <v>35700</v>
      </c>
      <c r="J144" s="30"/>
      <c r="K144" s="137"/>
      <c r="L144" s="66"/>
      <c r="M144" s="71" t="s">
        <v>674</v>
      </c>
      <c r="N144" s="71" t="s">
        <v>675</v>
      </c>
      <c r="O144" s="71" t="s">
        <v>1322</v>
      </c>
      <c r="P144" s="71" t="s">
        <v>1323</v>
      </c>
      <c r="Q144" s="97" t="s">
        <v>1661</v>
      </c>
      <c r="R144" s="54"/>
      <c r="S144" s="54"/>
      <c r="T144" s="54"/>
      <c r="U144" s="54"/>
      <c r="V144" s="30" t="s">
        <v>811</v>
      </c>
      <c r="W144" s="30" t="s">
        <v>1364</v>
      </c>
      <c r="X144" s="189"/>
      <c r="Y144" s="106"/>
      <c r="Z144" s="71" t="s">
        <v>1324</v>
      </c>
      <c r="AB144" s="105"/>
      <c r="AC144" s="66"/>
      <c r="AD144" s="66"/>
      <c r="AE144" s="81"/>
      <c r="AF144" s="121" t="str">
        <f>IFERROR(__xludf.DUMMYFUNCTION("HYPERLINK(
""https://wa.me/""&amp;REGEXREPLACE(Q144,""[^0-9]"","""")&amp;
""?text=""&amp;
ENCODEURL(
""Buenas tardes *""&amp;B144&amp;""*. *HOY SE PAGA EL IVA Y TU SERVICIO ESTÁ SUSPENDIDO*
Te recordamos que la factura """"""&amp;J144&amp;"""""" de tu plan """"""&amp;E144&amp;"""""" se enc"&amp;"uentre impaga a la fecha, lo que implica que tu servicio se encuentra suspendido. Para reactivar el servicio y que hagamos la declaración mensual debes realizar el pago lo antes posible.
Valor: *$""&amp;H144&amp;""* + IVA = *$""&amp;I144&amp;""*
*CUENTA BANCARIA*
VOLLAI"&amp;"RE &amp; OLIVOS SIMPLE PYME LTDA
Banco BCI
Cuenta corriente
RUT 78.306.207-0
Número de cuenta: 70809538
MATIAS.OLIVOS@VSVCONSULTORES.COM
También puedes pagar con tarjeta de débito o crédito en el siguiente link:
https://www.flow.cl/btn.php?token=xe78c9acb73c"&amp;"3eff5e917d5c932a4a2f7f971abe
Simple Pyme""
),
""Enviar WhatsApp""
)"),"Enviar WhatsApp")</f>
        <v>Enviar WhatsApp</v>
      </c>
      <c r="AG144" s="81"/>
      <c r="AH144" s="81">
        <f>AG144*1.19</f>
        <v>0</v>
      </c>
      <c r="AI144" s="81"/>
      <c r="AJ144" s="81"/>
      <c r="AK144" s="81"/>
    </row>
    <row r="145">
      <c r="A145" s="81"/>
      <c r="B145" s="71" t="s">
        <v>1662</v>
      </c>
      <c r="C145" s="30" t="s">
        <v>38</v>
      </c>
      <c r="D145" s="30" t="s">
        <v>38</v>
      </c>
      <c r="E145" s="105" t="s">
        <v>1372</v>
      </c>
      <c r="F145" s="137"/>
      <c r="G145" s="66"/>
      <c r="H145" s="95">
        <v>100000.0</v>
      </c>
      <c r="I145" s="88">
        <f t="shared" si="14"/>
        <v>119000</v>
      </c>
      <c r="J145" s="96"/>
      <c r="K145" s="96">
        <v>238000.0</v>
      </c>
      <c r="L145" s="66"/>
      <c r="M145" s="190" t="s">
        <v>743</v>
      </c>
      <c r="N145" s="71" t="s">
        <v>744</v>
      </c>
      <c r="O145" s="188" t="s">
        <v>1663</v>
      </c>
      <c r="P145" s="71" t="s">
        <v>1664</v>
      </c>
      <c r="Q145" s="71" t="s">
        <v>1665</v>
      </c>
      <c r="R145" s="104"/>
      <c r="S145" s="104"/>
      <c r="T145" s="104"/>
      <c r="U145" s="97"/>
      <c r="V145" s="30" t="s">
        <v>811</v>
      </c>
      <c r="W145" s="30" t="s">
        <v>1364</v>
      </c>
      <c r="X145" s="66"/>
      <c r="Y145" s="106"/>
      <c r="Z145" s="71" t="s">
        <v>1666</v>
      </c>
      <c r="AA145" s="66"/>
      <c r="AB145" s="106"/>
      <c r="AC145" s="66"/>
      <c r="AD145" s="66"/>
      <c r="AE145" s="81"/>
      <c r="AF145" s="81"/>
      <c r="AG145" s="81"/>
      <c r="AH145" s="81"/>
      <c r="AI145" s="81"/>
      <c r="AJ145" s="81"/>
      <c r="AK145" s="81"/>
    </row>
    <row r="146">
      <c r="A146" s="81"/>
      <c r="B146" s="66" t="s">
        <v>1667</v>
      </c>
      <c r="C146" s="30" t="s">
        <v>38</v>
      </c>
      <c r="D146" s="30" t="s">
        <v>38</v>
      </c>
      <c r="E146" s="105" t="s">
        <v>1362</v>
      </c>
      <c r="F146" s="137"/>
      <c r="G146" s="66"/>
      <c r="H146" s="95">
        <v>30000.0</v>
      </c>
      <c r="I146" s="88">
        <f t="shared" si="14"/>
        <v>35700</v>
      </c>
      <c r="J146" s="137"/>
      <c r="K146" s="137"/>
      <c r="L146" s="71" t="s">
        <v>1668</v>
      </c>
      <c r="M146" s="190" t="s">
        <v>757</v>
      </c>
      <c r="N146" s="71" t="s">
        <v>758</v>
      </c>
      <c r="O146" s="71" t="s">
        <v>755</v>
      </c>
      <c r="P146" s="71" t="s">
        <v>1669</v>
      </c>
      <c r="Q146" s="188" t="s">
        <v>1670</v>
      </c>
      <c r="R146" s="104"/>
      <c r="S146" s="104"/>
      <c r="T146" s="104"/>
      <c r="U146" s="104"/>
      <c r="V146" s="30" t="s">
        <v>811</v>
      </c>
      <c r="W146" s="30" t="s">
        <v>1364</v>
      </c>
      <c r="X146" s="66"/>
      <c r="Y146" s="106"/>
      <c r="Z146" s="71" t="s">
        <v>1671</v>
      </c>
      <c r="AA146" s="71" t="s">
        <v>762</v>
      </c>
      <c r="AB146" s="106"/>
      <c r="AC146" s="66"/>
      <c r="AD146" s="66"/>
      <c r="AE146" s="81"/>
      <c r="AF146" s="81"/>
      <c r="AG146" s="81"/>
      <c r="AH146" s="81"/>
      <c r="AI146" s="81"/>
      <c r="AJ146" s="81"/>
      <c r="AK146" s="81"/>
    </row>
    <row r="147" hidden="1">
      <c r="A147" s="81"/>
      <c r="B147" s="66"/>
      <c r="C147" s="66"/>
      <c r="D147" s="66"/>
      <c r="E147" s="106"/>
      <c r="F147" s="137"/>
      <c r="G147" s="66"/>
      <c r="H147" s="147"/>
      <c r="I147" s="88"/>
      <c r="J147" s="137"/>
      <c r="K147" s="137"/>
      <c r="L147" s="66"/>
      <c r="M147" s="107"/>
      <c r="N147" s="66"/>
      <c r="O147" s="66"/>
      <c r="P147" s="66"/>
      <c r="Q147" s="172"/>
      <c r="R147" s="104"/>
      <c r="S147" s="104"/>
      <c r="T147" s="104"/>
      <c r="U147" s="104"/>
      <c r="V147" s="106"/>
      <c r="W147" s="106"/>
      <c r="X147" s="66"/>
      <c r="Y147" s="106"/>
      <c r="Z147" s="66"/>
      <c r="AA147" s="66"/>
      <c r="AB147" s="106"/>
      <c r="AC147" s="66"/>
      <c r="AD147" s="66"/>
      <c r="AE147" s="81"/>
      <c r="AF147" s="81"/>
      <c r="AG147" s="81"/>
      <c r="AH147" s="81"/>
      <c r="AI147" s="81"/>
      <c r="AJ147" s="81"/>
      <c r="AK147" s="81"/>
    </row>
    <row r="148">
      <c r="A148" s="81"/>
      <c r="B148" s="66"/>
      <c r="C148" s="66"/>
      <c r="D148" s="66"/>
      <c r="E148" s="106"/>
      <c r="F148" s="137"/>
      <c r="G148" s="66"/>
      <c r="H148" s="147"/>
      <c r="I148" s="88"/>
      <c r="J148" s="137"/>
      <c r="K148" s="137"/>
      <c r="L148" s="66"/>
      <c r="M148" s="107"/>
      <c r="N148" s="66"/>
      <c r="O148" s="66">
        <f>80000*1.19</f>
        <v>95200</v>
      </c>
      <c r="P148" s="66"/>
      <c r="Q148" s="172"/>
      <c r="R148" s="104"/>
      <c r="S148" s="104"/>
      <c r="T148" s="104"/>
      <c r="U148" s="104"/>
      <c r="V148" s="106"/>
      <c r="W148" s="106"/>
      <c r="X148" s="66"/>
      <c r="Y148" s="106"/>
      <c r="Z148" s="66"/>
      <c r="AA148" s="66"/>
      <c r="AB148" s="106"/>
      <c r="AC148" s="66"/>
      <c r="AD148" s="66"/>
      <c r="AE148" s="81"/>
      <c r="AF148" s="81"/>
      <c r="AG148" s="81"/>
      <c r="AH148" s="81"/>
      <c r="AI148" s="81"/>
      <c r="AJ148" s="81"/>
      <c r="AK148" s="81"/>
    </row>
    <row r="149">
      <c r="A149" s="81"/>
      <c r="B149" s="66"/>
      <c r="C149" s="66"/>
      <c r="D149" s="66"/>
      <c r="E149" s="106"/>
      <c r="F149" s="137"/>
      <c r="G149" s="66"/>
      <c r="H149" s="147"/>
      <c r="I149" s="88"/>
      <c r="J149" s="137"/>
      <c r="K149" s="137"/>
      <c r="L149" s="66"/>
      <c r="M149" s="107"/>
      <c r="N149" s="66"/>
      <c r="O149" s="66"/>
      <c r="P149" s="66"/>
      <c r="Q149" s="172"/>
      <c r="R149" s="104"/>
      <c r="S149" s="104"/>
      <c r="T149" s="104"/>
      <c r="U149" s="104"/>
      <c r="V149" s="106"/>
      <c r="W149" s="106"/>
      <c r="X149" s="66"/>
      <c r="Y149" s="106"/>
      <c r="Z149" s="66"/>
      <c r="AA149" s="66"/>
      <c r="AB149" s="106"/>
      <c r="AC149" s="66"/>
      <c r="AD149" s="66"/>
      <c r="AE149" s="81"/>
      <c r="AF149" s="81"/>
      <c r="AG149" s="81"/>
      <c r="AH149" s="81"/>
      <c r="AI149" s="81"/>
      <c r="AJ149" s="81"/>
      <c r="AK149" s="81"/>
    </row>
    <row r="150">
      <c r="A150" s="81"/>
      <c r="B150" s="66"/>
      <c r="C150" s="66"/>
      <c r="D150" s="66"/>
      <c r="E150" s="106"/>
      <c r="F150" s="137"/>
      <c r="G150" s="66"/>
      <c r="H150" s="147"/>
      <c r="I150" s="88"/>
      <c r="J150" s="137"/>
      <c r="K150" s="137"/>
      <c r="L150" s="66"/>
      <c r="M150" s="107"/>
      <c r="N150" s="66"/>
      <c r="O150" s="66"/>
      <c r="P150" s="66"/>
      <c r="Q150" s="172"/>
      <c r="R150" s="104"/>
      <c r="S150" s="104"/>
      <c r="T150" s="104"/>
      <c r="U150" s="104"/>
      <c r="V150" s="106"/>
      <c r="W150" s="106"/>
      <c r="X150" s="66"/>
      <c r="Y150" s="106"/>
      <c r="Z150" s="66"/>
      <c r="AA150" s="66"/>
      <c r="AB150" s="106"/>
      <c r="AC150" s="66"/>
      <c r="AD150" s="66"/>
      <c r="AE150" s="81"/>
      <c r="AF150" s="81"/>
      <c r="AG150" s="81"/>
      <c r="AH150" s="81"/>
      <c r="AI150" s="81"/>
      <c r="AJ150" s="81"/>
      <c r="AK150" s="81"/>
    </row>
    <row r="151">
      <c r="A151" s="81"/>
      <c r="B151" s="66"/>
      <c r="C151" s="66"/>
      <c r="D151" s="66"/>
      <c r="E151" s="106"/>
      <c r="F151" s="137"/>
      <c r="G151" s="66"/>
      <c r="H151" s="147"/>
      <c r="I151" s="88"/>
      <c r="J151" s="137"/>
      <c r="K151" s="137"/>
      <c r="L151" s="66"/>
      <c r="M151" s="107"/>
      <c r="N151" s="66"/>
      <c r="O151" s="66"/>
      <c r="P151" s="66"/>
      <c r="Q151" s="172"/>
      <c r="R151" s="104"/>
      <c r="S151" s="104"/>
      <c r="T151" s="104"/>
      <c r="U151" s="104"/>
      <c r="V151" s="106"/>
      <c r="W151" s="106"/>
      <c r="X151" s="66"/>
      <c r="Y151" s="106"/>
      <c r="Z151" s="66"/>
      <c r="AA151" s="66"/>
      <c r="AB151" s="106"/>
      <c r="AC151" s="66"/>
      <c r="AD151" s="66"/>
      <c r="AE151" s="81"/>
      <c r="AF151" s="81"/>
      <c r="AG151" s="81"/>
      <c r="AH151" s="81"/>
      <c r="AI151" s="81"/>
      <c r="AJ151" s="81"/>
      <c r="AK151" s="81"/>
    </row>
    <row r="152">
      <c r="A152" s="81"/>
      <c r="B152" s="66"/>
      <c r="C152" s="66"/>
      <c r="D152" s="66"/>
      <c r="E152" s="106"/>
      <c r="F152" s="137"/>
      <c r="G152" s="66"/>
      <c r="H152" s="147"/>
      <c r="I152" s="88"/>
      <c r="J152" s="137"/>
      <c r="K152" s="137"/>
      <c r="L152" s="66"/>
      <c r="M152" s="107"/>
      <c r="N152" s="66"/>
      <c r="O152" s="66"/>
      <c r="P152" s="66"/>
      <c r="Q152" s="172"/>
      <c r="R152" s="104"/>
      <c r="S152" s="104"/>
      <c r="T152" s="104"/>
      <c r="U152" s="104"/>
      <c r="V152" s="106"/>
      <c r="W152" s="106"/>
      <c r="X152" s="66"/>
      <c r="Y152" s="106"/>
      <c r="Z152" s="66"/>
      <c r="AA152" s="66"/>
      <c r="AB152" s="106"/>
      <c r="AC152" s="66"/>
      <c r="AD152" s="66"/>
      <c r="AE152" s="81"/>
      <c r="AF152" s="81"/>
      <c r="AG152" s="81"/>
      <c r="AH152" s="81"/>
      <c r="AI152" s="81"/>
      <c r="AJ152" s="81"/>
      <c r="AK152" s="81"/>
    </row>
    <row r="153">
      <c r="A153" s="81"/>
      <c r="B153" s="66"/>
      <c r="C153" s="66"/>
      <c r="D153" s="66"/>
      <c r="E153" s="106"/>
      <c r="F153" s="137"/>
      <c r="G153" s="66"/>
      <c r="H153" s="147"/>
      <c r="I153" s="88"/>
      <c r="J153" s="137"/>
      <c r="K153" s="137"/>
      <c r="L153" s="66"/>
      <c r="M153" s="107"/>
      <c r="N153" s="66"/>
      <c r="O153" s="66"/>
      <c r="P153" s="66"/>
      <c r="Q153" s="172"/>
      <c r="R153" s="104"/>
      <c r="S153" s="104"/>
      <c r="T153" s="104"/>
      <c r="U153" s="104"/>
      <c r="V153" s="106"/>
      <c r="W153" s="106"/>
      <c r="X153" s="66"/>
      <c r="Y153" s="106"/>
      <c r="Z153" s="66"/>
      <c r="AA153" s="66"/>
      <c r="AB153" s="106"/>
      <c r="AC153" s="66"/>
      <c r="AD153" s="66"/>
      <c r="AE153" s="81"/>
      <c r="AF153" s="81"/>
      <c r="AG153" s="81"/>
      <c r="AH153" s="81"/>
      <c r="AI153" s="81"/>
      <c r="AJ153" s="81"/>
      <c r="AK153" s="81"/>
    </row>
    <row r="154">
      <c r="A154" s="81"/>
      <c r="B154" s="66"/>
      <c r="C154" s="66"/>
      <c r="D154" s="66"/>
      <c r="E154" s="106"/>
      <c r="F154" s="137"/>
      <c r="G154" s="66"/>
      <c r="H154" s="147"/>
      <c r="I154" s="137"/>
      <c r="J154" s="137"/>
      <c r="K154" s="137"/>
      <c r="L154" s="66"/>
      <c r="M154" s="107"/>
      <c r="N154" s="66"/>
      <c r="O154" s="66"/>
      <c r="P154" s="66"/>
      <c r="Q154" s="172"/>
      <c r="R154" s="104"/>
      <c r="S154" s="104"/>
      <c r="T154" s="104"/>
      <c r="U154" s="104"/>
      <c r="V154" s="106"/>
      <c r="W154" s="106"/>
      <c r="X154" s="66"/>
      <c r="Y154" s="106"/>
      <c r="Z154" s="66"/>
      <c r="AA154" s="66"/>
      <c r="AB154" s="106"/>
      <c r="AC154" s="66"/>
      <c r="AD154" s="66"/>
      <c r="AE154" s="81"/>
      <c r="AF154" s="81"/>
      <c r="AG154" s="81"/>
      <c r="AH154" s="81"/>
      <c r="AI154" s="81"/>
      <c r="AJ154" s="81"/>
      <c r="AK154" s="81"/>
    </row>
    <row r="155">
      <c r="A155" s="81"/>
      <c r="B155" s="66"/>
      <c r="C155" s="66"/>
      <c r="D155" s="66"/>
      <c r="E155" s="106"/>
      <c r="F155" s="137"/>
      <c r="G155" s="66"/>
      <c r="H155" s="147"/>
      <c r="I155" s="137"/>
      <c r="J155" s="137"/>
      <c r="K155" s="137"/>
      <c r="L155" s="66"/>
      <c r="M155" s="107"/>
      <c r="N155" s="66"/>
      <c r="O155" s="66"/>
      <c r="P155" s="66"/>
      <c r="Q155" s="172"/>
      <c r="R155" s="104"/>
      <c r="S155" s="104"/>
      <c r="T155" s="104"/>
      <c r="U155" s="104"/>
      <c r="V155" s="106"/>
      <c r="W155" s="106"/>
      <c r="X155" s="66"/>
      <c r="Y155" s="106"/>
      <c r="Z155" s="66"/>
      <c r="AA155" s="66"/>
      <c r="AB155" s="106"/>
      <c r="AC155" s="66"/>
      <c r="AD155" s="66"/>
      <c r="AE155" s="81"/>
      <c r="AF155" s="81"/>
      <c r="AG155" s="81"/>
      <c r="AH155" s="81"/>
      <c r="AI155" s="81"/>
      <c r="AJ155" s="81"/>
      <c r="AK155" s="81"/>
    </row>
    <row r="156">
      <c r="A156" s="81"/>
      <c r="B156" s="66"/>
      <c r="C156" s="66"/>
      <c r="D156" s="66"/>
      <c r="E156" s="106"/>
      <c r="F156" s="137"/>
      <c r="G156" s="66"/>
      <c r="H156" s="147"/>
      <c r="I156" s="137"/>
      <c r="J156" s="137"/>
      <c r="K156" s="137"/>
      <c r="L156" s="66"/>
      <c r="M156" s="107"/>
      <c r="N156" s="66"/>
      <c r="O156" s="66"/>
      <c r="P156" s="66"/>
      <c r="Q156" s="172"/>
      <c r="R156" s="104"/>
      <c r="S156" s="104"/>
      <c r="T156" s="104"/>
      <c r="U156" s="104"/>
      <c r="V156" s="106"/>
      <c r="W156" s="106"/>
      <c r="X156" s="66"/>
      <c r="Y156" s="106"/>
      <c r="Z156" s="66"/>
      <c r="AA156" s="66"/>
      <c r="AB156" s="106"/>
      <c r="AC156" s="66"/>
      <c r="AD156" s="66"/>
      <c r="AE156" s="81"/>
      <c r="AF156" s="81"/>
      <c r="AG156" s="81"/>
      <c r="AH156" s="81"/>
      <c r="AI156" s="81"/>
      <c r="AJ156" s="81"/>
      <c r="AK156" s="81"/>
    </row>
    <row r="157">
      <c r="A157" s="81"/>
      <c r="B157" s="66"/>
      <c r="C157" s="66"/>
      <c r="D157" s="66"/>
      <c r="E157" s="106"/>
      <c r="F157" s="137"/>
      <c r="G157" s="66"/>
      <c r="H157" s="147"/>
      <c r="I157" s="137"/>
      <c r="J157" s="137"/>
      <c r="K157" s="137"/>
      <c r="L157" s="66"/>
      <c r="M157" s="107"/>
      <c r="N157" s="66"/>
      <c r="O157" s="66"/>
      <c r="P157" s="66"/>
      <c r="Q157" s="172"/>
      <c r="R157" s="104"/>
      <c r="S157" s="104"/>
      <c r="T157" s="104"/>
      <c r="U157" s="104"/>
      <c r="V157" s="106"/>
      <c r="W157" s="106"/>
      <c r="X157" s="66"/>
      <c r="Y157" s="106"/>
      <c r="Z157" s="66"/>
      <c r="AA157" s="66"/>
      <c r="AB157" s="106"/>
      <c r="AC157" s="66"/>
      <c r="AD157" s="66"/>
      <c r="AE157" s="81"/>
      <c r="AF157" s="81"/>
      <c r="AG157" s="81"/>
      <c r="AH157" s="81"/>
      <c r="AI157" s="81"/>
      <c r="AJ157" s="81"/>
      <c r="AK157" s="81"/>
    </row>
    <row r="158">
      <c r="A158" s="81"/>
      <c r="B158" s="66"/>
      <c r="C158" s="66"/>
      <c r="D158" s="66"/>
      <c r="E158" s="106"/>
      <c r="F158" s="137"/>
      <c r="G158" s="66"/>
      <c r="H158" s="147"/>
      <c r="I158" s="137"/>
      <c r="J158" s="137"/>
      <c r="K158" s="137"/>
      <c r="L158" s="66"/>
      <c r="M158" s="107"/>
      <c r="N158" s="66"/>
      <c r="O158" s="66"/>
      <c r="P158" s="66"/>
      <c r="Q158" s="172"/>
      <c r="R158" s="104"/>
      <c r="S158" s="104"/>
      <c r="T158" s="104"/>
      <c r="U158" s="104"/>
      <c r="V158" s="106"/>
      <c r="W158" s="106"/>
      <c r="X158" s="66"/>
      <c r="Y158" s="106"/>
      <c r="Z158" s="66"/>
      <c r="AA158" s="66"/>
      <c r="AB158" s="106"/>
      <c r="AC158" s="66"/>
      <c r="AD158" s="66"/>
      <c r="AE158" s="81"/>
      <c r="AF158" s="81"/>
      <c r="AG158" s="81"/>
      <c r="AH158" s="81"/>
      <c r="AI158" s="81"/>
      <c r="AJ158" s="81"/>
      <c r="AK158" s="81"/>
    </row>
    <row r="159">
      <c r="A159" s="81"/>
      <c r="B159" s="66"/>
      <c r="C159" s="66"/>
      <c r="D159" s="66"/>
      <c r="E159" s="106"/>
      <c r="F159" s="137"/>
      <c r="G159" s="66"/>
      <c r="H159" s="147"/>
      <c r="I159" s="137"/>
      <c r="J159" s="137"/>
      <c r="K159" s="137"/>
      <c r="L159" s="66"/>
      <c r="M159" s="107"/>
      <c r="N159" s="66"/>
      <c r="O159" s="66"/>
      <c r="P159" s="66"/>
      <c r="Q159" s="172"/>
      <c r="R159" s="104"/>
      <c r="S159" s="104"/>
      <c r="T159" s="104"/>
      <c r="U159" s="104"/>
      <c r="V159" s="106"/>
      <c r="W159" s="106"/>
      <c r="X159" s="66"/>
      <c r="Y159" s="106"/>
      <c r="Z159" s="66"/>
      <c r="AA159" s="66"/>
      <c r="AB159" s="106"/>
      <c r="AC159" s="66"/>
      <c r="AD159" s="66"/>
      <c r="AE159" s="81"/>
      <c r="AF159" s="81"/>
      <c r="AG159" s="81"/>
      <c r="AH159" s="81"/>
      <c r="AI159" s="81"/>
      <c r="AJ159" s="81"/>
      <c r="AK159" s="81"/>
    </row>
    <row r="160">
      <c r="A160" s="81"/>
      <c r="B160" s="66"/>
      <c r="C160" s="66"/>
      <c r="D160" s="66"/>
      <c r="E160" s="106"/>
      <c r="F160" s="137"/>
      <c r="G160" s="66"/>
      <c r="H160" s="147"/>
      <c r="I160" s="137"/>
      <c r="J160" s="137"/>
      <c r="K160" s="137"/>
      <c r="L160" s="66"/>
      <c r="M160" s="107"/>
      <c r="N160" s="66"/>
      <c r="O160" s="66"/>
      <c r="P160" s="66"/>
      <c r="Q160" s="172"/>
      <c r="R160" s="104"/>
      <c r="S160" s="104"/>
      <c r="T160" s="104"/>
      <c r="U160" s="104"/>
      <c r="V160" s="106"/>
      <c r="W160" s="106"/>
      <c r="X160" s="66"/>
      <c r="Y160" s="106"/>
      <c r="Z160" s="66"/>
      <c r="AA160" s="66"/>
      <c r="AB160" s="106"/>
      <c r="AC160" s="66"/>
      <c r="AD160" s="66"/>
      <c r="AE160" s="81"/>
      <c r="AF160" s="81"/>
      <c r="AG160" s="81"/>
      <c r="AH160" s="81"/>
      <c r="AI160" s="81"/>
      <c r="AJ160" s="81"/>
      <c r="AK160" s="81"/>
    </row>
    <row r="161">
      <c r="A161" s="81"/>
      <c r="B161" s="66"/>
      <c r="C161" s="66"/>
      <c r="D161" s="66"/>
      <c r="E161" s="106"/>
      <c r="F161" s="137"/>
      <c r="G161" s="66"/>
      <c r="H161" s="147"/>
      <c r="I161" s="137"/>
      <c r="J161" s="137"/>
      <c r="K161" s="137"/>
      <c r="L161" s="66"/>
      <c r="M161" s="107"/>
      <c r="N161" s="66"/>
      <c r="O161" s="66"/>
      <c r="P161" s="66"/>
      <c r="Q161" s="172"/>
      <c r="R161" s="104"/>
      <c r="S161" s="104"/>
      <c r="T161" s="104"/>
      <c r="U161" s="104"/>
      <c r="V161" s="106"/>
      <c r="W161" s="106"/>
      <c r="X161" s="66"/>
      <c r="Y161" s="106"/>
      <c r="Z161" s="66"/>
      <c r="AA161" s="66"/>
      <c r="AB161" s="106"/>
      <c r="AC161" s="66"/>
      <c r="AD161" s="66"/>
      <c r="AE161" s="81"/>
      <c r="AF161" s="81"/>
      <c r="AG161" s="81"/>
      <c r="AH161" s="81"/>
      <c r="AI161" s="81"/>
      <c r="AJ161" s="81"/>
      <c r="AK161" s="81"/>
    </row>
    <row r="162">
      <c r="A162" s="81"/>
      <c r="B162" s="66"/>
      <c r="C162" s="66"/>
      <c r="D162" s="66"/>
      <c r="E162" s="106"/>
      <c r="F162" s="137"/>
      <c r="G162" s="66"/>
      <c r="H162" s="147"/>
      <c r="I162" s="137"/>
      <c r="J162" s="137"/>
      <c r="K162" s="137"/>
      <c r="L162" s="66"/>
      <c r="M162" s="107"/>
      <c r="N162" s="66"/>
      <c r="O162" s="66"/>
      <c r="P162" s="66"/>
      <c r="Q162" s="172"/>
      <c r="R162" s="104"/>
      <c r="S162" s="104"/>
      <c r="T162" s="104"/>
      <c r="U162" s="104"/>
      <c r="V162" s="106"/>
      <c r="W162" s="106"/>
      <c r="X162" s="66"/>
      <c r="Y162" s="106"/>
      <c r="Z162" s="66"/>
      <c r="AA162" s="66"/>
      <c r="AB162" s="106"/>
      <c r="AC162" s="66"/>
      <c r="AD162" s="66"/>
      <c r="AE162" s="81"/>
      <c r="AF162" s="81"/>
      <c r="AG162" s="81"/>
      <c r="AH162" s="81"/>
      <c r="AI162" s="81"/>
      <c r="AJ162" s="81"/>
      <c r="AK162" s="81"/>
    </row>
    <row r="163">
      <c r="A163" s="81"/>
      <c r="B163" s="66"/>
      <c r="C163" s="66"/>
      <c r="D163" s="66"/>
      <c r="E163" s="106"/>
      <c r="F163" s="137"/>
      <c r="G163" s="66"/>
      <c r="H163" s="147"/>
      <c r="I163" s="137"/>
      <c r="J163" s="137"/>
      <c r="K163" s="137"/>
      <c r="L163" s="66"/>
      <c r="M163" s="107"/>
      <c r="N163" s="66"/>
      <c r="O163" s="66"/>
      <c r="P163" s="66"/>
      <c r="Q163" s="172"/>
      <c r="R163" s="104"/>
      <c r="S163" s="104"/>
      <c r="T163" s="104"/>
      <c r="U163" s="104"/>
      <c r="V163" s="106"/>
      <c r="W163" s="106"/>
      <c r="X163" s="66"/>
      <c r="Y163" s="106"/>
      <c r="Z163" s="66"/>
      <c r="AA163" s="66"/>
      <c r="AB163" s="106"/>
      <c r="AC163" s="66"/>
      <c r="AD163" s="66"/>
      <c r="AE163" s="81"/>
      <c r="AF163" s="81"/>
      <c r="AG163" s="81"/>
      <c r="AH163" s="81"/>
      <c r="AI163" s="81"/>
      <c r="AJ163" s="81"/>
      <c r="AK163" s="81"/>
    </row>
    <row r="164">
      <c r="A164" s="81"/>
      <c r="B164" s="66"/>
      <c r="C164" s="66"/>
      <c r="D164" s="66"/>
      <c r="E164" s="106"/>
      <c r="F164" s="137"/>
      <c r="G164" s="66"/>
      <c r="H164" s="147"/>
      <c r="I164" s="137"/>
      <c r="J164" s="137"/>
      <c r="K164" s="137"/>
      <c r="L164" s="66"/>
      <c r="M164" s="107"/>
      <c r="N164" s="66"/>
      <c r="O164" s="66"/>
      <c r="P164" s="66"/>
      <c r="Q164" s="172"/>
      <c r="R164" s="104"/>
      <c r="S164" s="104"/>
      <c r="T164" s="104"/>
      <c r="U164" s="104"/>
      <c r="V164" s="106"/>
      <c r="W164" s="106"/>
      <c r="X164" s="66"/>
      <c r="Y164" s="106"/>
      <c r="Z164" s="66"/>
      <c r="AA164" s="66"/>
      <c r="AB164" s="106"/>
      <c r="AC164" s="66"/>
      <c r="AD164" s="66"/>
      <c r="AE164" s="81"/>
      <c r="AF164" s="81"/>
      <c r="AG164" s="81"/>
      <c r="AH164" s="81"/>
      <c r="AI164" s="81"/>
      <c r="AJ164" s="81"/>
      <c r="AK164" s="81"/>
    </row>
    <row r="165">
      <c r="A165" s="81"/>
      <c r="B165" s="66"/>
      <c r="C165" s="66"/>
      <c r="D165" s="66"/>
      <c r="E165" s="106"/>
      <c r="F165" s="137"/>
      <c r="G165" s="66"/>
      <c r="H165" s="147"/>
      <c r="I165" s="137"/>
      <c r="J165" s="137"/>
      <c r="K165" s="137"/>
      <c r="L165" s="66"/>
      <c r="M165" s="107"/>
      <c r="N165" s="66"/>
      <c r="O165" s="66"/>
      <c r="P165" s="66"/>
      <c r="Q165" s="172"/>
      <c r="R165" s="104"/>
      <c r="S165" s="104"/>
      <c r="T165" s="104"/>
      <c r="U165" s="104"/>
      <c r="V165" s="106"/>
      <c r="W165" s="106"/>
      <c r="X165" s="66"/>
      <c r="Y165" s="106"/>
      <c r="Z165" s="66"/>
      <c r="AA165" s="66"/>
      <c r="AB165" s="106"/>
      <c r="AC165" s="66"/>
      <c r="AD165" s="66"/>
      <c r="AE165" s="81"/>
      <c r="AF165" s="81"/>
      <c r="AG165" s="81"/>
      <c r="AH165" s="81"/>
      <c r="AI165" s="81"/>
      <c r="AJ165" s="81"/>
      <c r="AK165" s="81"/>
    </row>
    <row r="166">
      <c r="A166" s="81"/>
      <c r="B166" s="66"/>
      <c r="C166" s="66"/>
      <c r="D166" s="66"/>
      <c r="E166" s="106"/>
      <c r="F166" s="137"/>
      <c r="G166" s="66"/>
      <c r="H166" s="147"/>
      <c r="I166" s="137"/>
      <c r="J166" s="137"/>
      <c r="K166" s="137"/>
      <c r="L166" s="66"/>
      <c r="M166" s="107"/>
      <c r="N166" s="66"/>
      <c r="O166" s="66"/>
      <c r="P166" s="66"/>
      <c r="Q166" s="172"/>
      <c r="R166" s="104"/>
      <c r="S166" s="104"/>
      <c r="T166" s="104"/>
      <c r="U166" s="104"/>
      <c r="V166" s="106"/>
      <c r="W166" s="106"/>
      <c r="X166" s="66"/>
      <c r="Y166" s="106"/>
      <c r="Z166" s="66"/>
      <c r="AA166" s="66"/>
      <c r="AB166" s="106"/>
      <c r="AC166" s="66"/>
      <c r="AD166" s="66"/>
      <c r="AE166" s="81"/>
      <c r="AF166" s="81"/>
      <c r="AG166" s="81"/>
      <c r="AH166" s="81"/>
      <c r="AI166" s="81"/>
      <c r="AJ166" s="81"/>
      <c r="AK166" s="81"/>
    </row>
    <row r="167">
      <c r="A167" s="81"/>
      <c r="B167" s="66"/>
      <c r="C167" s="66"/>
      <c r="D167" s="66"/>
      <c r="E167" s="106"/>
      <c r="F167" s="137"/>
      <c r="G167" s="66"/>
      <c r="H167" s="147"/>
      <c r="I167" s="137"/>
      <c r="J167" s="137"/>
      <c r="K167" s="137"/>
      <c r="L167" s="66"/>
      <c r="M167" s="107"/>
      <c r="N167" s="66"/>
      <c r="O167" s="66"/>
      <c r="P167" s="66"/>
      <c r="Q167" s="172"/>
      <c r="R167" s="104"/>
      <c r="S167" s="104"/>
      <c r="T167" s="104"/>
      <c r="U167" s="104"/>
      <c r="V167" s="106"/>
      <c r="W167" s="106"/>
      <c r="X167" s="66"/>
      <c r="Y167" s="106"/>
      <c r="Z167" s="66"/>
      <c r="AA167" s="66"/>
      <c r="AB167" s="106"/>
      <c r="AC167" s="66"/>
      <c r="AD167" s="66"/>
      <c r="AE167" s="81"/>
      <c r="AF167" s="81"/>
      <c r="AG167" s="81"/>
      <c r="AH167" s="81"/>
      <c r="AI167" s="81"/>
      <c r="AJ167" s="81"/>
      <c r="AK167" s="81"/>
    </row>
    <row r="168">
      <c r="A168" s="81"/>
      <c r="B168" s="66"/>
      <c r="C168" s="66"/>
      <c r="D168" s="66"/>
      <c r="E168" s="106"/>
      <c r="F168" s="137"/>
      <c r="G168" s="66"/>
      <c r="H168" s="147"/>
      <c r="I168" s="137"/>
      <c r="J168" s="137"/>
      <c r="K168" s="137"/>
      <c r="L168" s="66"/>
      <c r="M168" s="107"/>
      <c r="N168" s="66"/>
      <c r="O168" s="66"/>
      <c r="P168" s="66"/>
      <c r="Q168" s="172"/>
      <c r="R168" s="104"/>
      <c r="S168" s="104"/>
      <c r="T168" s="104"/>
      <c r="U168" s="104"/>
      <c r="V168" s="106"/>
      <c r="W168" s="106"/>
      <c r="X168" s="66"/>
      <c r="Y168" s="106"/>
      <c r="Z168" s="66"/>
      <c r="AA168" s="66"/>
      <c r="AB168" s="106"/>
      <c r="AC168" s="66"/>
      <c r="AD168" s="66"/>
      <c r="AE168" s="81"/>
      <c r="AF168" s="81"/>
      <c r="AG168" s="81"/>
      <c r="AH168" s="81"/>
      <c r="AI168" s="81"/>
      <c r="AJ168" s="81"/>
      <c r="AK168" s="81"/>
    </row>
    <row r="169">
      <c r="A169" s="81"/>
      <c r="B169" s="66"/>
      <c r="C169" s="66"/>
      <c r="D169" s="66"/>
      <c r="E169" s="106"/>
      <c r="F169" s="137"/>
      <c r="G169" s="66"/>
      <c r="H169" s="147"/>
      <c r="I169" s="137"/>
      <c r="J169" s="137"/>
      <c r="K169" s="137"/>
      <c r="L169" s="66"/>
      <c r="M169" s="107"/>
      <c r="N169" s="66"/>
      <c r="O169" s="66"/>
      <c r="P169" s="66"/>
      <c r="Q169" s="172"/>
      <c r="R169" s="104"/>
      <c r="S169" s="104"/>
      <c r="T169" s="104"/>
      <c r="U169" s="104"/>
      <c r="V169" s="106"/>
      <c r="W169" s="106"/>
      <c r="X169" s="66"/>
      <c r="Y169" s="106"/>
      <c r="Z169" s="66"/>
      <c r="AA169" s="66"/>
      <c r="AB169" s="106"/>
      <c r="AC169" s="66"/>
      <c r="AD169" s="66"/>
      <c r="AE169" s="81"/>
      <c r="AF169" s="81"/>
      <c r="AG169" s="81"/>
      <c r="AH169" s="81"/>
      <c r="AI169" s="81"/>
      <c r="AJ169" s="81"/>
      <c r="AK169" s="81"/>
    </row>
    <row r="170">
      <c r="A170" s="81"/>
      <c r="B170" s="66"/>
      <c r="C170" s="66"/>
      <c r="D170" s="66"/>
      <c r="E170" s="106"/>
      <c r="F170" s="137"/>
      <c r="G170" s="66"/>
      <c r="H170" s="147"/>
      <c r="I170" s="137"/>
      <c r="J170" s="137"/>
      <c r="K170" s="137"/>
      <c r="L170" s="66"/>
      <c r="M170" s="107"/>
      <c r="N170" s="66"/>
      <c r="O170" s="66"/>
      <c r="P170" s="66"/>
      <c r="Q170" s="172"/>
      <c r="R170" s="104"/>
      <c r="S170" s="104"/>
      <c r="T170" s="104"/>
      <c r="U170" s="104"/>
      <c r="V170" s="106"/>
      <c r="W170" s="106"/>
      <c r="X170" s="66"/>
      <c r="Y170" s="106"/>
      <c r="Z170" s="66"/>
      <c r="AA170" s="66"/>
      <c r="AB170" s="106"/>
      <c r="AC170" s="66"/>
      <c r="AD170" s="66"/>
      <c r="AE170" s="81"/>
      <c r="AF170" s="81"/>
      <c r="AG170" s="81"/>
      <c r="AH170" s="81"/>
      <c r="AI170" s="81"/>
      <c r="AJ170" s="81"/>
      <c r="AK170" s="81"/>
    </row>
    <row r="171">
      <c r="A171" s="81"/>
      <c r="B171" s="66"/>
      <c r="C171" s="66"/>
      <c r="D171" s="66"/>
      <c r="E171" s="106"/>
      <c r="F171" s="137"/>
      <c r="G171" s="66"/>
      <c r="H171" s="147"/>
      <c r="I171" s="137"/>
      <c r="J171" s="137"/>
      <c r="K171" s="137"/>
      <c r="L171" s="66"/>
      <c r="M171" s="107"/>
      <c r="N171" s="66"/>
      <c r="O171" s="66"/>
      <c r="P171" s="66"/>
      <c r="Q171" s="172"/>
      <c r="R171" s="104"/>
      <c r="S171" s="104"/>
      <c r="T171" s="104"/>
      <c r="U171" s="104"/>
      <c r="V171" s="106"/>
      <c r="W171" s="106"/>
      <c r="X171" s="66"/>
      <c r="Y171" s="106"/>
      <c r="Z171" s="66"/>
      <c r="AA171" s="66"/>
      <c r="AB171" s="106"/>
      <c r="AC171" s="66"/>
      <c r="AD171" s="66"/>
      <c r="AE171" s="81"/>
      <c r="AF171" s="81"/>
      <c r="AG171" s="81"/>
      <c r="AH171" s="81"/>
      <c r="AI171" s="81"/>
      <c r="AJ171" s="81"/>
      <c r="AK171" s="81"/>
    </row>
    <row r="172">
      <c r="A172" s="81"/>
      <c r="B172" s="66"/>
      <c r="C172" s="66"/>
      <c r="D172" s="66"/>
      <c r="E172" s="106"/>
      <c r="F172" s="137"/>
      <c r="G172" s="66"/>
      <c r="H172" s="147"/>
      <c r="I172" s="137"/>
      <c r="J172" s="137"/>
      <c r="K172" s="137"/>
      <c r="L172" s="66"/>
      <c r="M172" s="107"/>
      <c r="N172" s="66"/>
      <c r="O172" s="66"/>
      <c r="P172" s="66"/>
      <c r="Q172" s="172"/>
      <c r="R172" s="104"/>
      <c r="S172" s="104"/>
      <c r="T172" s="104"/>
      <c r="U172" s="104"/>
      <c r="V172" s="106"/>
      <c r="W172" s="106"/>
      <c r="X172" s="66"/>
      <c r="Y172" s="106"/>
      <c r="Z172" s="66"/>
      <c r="AA172" s="66"/>
      <c r="AB172" s="106"/>
      <c r="AC172" s="66"/>
      <c r="AD172" s="66"/>
      <c r="AE172" s="81"/>
      <c r="AF172" s="81"/>
      <c r="AG172" s="81"/>
      <c r="AH172" s="81"/>
      <c r="AI172" s="81"/>
      <c r="AJ172" s="81"/>
      <c r="AK172" s="81"/>
    </row>
    <row r="173">
      <c r="A173" s="81"/>
      <c r="B173" s="66"/>
      <c r="C173" s="66"/>
      <c r="D173" s="66"/>
      <c r="E173" s="106"/>
      <c r="F173" s="137"/>
      <c r="G173" s="66"/>
      <c r="H173" s="147"/>
      <c r="I173" s="137"/>
      <c r="J173" s="137"/>
      <c r="K173" s="137"/>
      <c r="L173" s="66"/>
      <c r="M173" s="107"/>
      <c r="N173" s="66"/>
      <c r="O173" s="66"/>
      <c r="P173" s="66"/>
      <c r="Q173" s="172"/>
      <c r="R173" s="104"/>
      <c r="S173" s="104"/>
      <c r="T173" s="104"/>
      <c r="U173" s="104"/>
      <c r="V173" s="106"/>
      <c r="W173" s="106"/>
      <c r="X173" s="66"/>
      <c r="Y173" s="106"/>
      <c r="Z173" s="66"/>
      <c r="AA173" s="66"/>
      <c r="AB173" s="106"/>
      <c r="AC173" s="66"/>
      <c r="AD173" s="66"/>
      <c r="AE173" s="81"/>
      <c r="AF173" s="81"/>
      <c r="AG173" s="81"/>
      <c r="AH173" s="81"/>
      <c r="AI173" s="81"/>
      <c r="AJ173" s="81"/>
      <c r="AK173" s="81"/>
    </row>
    <row r="174">
      <c r="A174" s="81"/>
      <c r="B174" s="66"/>
      <c r="C174" s="66"/>
      <c r="D174" s="66"/>
      <c r="E174" s="106"/>
      <c r="F174" s="137"/>
      <c r="G174" s="66"/>
      <c r="H174" s="147"/>
      <c r="I174" s="137"/>
      <c r="J174" s="137"/>
      <c r="K174" s="137"/>
      <c r="L174" s="66"/>
      <c r="M174" s="107"/>
      <c r="N174" s="66"/>
      <c r="O174" s="66"/>
      <c r="P174" s="66"/>
      <c r="Q174" s="172"/>
      <c r="R174" s="104"/>
      <c r="S174" s="104"/>
      <c r="T174" s="104"/>
      <c r="U174" s="104"/>
      <c r="V174" s="106"/>
      <c r="W174" s="106"/>
      <c r="X174" s="66"/>
      <c r="Y174" s="106"/>
      <c r="Z174" s="66"/>
      <c r="AA174" s="66"/>
      <c r="AB174" s="106"/>
      <c r="AC174" s="66"/>
      <c r="AD174" s="66"/>
      <c r="AE174" s="81"/>
      <c r="AF174" s="81"/>
      <c r="AG174" s="81"/>
      <c r="AH174" s="81"/>
      <c r="AI174" s="81"/>
      <c r="AJ174" s="81"/>
      <c r="AK174" s="81"/>
    </row>
    <row r="175">
      <c r="A175" s="81"/>
      <c r="B175" s="66"/>
      <c r="C175" s="66"/>
      <c r="D175" s="66"/>
      <c r="E175" s="106"/>
      <c r="F175" s="137"/>
      <c r="G175" s="66"/>
      <c r="H175" s="147"/>
      <c r="I175" s="137"/>
      <c r="J175" s="137"/>
      <c r="K175" s="137"/>
      <c r="L175" s="66"/>
      <c r="M175" s="107"/>
      <c r="N175" s="66"/>
      <c r="O175" s="66"/>
      <c r="P175" s="66"/>
      <c r="Q175" s="172"/>
      <c r="R175" s="104"/>
      <c r="S175" s="104"/>
      <c r="T175" s="104"/>
      <c r="U175" s="104"/>
      <c r="V175" s="106"/>
      <c r="W175" s="106"/>
      <c r="X175" s="66"/>
      <c r="Y175" s="106"/>
      <c r="Z175" s="66"/>
      <c r="AA175" s="66"/>
      <c r="AB175" s="106"/>
      <c r="AC175" s="66"/>
      <c r="AD175" s="66"/>
      <c r="AE175" s="81"/>
      <c r="AF175" s="81"/>
      <c r="AG175" s="81"/>
      <c r="AH175" s="81"/>
      <c r="AI175" s="81"/>
      <c r="AJ175" s="81"/>
      <c r="AK175" s="81"/>
    </row>
    <row r="176">
      <c r="A176" s="81"/>
      <c r="B176" s="66"/>
      <c r="C176" s="66"/>
      <c r="D176" s="66"/>
      <c r="E176" s="106"/>
      <c r="F176" s="137"/>
      <c r="G176" s="66"/>
      <c r="H176" s="147"/>
      <c r="I176" s="137"/>
      <c r="J176" s="137"/>
      <c r="K176" s="137"/>
      <c r="L176" s="66"/>
      <c r="M176" s="107"/>
      <c r="N176" s="66"/>
      <c r="O176" s="66"/>
      <c r="P176" s="66"/>
      <c r="Q176" s="172"/>
      <c r="R176" s="104"/>
      <c r="S176" s="104"/>
      <c r="T176" s="104"/>
      <c r="U176" s="104"/>
      <c r="V176" s="106"/>
      <c r="W176" s="106"/>
      <c r="X176" s="66"/>
      <c r="Y176" s="106"/>
      <c r="Z176" s="66"/>
      <c r="AA176" s="66"/>
      <c r="AB176" s="106"/>
      <c r="AC176" s="66"/>
      <c r="AD176" s="66"/>
      <c r="AE176" s="81"/>
      <c r="AF176" s="81"/>
      <c r="AG176" s="81"/>
      <c r="AH176" s="81"/>
      <c r="AI176" s="81"/>
      <c r="AJ176" s="81"/>
      <c r="AK176" s="81"/>
    </row>
    <row r="177">
      <c r="A177" s="81"/>
      <c r="B177" s="66"/>
      <c r="C177" s="66"/>
      <c r="D177" s="66"/>
      <c r="E177" s="106"/>
      <c r="F177" s="137"/>
      <c r="G177" s="66"/>
      <c r="H177" s="147"/>
      <c r="I177" s="137"/>
      <c r="J177" s="137"/>
      <c r="K177" s="137"/>
      <c r="L177" s="66"/>
      <c r="M177" s="107"/>
      <c r="N177" s="66"/>
      <c r="O177" s="66"/>
      <c r="P177" s="66"/>
      <c r="Q177" s="172"/>
      <c r="R177" s="104"/>
      <c r="S177" s="104"/>
      <c r="T177" s="104"/>
      <c r="U177" s="104"/>
      <c r="V177" s="106"/>
      <c r="W177" s="106"/>
      <c r="X177" s="66"/>
      <c r="Y177" s="106"/>
      <c r="Z177" s="66"/>
      <c r="AA177" s="66"/>
      <c r="AB177" s="106"/>
      <c r="AC177" s="66"/>
      <c r="AD177" s="66"/>
      <c r="AE177" s="81"/>
      <c r="AF177" s="81"/>
      <c r="AG177" s="81"/>
      <c r="AH177" s="81"/>
      <c r="AI177" s="81"/>
      <c r="AJ177" s="81"/>
      <c r="AK177" s="81"/>
    </row>
    <row r="178">
      <c r="A178" s="81"/>
      <c r="B178" s="66"/>
      <c r="C178" s="66"/>
      <c r="D178" s="66"/>
      <c r="E178" s="106"/>
      <c r="F178" s="137"/>
      <c r="G178" s="66"/>
      <c r="H178" s="147"/>
      <c r="I178" s="137"/>
      <c r="J178" s="137"/>
      <c r="K178" s="137"/>
      <c r="L178" s="66"/>
      <c r="M178" s="107"/>
      <c r="N178" s="66"/>
      <c r="O178" s="66"/>
      <c r="P178" s="66"/>
      <c r="Q178" s="172"/>
      <c r="R178" s="104"/>
      <c r="S178" s="104"/>
      <c r="T178" s="104"/>
      <c r="U178" s="104"/>
      <c r="V178" s="106"/>
      <c r="W178" s="106"/>
      <c r="X178" s="66"/>
      <c r="Y178" s="106"/>
      <c r="Z178" s="66"/>
      <c r="AA178" s="66"/>
      <c r="AB178" s="106"/>
      <c r="AC178" s="66"/>
      <c r="AD178" s="66"/>
      <c r="AE178" s="81"/>
      <c r="AF178" s="81"/>
      <c r="AG178" s="81"/>
      <c r="AH178" s="81"/>
      <c r="AI178" s="81"/>
      <c r="AJ178" s="81"/>
      <c r="AK178" s="81"/>
    </row>
    <row r="179">
      <c r="A179" s="81"/>
      <c r="B179" s="66"/>
      <c r="C179" s="66"/>
      <c r="D179" s="66"/>
      <c r="E179" s="106"/>
      <c r="F179" s="137"/>
      <c r="G179" s="66"/>
      <c r="H179" s="147"/>
      <c r="I179" s="137"/>
      <c r="J179" s="137"/>
      <c r="K179" s="137"/>
      <c r="L179" s="66"/>
      <c r="M179" s="107"/>
      <c r="N179" s="66"/>
      <c r="O179" s="66"/>
      <c r="P179" s="66"/>
      <c r="Q179" s="172"/>
      <c r="R179" s="104"/>
      <c r="S179" s="104"/>
      <c r="T179" s="104"/>
      <c r="U179" s="104"/>
      <c r="V179" s="106"/>
      <c r="W179" s="106"/>
      <c r="X179" s="66"/>
      <c r="Y179" s="106"/>
      <c r="Z179" s="66"/>
      <c r="AA179" s="66"/>
      <c r="AB179" s="106"/>
      <c r="AC179" s="66"/>
      <c r="AD179" s="66"/>
      <c r="AE179" s="81"/>
      <c r="AF179" s="81"/>
      <c r="AG179" s="81"/>
      <c r="AH179" s="81"/>
      <c r="AI179" s="81"/>
      <c r="AJ179" s="81"/>
      <c r="AK179" s="81"/>
    </row>
    <row r="180">
      <c r="A180" s="81"/>
      <c r="B180" s="66"/>
      <c r="C180" s="66"/>
      <c r="D180" s="66"/>
      <c r="E180" s="106"/>
      <c r="F180" s="137"/>
      <c r="G180" s="66"/>
      <c r="H180" s="147"/>
      <c r="I180" s="137"/>
      <c r="J180" s="137"/>
      <c r="K180" s="137"/>
      <c r="L180" s="66"/>
      <c r="M180" s="107"/>
      <c r="N180" s="66"/>
      <c r="O180" s="66"/>
      <c r="P180" s="66"/>
      <c r="Q180" s="172"/>
      <c r="R180" s="104"/>
      <c r="S180" s="104"/>
      <c r="T180" s="104"/>
      <c r="U180" s="104"/>
      <c r="V180" s="106"/>
      <c r="W180" s="106"/>
      <c r="X180" s="66"/>
      <c r="Y180" s="106"/>
      <c r="Z180" s="66"/>
      <c r="AA180" s="66"/>
      <c r="AB180" s="106"/>
      <c r="AC180" s="66"/>
      <c r="AD180" s="66"/>
      <c r="AE180" s="81"/>
      <c r="AF180" s="81"/>
      <c r="AG180" s="81"/>
      <c r="AH180" s="81"/>
      <c r="AI180" s="81"/>
      <c r="AJ180" s="81"/>
      <c r="AK180" s="81"/>
    </row>
    <row r="181">
      <c r="A181" s="81"/>
      <c r="B181" s="66"/>
      <c r="C181" s="66"/>
      <c r="D181" s="66"/>
      <c r="E181" s="106"/>
      <c r="F181" s="137"/>
      <c r="G181" s="66"/>
      <c r="H181" s="147"/>
      <c r="I181" s="137"/>
      <c r="J181" s="137"/>
      <c r="K181" s="137"/>
      <c r="L181" s="66"/>
      <c r="M181" s="107"/>
      <c r="N181" s="66"/>
      <c r="O181" s="66"/>
      <c r="P181" s="66"/>
      <c r="Q181" s="172"/>
      <c r="R181" s="104"/>
      <c r="S181" s="104"/>
      <c r="T181" s="104"/>
      <c r="U181" s="104"/>
      <c r="V181" s="106"/>
      <c r="W181" s="106"/>
      <c r="X181" s="66"/>
      <c r="Y181" s="106"/>
      <c r="Z181" s="66"/>
      <c r="AA181" s="66"/>
      <c r="AB181" s="106"/>
      <c r="AC181" s="66"/>
      <c r="AD181" s="66"/>
      <c r="AE181" s="81"/>
      <c r="AF181" s="81"/>
      <c r="AG181" s="81"/>
      <c r="AH181" s="81"/>
      <c r="AI181" s="81"/>
      <c r="AJ181" s="81"/>
      <c r="AK181" s="81"/>
    </row>
    <row r="182">
      <c r="A182" s="81"/>
      <c r="B182" s="66"/>
      <c r="C182" s="66"/>
      <c r="D182" s="66"/>
      <c r="E182" s="106"/>
      <c r="F182" s="137"/>
      <c r="G182" s="66"/>
      <c r="H182" s="147"/>
      <c r="I182" s="137"/>
      <c r="J182" s="137"/>
      <c r="K182" s="137"/>
      <c r="L182" s="66"/>
      <c r="M182" s="107"/>
      <c r="N182" s="66"/>
      <c r="O182" s="66"/>
      <c r="P182" s="66"/>
      <c r="Q182" s="172"/>
      <c r="R182" s="104"/>
      <c r="S182" s="104"/>
      <c r="T182" s="104"/>
      <c r="U182" s="104"/>
      <c r="V182" s="106"/>
      <c r="W182" s="106"/>
      <c r="X182" s="66"/>
      <c r="Y182" s="106"/>
      <c r="Z182" s="66"/>
      <c r="AA182" s="66"/>
      <c r="AB182" s="106"/>
      <c r="AC182" s="66"/>
      <c r="AD182" s="66"/>
      <c r="AE182" s="81"/>
      <c r="AF182" s="81"/>
      <c r="AG182" s="81"/>
      <c r="AH182" s="81"/>
      <c r="AI182" s="81"/>
      <c r="AJ182" s="81"/>
      <c r="AK182" s="81"/>
    </row>
    <row r="183">
      <c r="A183" s="81"/>
      <c r="B183" s="66"/>
      <c r="C183" s="66"/>
      <c r="D183" s="66"/>
      <c r="E183" s="106"/>
      <c r="F183" s="137"/>
      <c r="G183" s="66"/>
      <c r="H183" s="147"/>
      <c r="I183" s="137"/>
      <c r="J183" s="137"/>
      <c r="K183" s="137"/>
      <c r="L183" s="66"/>
      <c r="M183" s="107"/>
      <c r="N183" s="66"/>
      <c r="O183" s="66"/>
      <c r="P183" s="66"/>
      <c r="Q183" s="172"/>
      <c r="R183" s="104"/>
      <c r="S183" s="104"/>
      <c r="T183" s="104"/>
      <c r="U183" s="104"/>
      <c r="V183" s="106"/>
      <c r="W183" s="106"/>
      <c r="X183" s="66"/>
      <c r="Y183" s="106"/>
      <c r="Z183" s="66"/>
      <c r="AA183" s="66"/>
      <c r="AB183" s="106"/>
      <c r="AC183" s="66"/>
      <c r="AD183" s="66"/>
      <c r="AE183" s="81"/>
      <c r="AF183" s="81"/>
      <c r="AG183" s="81"/>
      <c r="AH183" s="81"/>
      <c r="AI183" s="81"/>
      <c r="AJ183" s="81"/>
      <c r="AK183" s="81"/>
    </row>
    <row r="184">
      <c r="A184" s="81"/>
      <c r="B184" s="66"/>
      <c r="C184" s="66"/>
      <c r="D184" s="66"/>
      <c r="E184" s="106"/>
      <c r="F184" s="137"/>
      <c r="G184" s="66"/>
      <c r="H184" s="147"/>
      <c r="I184" s="137"/>
      <c r="J184" s="137"/>
      <c r="K184" s="137"/>
      <c r="L184" s="66"/>
      <c r="M184" s="107"/>
      <c r="N184" s="66"/>
      <c r="O184" s="66"/>
      <c r="P184" s="66"/>
      <c r="Q184" s="172"/>
      <c r="R184" s="104"/>
      <c r="S184" s="104"/>
      <c r="T184" s="104"/>
      <c r="U184" s="104"/>
      <c r="V184" s="106"/>
      <c r="W184" s="106"/>
      <c r="X184" s="66"/>
      <c r="Y184" s="106"/>
      <c r="Z184" s="66"/>
      <c r="AA184" s="66"/>
      <c r="AB184" s="106"/>
      <c r="AC184" s="66"/>
      <c r="AD184" s="66"/>
      <c r="AE184" s="81"/>
      <c r="AF184" s="81"/>
      <c r="AG184" s="81"/>
      <c r="AH184" s="81"/>
      <c r="AI184" s="81"/>
      <c r="AJ184" s="81"/>
      <c r="AK184" s="81"/>
    </row>
    <row r="185">
      <c r="A185" s="81"/>
      <c r="B185" s="66"/>
      <c r="C185" s="66"/>
      <c r="D185" s="66"/>
      <c r="E185" s="106"/>
      <c r="F185" s="137"/>
      <c r="G185" s="66"/>
      <c r="H185" s="147"/>
      <c r="I185" s="137"/>
      <c r="J185" s="137"/>
      <c r="K185" s="137"/>
      <c r="L185" s="66"/>
      <c r="M185" s="107"/>
      <c r="N185" s="66"/>
      <c r="O185" s="66"/>
      <c r="P185" s="66"/>
      <c r="Q185" s="172"/>
      <c r="R185" s="104"/>
      <c r="S185" s="104"/>
      <c r="T185" s="104"/>
      <c r="U185" s="104"/>
      <c r="V185" s="106"/>
      <c r="W185" s="106"/>
      <c r="X185" s="66"/>
      <c r="Y185" s="106"/>
      <c r="Z185" s="66"/>
      <c r="AA185" s="66"/>
      <c r="AB185" s="106"/>
      <c r="AC185" s="66"/>
      <c r="AD185" s="66"/>
      <c r="AE185" s="81"/>
      <c r="AF185" s="81"/>
      <c r="AG185" s="81"/>
      <c r="AH185" s="81"/>
      <c r="AI185" s="81"/>
      <c r="AJ185" s="81"/>
      <c r="AK185" s="81"/>
    </row>
    <row r="186">
      <c r="A186" s="81"/>
      <c r="B186" s="66"/>
      <c r="C186" s="66"/>
      <c r="D186" s="66"/>
      <c r="E186" s="106"/>
      <c r="F186" s="137"/>
      <c r="G186" s="66"/>
      <c r="H186" s="147"/>
      <c r="I186" s="137"/>
      <c r="J186" s="137"/>
      <c r="K186" s="137"/>
      <c r="L186" s="66"/>
      <c r="M186" s="107"/>
      <c r="N186" s="66"/>
      <c r="O186" s="66"/>
      <c r="P186" s="66"/>
      <c r="Q186" s="172"/>
      <c r="R186" s="104"/>
      <c r="S186" s="104"/>
      <c r="T186" s="104"/>
      <c r="U186" s="104"/>
      <c r="V186" s="106"/>
      <c r="W186" s="106"/>
      <c r="X186" s="66"/>
      <c r="Y186" s="106"/>
      <c r="Z186" s="66"/>
      <c r="AA186" s="66"/>
      <c r="AB186" s="106"/>
      <c r="AC186" s="66"/>
      <c r="AD186" s="66"/>
      <c r="AE186" s="81"/>
      <c r="AF186" s="81"/>
      <c r="AG186" s="81"/>
      <c r="AH186" s="81"/>
      <c r="AI186" s="81"/>
      <c r="AJ186" s="81"/>
      <c r="AK186" s="81"/>
    </row>
    <row r="187">
      <c r="A187" s="81"/>
      <c r="B187" s="66"/>
      <c r="C187" s="66"/>
      <c r="D187" s="66"/>
      <c r="E187" s="106"/>
      <c r="F187" s="137"/>
      <c r="G187" s="66"/>
      <c r="H187" s="147"/>
      <c r="I187" s="137"/>
      <c r="J187" s="137"/>
      <c r="K187" s="137"/>
      <c r="L187" s="66"/>
      <c r="M187" s="107"/>
      <c r="N187" s="66"/>
      <c r="O187" s="66"/>
      <c r="P187" s="66"/>
      <c r="Q187" s="172"/>
      <c r="R187" s="104"/>
      <c r="S187" s="104"/>
      <c r="T187" s="104"/>
      <c r="U187" s="104"/>
      <c r="V187" s="106"/>
      <c r="W187" s="106"/>
      <c r="X187" s="66"/>
      <c r="Y187" s="106"/>
      <c r="Z187" s="66"/>
      <c r="AA187" s="66"/>
      <c r="AB187" s="106"/>
      <c r="AC187" s="66"/>
      <c r="AD187" s="66"/>
      <c r="AE187" s="81"/>
      <c r="AF187" s="81"/>
      <c r="AG187" s="81"/>
      <c r="AH187" s="81"/>
      <c r="AI187" s="81"/>
      <c r="AJ187" s="81"/>
      <c r="AK187" s="81"/>
    </row>
    <row r="188">
      <c r="A188" s="81"/>
      <c r="B188" s="66"/>
      <c r="C188" s="66"/>
      <c r="D188" s="66"/>
      <c r="E188" s="106"/>
      <c r="F188" s="137"/>
      <c r="G188" s="66"/>
      <c r="H188" s="147"/>
      <c r="I188" s="137"/>
      <c r="J188" s="137"/>
      <c r="K188" s="137"/>
      <c r="L188" s="66"/>
      <c r="M188" s="107"/>
      <c r="N188" s="66"/>
      <c r="O188" s="66"/>
      <c r="P188" s="66"/>
      <c r="Q188" s="172"/>
      <c r="R188" s="104"/>
      <c r="S188" s="104"/>
      <c r="T188" s="104"/>
      <c r="U188" s="104"/>
      <c r="V188" s="106"/>
      <c r="W188" s="106"/>
      <c r="X188" s="66"/>
      <c r="Y188" s="106"/>
      <c r="Z188" s="66"/>
      <c r="AA188" s="66"/>
      <c r="AB188" s="106"/>
      <c r="AC188" s="66"/>
      <c r="AD188" s="66"/>
      <c r="AE188" s="81"/>
      <c r="AF188" s="81"/>
      <c r="AG188" s="81"/>
      <c r="AH188" s="81"/>
      <c r="AI188" s="81"/>
      <c r="AJ188" s="81"/>
      <c r="AK188" s="81"/>
    </row>
    <row r="189">
      <c r="A189" s="81"/>
      <c r="B189" s="66"/>
      <c r="C189" s="66"/>
      <c r="D189" s="66"/>
      <c r="E189" s="106"/>
      <c r="F189" s="137"/>
      <c r="G189" s="66"/>
      <c r="H189" s="147"/>
      <c r="I189" s="137"/>
      <c r="J189" s="137"/>
      <c r="K189" s="137"/>
      <c r="L189" s="66"/>
      <c r="M189" s="107"/>
      <c r="N189" s="66"/>
      <c r="O189" s="66"/>
      <c r="P189" s="66"/>
      <c r="Q189" s="172"/>
      <c r="R189" s="104"/>
      <c r="S189" s="104"/>
      <c r="T189" s="104"/>
      <c r="U189" s="104"/>
      <c r="V189" s="106"/>
      <c r="W189" s="106"/>
      <c r="X189" s="66"/>
      <c r="Y189" s="106"/>
      <c r="Z189" s="66"/>
      <c r="AA189" s="66"/>
      <c r="AB189" s="106"/>
      <c r="AC189" s="66"/>
      <c r="AD189" s="66"/>
      <c r="AE189" s="81"/>
      <c r="AF189" s="81"/>
      <c r="AG189" s="81"/>
      <c r="AH189" s="81"/>
      <c r="AI189" s="81"/>
      <c r="AJ189" s="81"/>
      <c r="AK189" s="81"/>
    </row>
    <row r="190">
      <c r="A190" s="81"/>
      <c r="B190" s="66"/>
      <c r="C190" s="66"/>
      <c r="D190" s="66"/>
      <c r="E190" s="106"/>
      <c r="F190" s="137"/>
      <c r="G190" s="66"/>
      <c r="H190" s="147"/>
      <c r="I190" s="137"/>
      <c r="J190" s="137"/>
      <c r="K190" s="137"/>
      <c r="L190" s="66"/>
      <c r="M190" s="107"/>
      <c r="N190" s="66"/>
      <c r="O190" s="66"/>
      <c r="P190" s="66"/>
      <c r="Q190" s="172"/>
      <c r="R190" s="104"/>
      <c r="S190" s="104"/>
      <c r="T190" s="104"/>
      <c r="U190" s="104"/>
      <c r="V190" s="106"/>
      <c r="W190" s="106"/>
      <c r="X190" s="66"/>
      <c r="Y190" s="106"/>
      <c r="Z190" s="66"/>
      <c r="AA190" s="66"/>
      <c r="AB190" s="106"/>
      <c r="AC190" s="66"/>
      <c r="AD190" s="66"/>
      <c r="AE190" s="81"/>
      <c r="AF190" s="81"/>
      <c r="AG190" s="81"/>
      <c r="AH190" s="81"/>
      <c r="AI190" s="81"/>
      <c r="AJ190" s="81"/>
      <c r="AK190" s="81"/>
    </row>
    <row r="191">
      <c r="A191" s="81"/>
      <c r="B191" s="66"/>
      <c r="C191" s="66"/>
      <c r="D191" s="66"/>
      <c r="E191" s="106"/>
      <c r="F191" s="137"/>
      <c r="G191" s="66"/>
      <c r="H191" s="147"/>
      <c r="I191" s="137"/>
      <c r="J191" s="137"/>
      <c r="K191" s="137"/>
      <c r="L191" s="66"/>
      <c r="M191" s="107"/>
      <c r="N191" s="66"/>
      <c r="O191" s="66"/>
      <c r="P191" s="66"/>
      <c r="Q191" s="172"/>
      <c r="R191" s="104"/>
      <c r="S191" s="104"/>
      <c r="T191" s="104"/>
      <c r="U191" s="104"/>
      <c r="V191" s="106"/>
      <c r="W191" s="106"/>
      <c r="X191" s="66"/>
      <c r="Y191" s="106"/>
      <c r="Z191" s="66"/>
      <c r="AA191" s="66"/>
      <c r="AB191" s="106"/>
      <c r="AC191" s="66"/>
      <c r="AD191" s="66"/>
      <c r="AE191" s="81"/>
      <c r="AF191" s="81"/>
      <c r="AG191" s="81"/>
      <c r="AH191" s="81"/>
      <c r="AI191" s="81"/>
      <c r="AJ191" s="81"/>
      <c r="AK191" s="81"/>
    </row>
    <row r="192">
      <c r="A192" s="81"/>
      <c r="B192" s="66"/>
      <c r="C192" s="66"/>
      <c r="D192" s="66"/>
      <c r="E192" s="106"/>
      <c r="F192" s="137"/>
      <c r="G192" s="66"/>
      <c r="H192" s="147"/>
      <c r="I192" s="137"/>
      <c r="J192" s="137"/>
      <c r="K192" s="137"/>
      <c r="L192" s="66"/>
      <c r="M192" s="107"/>
      <c r="N192" s="66"/>
      <c r="O192" s="66"/>
      <c r="P192" s="66"/>
      <c r="Q192" s="172"/>
      <c r="R192" s="104"/>
      <c r="S192" s="104"/>
      <c r="T192" s="104"/>
      <c r="U192" s="104"/>
      <c r="V192" s="106"/>
      <c r="W192" s="106"/>
      <c r="X192" s="66"/>
      <c r="Y192" s="106"/>
      <c r="Z192" s="66"/>
      <c r="AA192" s="66"/>
      <c r="AB192" s="106"/>
      <c r="AC192" s="66"/>
      <c r="AD192" s="66"/>
      <c r="AE192" s="81"/>
      <c r="AF192" s="81"/>
      <c r="AG192" s="81"/>
      <c r="AH192" s="81"/>
      <c r="AI192" s="81"/>
      <c r="AJ192" s="81"/>
      <c r="AK192" s="81"/>
    </row>
    <row r="193">
      <c r="A193" s="81"/>
      <c r="B193" s="66"/>
      <c r="C193" s="66"/>
      <c r="D193" s="66"/>
      <c r="E193" s="106"/>
      <c r="F193" s="137"/>
      <c r="G193" s="66"/>
      <c r="H193" s="147"/>
      <c r="I193" s="137"/>
      <c r="J193" s="137"/>
      <c r="K193" s="137"/>
      <c r="L193" s="66"/>
      <c r="M193" s="107"/>
      <c r="N193" s="66"/>
      <c r="O193" s="66"/>
      <c r="P193" s="66"/>
      <c r="Q193" s="172"/>
      <c r="R193" s="104"/>
      <c r="S193" s="104"/>
      <c r="T193" s="104"/>
      <c r="U193" s="104"/>
      <c r="V193" s="106"/>
      <c r="W193" s="106"/>
      <c r="X193" s="66"/>
      <c r="Y193" s="106"/>
      <c r="Z193" s="66"/>
      <c r="AA193" s="66"/>
      <c r="AB193" s="106"/>
      <c r="AC193" s="66"/>
      <c r="AD193" s="66"/>
      <c r="AE193" s="81"/>
      <c r="AF193" s="81"/>
      <c r="AG193" s="81"/>
      <c r="AH193" s="81"/>
      <c r="AI193" s="81"/>
      <c r="AJ193" s="81"/>
      <c r="AK193" s="81"/>
    </row>
    <row r="194">
      <c r="A194" s="81"/>
      <c r="B194" s="66"/>
      <c r="C194" s="66"/>
      <c r="D194" s="66"/>
      <c r="E194" s="106"/>
      <c r="F194" s="138"/>
      <c r="G194" s="81"/>
      <c r="H194" s="148"/>
      <c r="I194" s="138"/>
      <c r="J194" s="138"/>
      <c r="K194" s="138"/>
      <c r="L194" s="66"/>
      <c r="M194" s="107"/>
      <c r="N194" s="66"/>
      <c r="O194" s="66"/>
      <c r="P194" s="66"/>
      <c r="Q194" s="172"/>
      <c r="R194" s="104"/>
      <c r="S194" s="104"/>
      <c r="T194" s="104"/>
      <c r="U194" s="104"/>
      <c r="V194" s="106"/>
      <c r="W194" s="106"/>
      <c r="X194" s="66"/>
      <c r="Y194" s="106"/>
      <c r="Z194" s="66"/>
      <c r="AA194" s="66"/>
      <c r="AB194" s="106"/>
      <c r="AC194" s="66"/>
      <c r="AD194" s="66"/>
      <c r="AE194" s="81"/>
      <c r="AF194" s="81"/>
      <c r="AG194" s="81"/>
      <c r="AH194" s="81"/>
      <c r="AI194" s="81"/>
      <c r="AJ194" s="81"/>
      <c r="AK194" s="81"/>
    </row>
    <row r="195">
      <c r="A195" s="81"/>
      <c r="B195" s="66"/>
      <c r="C195" s="66"/>
      <c r="D195" s="66"/>
      <c r="E195" s="106"/>
      <c r="F195" s="137"/>
      <c r="G195" s="66"/>
      <c r="H195" s="147"/>
      <c r="I195" s="137"/>
      <c r="J195" s="137"/>
      <c r="K195" s="137"/>
      <c r="L195" s="66"/>
      <c r="M195" s="107"/>
      <c r="N195" s="66"/>
      <c r="O195" s="66"/>
      <c r="P195" s="66"/>
      <c r="Q195" s="172"/>
      <c r="R195" s="104"/>
      <c r="S195" s="104"/>
      <c r="T195" s="104"/>
      <c r="U195" s="104"/>
      <c r="V195" s="106"/>
      <c r="W195" s="106"/>
      <c r="X195" s="66"/>
      <c r="Y195" s="106"/>
      <c r="Z195" s="66"/>
      <c r="AA195" s="66"/>
      <c r="AB195" s="106"/>
      <c r="AC195" s="66"/>
      <c r="AD195" s="66"/>
      <c r="AE195" s="81"/>
      <c r="AF195" s="81"/>
      <c r="AG195" s="81"/>
      <c r="AH195" s="81"/>
      <c r="AI195" s="81"/>
      <c r="AJ195" s="81"/>
      <c r="AK195" s="81"/>
    </row>
    <row r="196">
      <c r="A196" s="81"/>
      <c r="B196" s="66"/>
      <c r="C196" s="66"/>
      <c r="D196" s="66"/>
      <c r="E196" s="106"/>
      <c r="F196" s="137"/>
      <c r="G196" s="66"/>
      <c r="H196" s="147"/>
      <c r="I196" s="137"/>
      <c r="J196" s="137"/>
      <c r="K196" s="137"/>
      <c r="L196" s="66"/>
      <c r="M196" s="107"/>
      <c r="N196" s="66"/>
      <c r="O196" s="66"/>
      <c r="P196" s="66"/>
      <c r="Q196" s="172"/>
      <c r="R196" s="104"/>
      <c r="S196" s="104"/>
      <c r="T196" s="104"/>
      <c r="U196" s="104"/>
      <c r="V196" s="106"/>
      <c r="W196" s="106"/>
      <c r="X196" s="66"/>
      <c r="Y196" s="106"/>
      <c r="Z196" s="66"/>
      <c r="AA196" s="66"/>
      <c r="AB196" s="106"/>
      <c r="AC196" s="66"/>
      <c r="AD196" s="66"/>
      <c r="AE196" s="81"/>
      <c r="AF196" s="81"/>
      <c r="AG196" s="81"/>
      <c r="AH196" s="81"/>
      <c r="AI196" s="81"/>
      <c r="AJ196" s="81"/>
      <c r="AK196" s="81"/>
    </row>
    <row r="197">
      <c r="A197" s="81"/>
      <c r="B197" s="66"/>
      <c r="C197" s="66"/>
      <c r="D197" s="66"/>
      <c r="E197" s="106"/>
      <c r="F197" s="137"/>
      <c r="G197" s="66"/>
      <c r="H197" s="147"/>
      <c r="I197" s="137"/>
      <c r="J197" s="137"/>
      <c r="K197" s="137"/>
      <c r="L197" s="66"/>
      <c r="M197" s="107"/>
      <c r="N197" s="66"/>
      <c r="O197" s="66"/>
      <c r="P197" s="66"/>
      <c r="Q197" s="172"/>
      <c r="R197" s="104"/>
      <c r="S197" s="104"/>
      <c r="T197" s="104"/>
      <c r="U197" s="104"/>
      <c r="V197" s="106"/>
      <c r="W197" s="106"/>
      <c r="X197" s="66"/>
      <c r="Y197" s="106"/>
      <c r="Z197" s="66"/>
      <c r="AA197" s="66"/>
      <c r="AB197" s="106"/>
      <c r="AC197" s="66"/>
      <c r="AD197" s="66"/>
      <c r="AE197" s="81"/>
      <c r="AF197" s="81"/>
      <c r="AG197" s="81"/>
      <c r="AH197" s="81"/>
      <c r="AI197" s="81"/>
      <c r="AJ197" s="81"/>
      <c r="AK197" s="81"/>
    </row>
    <row r="198">
      <c r="A198" s="81"/>
      <c r="B198" s="66"/>
      <c r="C198" s="66"/>
      <c r="D198" s="66"/>
      <c r="E198" s="106"/>
      <c r="F198" s="137"/>
      <c r="G198" s="66"/>
      <c r="H198" s="147"/>
      <c r="I198" s="137"/>
      <c r="J198" s="137"/>
      <c r="K198" s="137"/>
      <c r="L198" s="66"/>
      <c r="M198" s="107"/>
      <c r="N198" s="66"/>
      <c r="O198" s="66"/>
      <c r="P198" s="66"/>
      <c r="Q198" s="172"/>
      <c r="R198" s="104"/>
      <c r="S198" s="104"/>
      <c r="T198" s="104"/>
      <c r="U198" s="104"/>
      <c r="V198" s="106"/>
      <c r="W198" s="106"/>
      <c r="X198" s="66"/>
      <c r="Y198" s="106"/>
      <c r="Z198" s="66"/>
      <c r="AA198" s="66"/>
      <c r="AB198" s="106"/>
      <c r="AC198" s="66"/>
      <c r="AD198" s="66"/>
      <c r="AE198" s="81"/>
      <c r="AF198" s="81"/>
      <c r="AG198" s="81"/>
      <c r="AH198" s="81"/>
      <c r="AI198" s="81"/>
      <c r="AJ198" s="81"/>
      <c r="AK198" s="81"/>
    </row>
    <row r="199">
      <c r="A199" s="81"/>
      <c r="B199" s="66"/>
      <c r="C199" s="66"/>
      <c r="D199" s="66"/>
      <c r="E199" s="106"/>
      <c r="F199" s="137"/>
      <c r="G199" s="66"/>
      <c r="H199" s="147"/>
      <c r="I199" s="137"/>
      <c r="J199" s="137"/>
      <c r="K199" s="137"/>
      <c r="L199" s="66"/>
      <c r="M199" s="107"/>
      <c r="N199" s="66"/>
      <c r="O199" s="66"/>
      <c r="P199" s="66"/>
      <c r="Q199" s="172"/>
      <c r="R199" s="104"/>
      <c r="S199" s="104"/>
      <c r="T199" s="104"/>
      <c r="U199" s="104"/>
      <c r="V199" s="106"/>
      <c r="W199" s="106"/>
      <c r="X199" s="66"/>
      <c r="Y199" s="106"/>
      <c r="Z199" s="66"/>
      <c r="AA199" s="66"/>
      <c r="AB199" s="106"/>
      <c r="AC199" s="66"/>
      <c r="AD199" s="66"/>
      <c r="AE199" s="81"/>
      <c r="AF199" s="81"/>
      <c r="AG199" s="81"/>
      <c r="AH199" s="81"/>
      <c r="AI199" s="81"/>
      <c r="AJ199" s="81"/>
      <c r="AK199" s="81"/>
    </row>
    <row r="200">
      <c r="A200" s="81"/>
      <c r="B200" s="66"/>
      <c r="C200" s="66"/>
      <c r="D200" s="66"/>
      <c r="E200" s="106"/>
      <c r="F200" s="137"/>
      <c r="G200" s="66"/>
      <c r="H200" s="147"/>
      <c r="I200" s="137"/>
      <c r="J200" s="137"/>
      <c r="K200" s="137"/>
      <c r="L200" s="66"/>
      <c r="M200" s="107"/>
      <c r="N200" s="66"/>
      <c r="O200" s="66"/>
      <c r="P200" s="66"/>
      <c r="Q200" s="172"/>
      <c r="R200" s="104"/>
      <c r="S200" s="104"/>
      <c r="T200" s="104"/>
      <c r="U200" s="104"/>
      <c r="V200" s="106"/>
      <c r="W200" s="106"/>
      <c r="X200" s="66"/>
      <c r="Y200" s="106"/>
      <c r="Z200" s="66"/>
      <c r="AA200" s="66"/>
      <c r="AB200" s="106"/>
      <c r="AC200" s="66"/>
      <c r="AD200" s="66"/>
      <c r="AE200" s="81"/>
      <c r="AF200" s="81"/>
      <c r="AG200" s="81"/>
      <c r="AH200" s="81"/>
      <c r="AI200" s="81"/>
      <c r="AJ200" s="81"/>
      <c r="AK200" s="81"/>
    </row>
    <row r="201">
      <c r="A201" s="81"/>
      <c r="B201" s="66"/>
      <c r="C201" s="66"/>
      <c r="D201" s="66"/>
      <c r="E201" s="106"/>
      <c r="F201" s="137"/>
      <c r="G201" s="66"/>
      <c r="H201" s="147"/>
      <c r="I201" s="137"/>
      <c r="J201" s="137"/>
      <c r="K201" s="137"/>
      <c r="L201" s="66"/>
      <c r="M201" s="107"/>
      <c r="N201" s="66"/>
      <c r="O201" s="66"/>
      <c r="P201" s="66"/>
      <c r="Q201" s="172"/>
      <c r="R201" s="104"/>
      <c r="S201" s="104"/>
      <c r="T201" s="104"/>
      <c r="U201" s="104"/>
      <c r="V201" s="106"/>
      <c r="W201" s="106"/>
      <c r="X201" s="66"/>
      <c r="Y201" s="106"/>
      <c r="Z201" s="66"/>
      <c r="AA201" s="66"/>
      <c r="AB201" s="106"/>
      <c r="AC201" s="66"/>
      <c r="AD201" s="66"/>
      <c r="AE201" s="81"/>
      <c r="AF201" s="81"/>
      <c r="AG201" s="81"/>
      <c r="AH201" s="81"/>
      <c r="AI201" s="81"/>
      <c r="AJ201" s="81"/>
      <c r="AK201" s="81"/>
    </row>
    <row r="202">
      <c r="A202" s="81"/>
      <c r="B202" s="66"/>
      <c r="C202" s="66"/>
      <c r="D202" s="66"/>
      <c r="E202" s="106"/>
      <c r="F202" s="137"/>
      <c r="G202" s="66"/>
      <c r="H202" s="147"/>
      <c r="I202" s="137"/>
      <c r="J202" s="137"/>
      <c r="K202" s="137"/>
      <c r="L202" s="66"/>
      <c r="M202" s="107"/>
      <c r="N202" s="66"/>
      <c r="O202" s="66"/>
      <c r="P202" s="66"/>
      <c r="Q202" s="172"/>
      <c r="R202" s="104"/>
      <c r="S202" s="104"/>
      <c r="T202" s="104"/>
      <c r="U202" s="104"/>
      <c r="V202" s="106"/>
      <c r="W202" s="106"/>
      <c r="X202" s="66"/>
      <c r="Y202" s="106"/>
      <c r="Z202" s="66"/>
      <c r="AA202" s="66"/>
      <c r="AB202" s="106"/>
      <c r="AC202" s="66"/>
      <c r="AD202" s="66"/>
      <c r="AE202" s="81"/>
      <c r="AF202" s="81"/>
      <c r="AG202" s="81"/>
      <c r="AH202" s="81"/>
      <c r="AI202" s="81"/>
      <c r="AJ202" s="81"/>
      <c r="AK202" s="81"/>
    </row>
    <row r="203">
      <c r="A203" s="81"/>
      <c r="B203" s="66"/>
      <c r="C203" s="66"/>
      <c r="D203" s="66"/>
      <c r="E203" s="106"/>
      <c r="F203" s="137"/>
      <c r="G203" s="66"/>
      <c r="H203" s="147"/>
      <c r="I203" s="137"/>
      <c r="J203" s="137"/>
      <c r="K203" s="137"/>
      <c r="L203" s="66"/>
      <c r="M203" s="107"/>
      <c r="N203" s="66"/>
      <c r="O203" s="66"/>
      <c r="P203" s="66"/>
      <c r="Q203" s="172"/>
      <c r="R203" s="104"/>
      <c r="S203" s="104"/>
      <c r="T203" s="104"/>
      <c r="U203" s="104"/>
      <c r="V203" s="106"/>
      <c r="W203" s="106"/>
      <c r="X203" s="66"/>
      <c r="Y203" s="106"/>
      <c r="Z203" s="66"/>
      <c r="AA203" s="66"/>
      <c r="AB203" s="106"/>
      <c r="AC203" s="66"/>
      <c r="AD203" s="66"/>
      <c r="AE203" s="81"/>
      <c r="AF203" s="81"/>
      <c r="AG203" s="81"/>
      <c r="AH203" s="81"/>
      <c r="AI203" s="81"/>
      <c r="AJ203" s="81"/>
      <c r="AK203" s="81"/>
    </row>
    <row r="204">
      <c r="A204" s="81"/>
      <c r="B204" s="66"/>
      <c r="C204" s="66"/>
      <c r="D204" s="66"/>
      <c r="E204" s="106"/>
      <c r="F204" s="137"/>
      <c r="G204" s="66"/>
      <c r="H204" s="147"/>
      <c r="I204" s="137"/>
      <c r="J204" s="137"/>
      <c r="K204" s="137"/>
      <c r="L204" s="66"/>
      <c r="M204" s="107"/>
      <c r="N204" s="66"/>
      <c r="O204" s="66"/>
      <c r="P204" s="66"/>
      <c r="Q204" s="172"/>
      <c r="R204" s="104"/>
      <c r="S204" s="104"/>
      <c r="T204" s="104"/>
      <c r="U204" s="104"/>
      <c r="V204" s="106"/>
      <c r="W204" s="106"/>
      <c r="X204" s="66"/>
      <c r="Y204" s="106"/>
      <c r="Z204" s="66"/>
      <c r="AA204" s="66"/>
      <c r="AB204" s="106"/>
      <c r="AC204" s="66"/>
      <c r="AD204" s="66"/>
      <c r="AE204" s="81"/>
      <c r="AF204" s="81"/>
      <c r="AG204" s="81"/>
      <c r="AH204" s="81"/>
      <c r="AI204" s="81"/>
      <c r="AJ204" s="81"/>
      <c r="AK204" s="81"/>
    </row>
    <row r="205">
      <c r="A205" s="81"/>
      <c r="B205" s="66"/>
      <c r="C205" s="66"/>
      <c r="D205" s="66"/>
      <c r="E205" s="106"/>
      <c r="F205" s="137"/>
      <c r="G205" s="66"/>
      <c r="H205" s="147"/>
      <c r="I205" s="137"/>
      <c r="J205" s="137"/>
      <c r="K205" s="137"/>
      <c r="L205" s="66"/>
      <c r="M205" s="107"/>
      <c r="N205" s="66"/>
      <c r="O205" s="66"/>
      <c r="P205" s="66"/>
      <c r="Q205" s="172"/>
      <c r="R205" s="104"/>
      <c r="S205" s="104"/>
      <c r="T205" s="104"/>
      <c r="U205" s="104"/>
      <c r="V205" s="106"/>
      <c r="W205" s="106"/>
      <c r="X205" s="66"/>
      <c r="Y205" s="106"/>
      <c r="Z205" s="66"/>
      <c r="AA205" s="66"/>
      <c r="AB205" s="106"/>
      <c r="AC205" s="66"/>
      <c r="AD205" s="66"/>
      <c r="AE205" s="81"/>
      <c r="AF205" s="81"/>
      <c r="AG205" s="81"/>
      <c r="AH205" s="81"/>
      <c r="AI205" s="81"/>
      <c r="AJ205" s="81"/>
      <c r="AK205" s="81"/>
    </row>
    <row r="206">
      <c r="A206" s="81"/>
      <c r="B206" s="66"/>
      <c r="C206" s="66"/>
      <c r="D206" s="66"/>
      <c r="E206" s="106"/>
      <c r="F206" s="137"/>
      <c r="G206" s="66"/>
      <c r="H206" s="147"/>
      <c r="I206" s="137"/>
      <c r="J206" s="137"/>
      <c r="K206" s="137"/>
      <c r="L206" s="66"/>
      <c r="M206" s="107"/>
      <c r="N206" s="66"/>
      <c r="O206" s="66"/>
      <c r="P206" s="66"/>
      <c r="Q206" s="172"/>
      <c r="R206" s="104"/>
      <c r="S206" s="104"/>
      <c r="T206" s="104"/>
      <c r="U206" s="104"/>
      <c r="V206" s="106"/>
      <c r="W206" s="106"/>
      <c r="X206" s="66"/>
      <c r="Y206" s="106"/>
      <c r="Z206" s="66"/>
      <c r="AA206" s="66"/>
      <c r="AB206" s="106"/>
      <c r="AC206" s="66"/>
      <c r="AD206" s="66"/>
      <c r="AE206" s="81"/>
      <c r="AF206" s="81"/>
      <c r="AG206" s="81"/>
      <c r="AH206" s="81"/>
      <c r="AI206" s="81"/>
      <c r="AJ206" s="81"/>
      <c r="AK206" s="81"/>
    </row>
    <row r="207">
      <c r="A207" s="81"/>
      <c r="B207" s="66"/>
      <c r="C207" s="66"/>
      <c r="D207" s="66"/>
      <c r="E207" s="106"/>
      <c r="F207" s="137"/>
      <c r="G207" s="66"/>
      <c r="H207" s="147"/>
      <c r="I207" s="137"/>
      <c r="J207" s="137"/>
      <c r="K207" s="137"/>
      <c r="L207" s="66"/>
      <c r="M207" s="107"/>
      <c r="N207" s="66"/>
      <c r="O207" s="66"/>
      <c r="P207" s="66"/>
      <c r="Q207" s="172"/>
      <c r="R207" s="104"/>
      <c r="S207" s="104"/>
      <c r="T207" s="104"/>
      <c r="U207" s="104"/>
      <c r="V207" s="106"/>
      <c r="W207" s="106"/>
      <c r="X207" s="66"/>
      <c r="Y207" s="106"/>
      <c r="Z207" s="66"/>
      <c r="AA207" s="66"/>
      <c r="AB207" s="106"/>
      <c r="AC207" s="66"/>
      <c r="AD207" s="66"/>
      <c r="AE207" s="81"/>
      <c r="AF207" s="81"/>
      <c r="AG207" s="81"/>
      <c r="AH207" s="81"/>
      <c r="AI207" s="81"/>
      <c r="AJ207" s="81"/>
      <c r="AK207" s="81"/>
    </row>
    <row r="208">
      <c r="A208" s="81"/>
      <c r="B208" s="66"/>
      <c r="C208" s="66"/>
      <c r="D208" s="66"/>
      <c r="E208" s="106"/>
      <c r="F208" s="137"/>
      <c r="G208" s="66"/>
      <c r="H208" s="147"/>
      <c r="I208" s="137"/>
      <c r="J208" s="137"/>
      <c r="K208" s="137"/>
      <c r="L208" s="66"/>
      <c r="M208" s="107"/>
      <c r="N208" s="66"/>
      <c r="O208" s="66"/>
      <c r="P208" s="66"/>
      <c r="Q208" s="172"/>
      <c r="R208" s="104"/>
      <c r="S208" s="104"/>
      <c r="T208" s="104"/>
      <c r="U208" s="104"/>
      <c r="V208" s="106"/>
      <c r="W208" s="106"/>
      <c r="X208" s="66"/>
      <c r="Y208" s="106"/>
      <c r="Z208" s="66"/>
      <c r="AA208" s="66"/>
      <c r="AB208" s="106"/>
      <c r="AC208" s="66"/>
      <c r="AD208" s="66"/>
      <c r="AE208" s="81"/>
      <c r="AF208" s="81"/>
      <c r="AG208" s="81"/>
      <c r="AH208" s="81"/>
      <c r="AI208" s="81"/>
      <c r="AJ208" s="81"/>
      <c r="AK208" s="81"/>
    </row>
    <row r="209">
      <c r="A209" s="81"/>
      <c r="B209" s="66"/>
      <c r="C209" s="66"/>
      <c r="D209" s="66"/>
      <c r="E209" s="106"/>
      <c r="F209" s="137"/>
      <c r="G209" s="66"/>
      <c r="H209" s="147"/>
      <c r="I209" s="137"/>
      <c r="J209" s="137"/>
      <c r="K209" s="137"/>
      <c r="L209" s="66"/>
      <c r="M209" s="107"/>
      <c r="N209" s="66"/>
      <c r="O209" s="66"/>
      <c r="P209" s="66"/>
      <c r="Q209" s="172"/>
      <c r="R209" s="104"/>
      <c r="S209" s="104"/>
      <c r="T209" s="104"/>
      <c r="U209" s="104"/>
      <c r="V209" s="106"/>
      <c r="W209" s="106"/>
      <c r="X209" s="66"/>
      <c r="Y209" s="106"/>
      <c r="Z209" s="66"/>
      <c r="AA209" s="66"/>
      <c r="AB209" s="106"/>
      <c r="AC209" s="66"/>
      <c r="AD209" s="66"/>
      <c r="AE209" s="81"/>
      <c r="AF209" s="81"/>
      <c r="AG209" s="81"/>
      <c r="AH209" s="81"/>
      <c r="AI209" s="81"/>
      <c r="AJ209" s="81"/>
      <c r="AK209" s="81"/>
    </row>
    <row r="210">
      <c r="A210" s="81"/>
      <c r="B210" s="66"/>
      <c r="C210" s="66"/>
      <c r="D210" s="66"/>
      <c r="E210" s="106"/>
      <c r="F210" s="137"/>
      <c r="G210" s="66"/>
      <c r="H210" s="147"/>
      <c r="I210" s="137"/>
      <c r="J210" s="137"/>
      <c r="K210" s="137"/>
      <c r="L210" s="66"/>
      <c r="M210" s="107"/>
      <c r="N210" s="66"/>
      <c r="O210" s="66"/>
      <c r="P210" s="66"/>
      <c r="Q210" s="172"/>
      <c r="R210" s="104"/>
      <c r="S210" s="104"/>
      <c r="T210" s="104"/>
      <c r="U210" s="104"/>
      <c r="V210" s="106"/>
      <c r="W210" s="106"/>
      <c r="X210" s="66"/>
      <c r="Y210" s="106"/>
      <c r="Z210" s="66"/>
      <c r="AA210" s="66"/>
      <c r="AB210" s="106"/>
      <c r="AC210" s="66"/>
      <c r="AD210" s="66"/>
      <c r="AE210" s="81"/>
      <c r="AF210" s="81"/>
      <c r="AG210" s="81"/>
      <c r="AH210" s="81"/>
      <c r="AI210" s="81"/>
      <c r="AJ210" s="81"/>
      <c r="AK210" s="81"/>
    </row>
    <row r="211">
      <c r="A211" s="81"/>
      <c r="B211" s="66"/>
      <c r="C211" s="66"/>
      <c r="D211" s="66"/>
      <c r="E211" s="106"/>
      <c r="F211" s="137"/>
      <c r="G211" s="66"/>
      <c r="H211" s="147"/>
      <c r="I211" s="137"/>
      <c r="J211" s="137"/>
      <c r="K211" s="137"/>
      <c r="L211" s="66"/>
      <c r="M211" s="107"/>
      <c r="N211" s="66"/>
      <c r="O211" s="66"/>
      <c r="P211" s="66"/>
      <c r="Q211" s="172"/>
      <c r="R211" s="104"/>
      <c r="S211" s="104"/>
      <c r="T211" s="104"/>
      <c r="U211" s="104"/>
      <c r="V211" s="106"/>
      <c r="W211" s="106"/>
      <c r="X211" s="66"/>
      <c r="Y211" s="106"/>
      <c r="Z211" s="66"/>
      <c r="AA211" s="66"/>
      <c r="AB211" s="106"/>
      <c r="AC211" s="66"/>
      <c r="AD211" s="66"/>
      <c r="AE211" s="81"/>
      <c r="AF211" s="81"/>
      <c r="AG211" s="81"/>
      <c r="AH211" s="81"/>
      <c r="AI211" s="81"/>
      <c r="AJ211" s="81"/>
      <c r="AK211" s="81"/>
    </row>
    <row r="212">
      <c r="A212" s="81"/>
      <c r="B212" s="66"/>
      <c r="C212" s="66"/>
      <c r="D212" s="66"/>
      <c r="E212" s="106"/>
      <c r="F212" s="137"/>
      <c r="G212" s="66"/>
      <c r="H212" s="147"/>
      <c r="I212" s="137"/>
      <c r="J212" s="137"/>
      <c r="K212" s="137"/>
      <c r="L212" s="66"/>
      <c r="M212" s="107"/>
      <c r="N212" s="66"/>
      <c r="O212" s="66"/>
      <c r="P212" s="66"/>
      <c r="Q212" s="172"/>
      <c r="R212" s="104"/>
      <c r="S212" s="104"/>
      <c r="T212" s="104"/>
      <c r="U212" s="104"/>
      <c r="V212" s="106"/>
      <c r="W212" s="106"/>
      <c r="X212" s="66"/>
      <c r="Y212" s="106"/>
      <c r="Z212" s="66"/>
      <c r="AA212" s="66"/>
      <c r="AB212" s="106"/>
      <c r="AC212" s="66"/>
      <c r="AD212" s="66"/>
      <c r="AE212" s="81"/>
      <c r="AF212" s="81"/>
      <c r="AG212" s="81"/>
      <c r="AH212" s="81"/>
      <c r="AI212" s="81"/>
      <c r="AJ212" s="81"/>
      <c r="AK212" s="81"/>
    </row>
    <row r="213">
      <c r="A213" s="81"/>
      <c r="B213" s="66"/>
      <c r="C213" s="66"/>
      <c r="D213" s="66"/>
      <c r="E213" s="106"/>
      <c r="F213" s="137"/>
      <c r="G213" s="66"/>
      <c r="H213" s="147"/>
      <c r="I213" s="137"/>
      <c r="J213" s="137"/>
      <c r="K213" s="137"/>
      <c r="L213" s="66"/>
      <c r="M213" s="107"/>
      <c r="N213" s="66"/>
      <c r="O213" s="66"/>
      <c r="P213" s="66"/>
      <c r="Q213" s="172"/>
      <c r="R213" s="104"/>
      <c r="S213" s="104"/>
      <c r="T213" s="104"/>
      <c r="U213" s="104"/>
      <c r="V213" s="106"/>
      <c r="W213" s="106"/>
      <c r="X213" s="66"/>
      <c r="Y213" s="106"/>
      <c r="Z213" s="66"/>
      <c r="AA213" s="66"/>
      <c r="AB213" s="106"/>
      <c r="AC213" s="66"/>
      <c r="AD213" s="66"/>
      <c r="AE213" s="81"/>
      <c r="AF213" s="81"/>
      <c r="AG213" s="81"/>
      <c r="AH213" s="81"/>
      <c r="AI213" s="81"/>
      <c r="AJ213" s="81"/>
      <c r="AK213" s="81"/>
    </row>
    <row r="214">
      <c r="A214" s="81"/>
      <c r="B214" s="66"/>
      <c r="C214" s="66"/>
      <c r="D214" s="66"/>
      <c r="E214" s="106"/>
      <c r="F214" s="137"/>
      <c r="G214" s="66"/>
      <c r="H214" s="147"/>
      <c r="I214" s="137"/>
      <c r="J214" s="137"/>
      <c r="K214" s="137"/>
      <c r="L214" s="66"/>
      <c r="M214" s="107"/>
      <c r="N214" s="66"/>
      <c r="O214" s="66"/>
      <c r="P214" s="66"/>
      <c r="Q214" s="172"/>
      <c r="R214" s="104"/>
      <c r="S214" s="104"/>
      <c r="T214" s="104"/>
      <c r="U214" s="104"/>
      <c r="V214" s="106"/>
      <c r="W214" s="106"/>
      <c r="X214" s="66"/>
      <c r="Y214" s="106"/>
      <c r="Z214" s="66"/>
      <c r="AA214" s="66"/>
      <c r="AB214" s="106"/>
      <c r="AC214" s="66"/>
      <c r="AD214" s="66"/>
      <c r="AE214" s="81"/>
      <c r="AF214" s="81"/>
      <c r="AG214" s="81"/>
      <c r="AH214" s="81"/>
      <c r="AI214" s="81"/>
      <c r="AJ214" s="81"/>
      <c r="AK214" s="81"/>
    </row>
    <row r="215">
      <c r="A215" s="81"/>
      <c r="B215" s="66"/>
      <c r="C215" s="66"/>
      <c r="D215" s="66"/>
      <c r="E215" s="106"/>
      <c r="F215" s="137"/>
      <c r="G215" s="66"/>
      <c r="H215" s="147"/>
      <c r="I215" s="137"/>
      <c r="J215" s="137"/>
      <c r="K215" s="137"/>
      <c r="L215" s="66"/>
      <c r="M215" s="107"/>
      <c r="N215" s="66"/>
      <c r="O215" s="66"/>
      <c r="P215" s="66"/>
      <c r="Q215" s="172"/>
      <c r="R215" s="104"/>
      <c r="S215" s="104"/>
      <c r="T215" s="104"/>
      <c r="U215" s="104"/>
      <c r="V215" s="106"/>
      <c r="W215" s="106"/>
      <c r="X215" s="66"/>
      <c r="Y215" s="106"/>
      <c r="Z215" s="66"/>
      <c r="AA215" s="66"/>
      <c r="AB215" s="106"/>
      <c r="AC215" s="66"/>
      <c r="AD215" s="66"/>
      <c r="AE215" s="81"/>
      <c r="AF215" s="81"/>
      <c r="AG215" s="81"/>
      <c r="AH215" s="81"/>
      <c r="AI215" s="81"/>
      <c r="AJ215" s="81"/>
      <c r="AK215" s="81"/>
    </row>
    <row r="216">
      <c r="A216" s="81"/>
      <c r="B216" s="66"/>
      <c r="C216" s="66"/>
      <c r="D216" s="66"/>
      <c r="E216" s="106"/>
      <c r="F216" s="137"/>
      <c r="G216" s="66"/>
      <c r="H216" s="147"/>
      <c r="I216" s="137"/>
      <c r="J216" s="137"/>
      <c r="K216" s="137"/>
      <c r="L216" s="66"/>
      <c r="M216" s="107"/>
      <c r="N216" s="66"/>
      <c r="O216" s="66"/>
      <c r="P216" s="66"/>
      <c r="Q216" s="172"/>
      <c r="R216" s="104"/>
      <c r="S216" s="104"/>
      <c r="T216" s="104"/>
      <c r="U216" s="104"/>
      <c r="V216" s="106"/>
      <c r="W216" s="106"/>
      <c r="X216" s="66"/>
      <c r="Y216" s="106"/>
      <c r="Z216" s="66"/>
      <c r="AA216" s="66"/>
      <c r="AB216" s="106"/>
      <c r="AC216" s="66"/>
      <c r="AD216" s="66"/>
      <c r="AE216" s="81"/>
      <c r="AF216" s="81"/>
      <c r="AG216" s="81"/>
      <c r="AH216" s="81"/>
      <c r="AI216" s="81"/>
      <c r="AJ216" s="81"/>
      <c r="AK216" s="81"/>
    </row>
    <row r="217">
      <c r="A217" s="81"/>
      <c r="B217" s="66"/>
      <c r="C217" s="66"/>
      <c r="D217" s="66"/>
      <c r="E217" s="106"/>
      <c r="F217" s="137"/>
      <c r="G217" s="66"/>
      <c r="H217" s="147"/>
      <c r="I217" s="137"/>
      <c r="J217" s="137"/>
      <c r="K217" s="137"/>
      <c r="L217" s="66"/>
      <c r="M217" s="107"/>
      <c r="N217" s="66"/>
      <c r="O217" s="66"/>
      <c r="P217" s="66"/>
      <c r="Q217" s="172"/>
      <c r="R217" s="104"/>
      <c r="S217" s="104"/>
      <c r="T217" s="104"/>
      <c r="U217" s="104"/>
      <c r="V217" s="106"/>
      <c r="W217" s="106"/>
      <c r="X217" s="66"/>
      <c r="Y217" s="106"/>
      <c r="Z217" s="66"/>
      <c r="AA217" s="66"/>
      <c r="AB217" s="106"/>
      <c r="AC217" s="66"/>
      <c r="AD217" s="66"/>
      <c r="AE217" s="81"/>
      <c r="AF217" s="81"/>
      <c r="AG217" s="81"/>
      <c r="AH217" s="81"/>
      <c r="AI217" s="81"/>
      <c r="AJ217" s="81"/>
      <c r="AK217" s="81"/>
    </row>
    <row r="218">
      <c r="A218" s="81"/>
      <c r="B218" s="66"/>
      <c r="C218" s="66"/>
      <c r="D218" s="66"/>
      <c r="E218" s="106"/>
      <c r="F218" s="137"/>
      <c r="G218" s="66"/>
      <c r="H218" s="147"/>
      <c r="I218" s="137"/>
      <c r="J218" s="137"/>
      <c r="K218" s="137"/>
      <c r="L218" s="66"/>
      <c r="M218" s="107"/>
      <c r="N218" s="66"/>
      <c r="O218" s="66"/>
      <c r="P218" s="66"/>
      <c r="Q218" s="172"/>
      <c r="R218" s="104"/>
      <c r="S218" s="104"/>
      <c r="T218" s="104"/>
      <c r="U218" s="104"/>
      <c r="V218" s="106"/>
      <c r="W218" s="106"/>
      <c r="X218" s="66"/>
      <c r="Y218" s="106"/>
      <c r="Z218" s="66"/>
      <c r="AA218" s="66"/>
      <c r="AB218" s="106"/>
      <c r="AC218" s="66"/>
      <c r="AD218" s="66"/>
      <c r="AE218" s="81"/>
      <c r="AF218" s="81"/>
      <c r="AG218" s="81"/>
      <c r="AH218" s="81"/>
      <c r="AI218" s="81"/>
      <c r="AJ218" s="81"/>
      <c r="AK218" s="81"/>
    </row>
    <row r="219">
      <c r="A219" s="81"/>
      <c r="B219" s="66"/>
      <c r="C219" s="66"/>
      <c r="D219" s="66"/>
      <c r="E219" s="106"/>
      <c r="F219" s="137"/>
      <c r="G219" s="66"/>
      <c r="H219" s="147"/>
      <c r="I219" s="137"/>
      <c r="J219" s="137"/>
      <c r="K219" s="137"/>
      <c r="L219" s="66"/>
      <c r="M219" s="107"/>
      <c r="N219" s="66"/>
      <c r="O219" s="66"/>
      <c r="P219" s="66"/>
      <c r="Q219" s="172"/>
      <c r="R219" s="104"/>
      <c r="S219" s="104"/>
      <c r="T219" s="104"/>
      <c r="U219" s="104"/>
      <c r="V219" s="106"/>
      <c r="W219" s="106"/>
      <c r="X219" s="66"/>
      <c r="Y219" s="106"/>
      <c r="Z219" s="66"/>
      <c r="AA219" s="66"/>
      <c r="AB219" s="106"/>
      <c r="AC219" s="66"/>
      <c r="AD219" s="66"/>
      <c r="AE219" s="81"/>
      <c r="AF219" s="81"/>
      <c r="AG219" s="81"/>
      <c r="AH219" s="81"/>
      <c r="AI219" s="81"/>
      <c r="AJ219" s="81"/>
      <c r="AK219" s="81"/>
    </row>
    <row r="220">
      <c r="A220" s="81"/>
      <c r="B220" s="66"/>
      <c r="C220" s="66"/>
      <c r="D220" s="66"/>
      <c r="E220" s="106"/>
      <c r="F220" s="137"/>
      <c r="G220" s="66"/>
      <c r="H220" s="147"/>
      <c r="I220" s="137"/>
      <c r="J220" s="137"/>
      <c r="K220" s="137"/>
      <c r="L220" s="66"/>
      <c r="M220" s="107"/>
      <c r="N220" s="66"/>
      <c r="O220" s="66"/>
      <c r="P220" s="66"/>
      <c r="Q220" s="172"/>
      <c r="R220" s="104"/>
      <c r="S220" s="104"/>
      <c r="T220" s="104"/>
      <c r="U220" s="104"/>
      <c r="V220" s="106"/>
      <c r="W220" s="106"/>
      <c r="X220" s="66"/>
      <c r="Y220" s="106"/>
      <c r="Z220" s="66"/>
      <c r="AA220" s="66"/>
      <c r="AB220" s="106"/>
      <c r="AC220" s="66"/>
      <c r="AD220" s="66"/>
      <c r="AE220" s="81"/>
      <c r="AF220" s="81"/>
      <c r="AG220" s="81"/>
      <c r="AH220" s="81"/>
      <c r="AI220" s="81"/>
      <c r="AJ220" s="81"/>
      <c r="AK220" s="81"/>
    </row>
    <row r="221">
      <c r="A221" s="81"/>
      <c r="B221" s="66"/>
      <c r="C221" s="66"/>
      <c r="D221" s="66"/>
      <c r="E221" s="106"/>
      <c r="F221" s="137"/>
      <c r="G221" s="66"/>
      <c r="H221" s="147"/>
      <c r="I221" s="137"/>
      <c r="J221" s="137"/>
      <c r="K221" s="137"/>
      <c r="L221" s="66"/>
      <c r="M221" s="107"/>
      <c r="N221" s="66"/>
      <c r="O221" s="66"/>
      <c r="P221" s="66"/>
      <c r="Q221" s="172"/>
      <c r="R221" s="104"/>
      <c r="S221" s="104"/>
      <c r="T221" s="104"/>
      <c r="U221" s="104"/>
      <c r="V221" s="106"/>
      <c r="W221" s="106"/>
      <c r="X221" s="66"/>
      <c r="Y221" s="106"/>
      <c r="Z221" s="66"/>
      <c r="AA221" s="66"/>
      <c r="AB221" s="106"/>
      <c r="AC221" s="66"/>
      <c r="AD221" s="66"/>
      <c r="AE221" s="81"/>
      <c r="AF221" s="81"/>
      <c r="AG221" s="81"/>
      <c r="AH221" s="81"/>
      <c r="AI221" s="81"/>
      <c r="AJ221" s="81"/>
      <c r="AK221" s="81"/>
    </row>
    <row r="222">
      <c r="A222" s="81"/>
      <c r="B222" s="66"/>
      <c r="C222" s="66"/>
      <c r="D222" s="66"/>
      <c r="E222" s="106"/>
      <c r="F222" s="137"/>
      <c r="G222" s="66"/>
      <c r="H222" s="147"/>
      <c r="I222" s="137"/>
      <c r="J222" s="137"/>
      <c r="K222" s="137"/>
      <c r="L222" s="66"/>
      <c r="M222" s="107"/>
      <c r="N222" s="66"/>
      <c r="O222" s="66"/>
      <c r="P222" s="66"/>
      <c r="Q222" s="172"/>
      <c r="R222" s="104"/>
      <c r="S222" s="104"/>
      <c r="T222" s="104"/>
      <c r="U222" s="104"/>
      <c r="V222" s="106"/>
      <c r="W222" s="106"/>
      <c r="X222" s="66"/>
      <c r="Y222" s="106"/>
      <c r="Z222" s="66"/>
      <c r="AA222" s="66"/>
      <c r="AB222" s="106"/>
      <c r="AC222" s="66"/>
      <c r="AD222" s="66"/>
      <c r="AE222" s="81"/>
      <c r="AF222" s="81"/>
      <c r="AG222" s="81"/>
      <c r="AH222" s="81"/>
      <c r="AI222" s="81"/>
      <c r="AJ222" s="81"/>
      <c r="AK222" s="81"/>
    </row>
    <row r="223">
      <c r="A223" s="81"/>
      <c r="B223" s="66"/>
      <c r="C223" s="66"/>
      <c r="D223" s="66"/>
      <c r="E223" s="106"/>
      <c r="F223" s="137"/>
      <c r="G223" s="66"/>
      <c r="H223" s="147"/>
      <c r="I223" s="137"/>
      <c r="J223" s="137"/>
      <c r="K223" s="137"/>
      <c r="L223" s="66"/>
      <c r="M223" s="107"/>
      <c r="N223" s="66"/>
      <c r="O223" s="66"/>
      <c r="P223" s="66"/>
      <c r="Q223" s="172"/>
      <c r="R223" s="104"/>
      <c r="S223" s="104"/>
      <c r="T223" s="104"/>
      <c r="U223" s="104"/>
      <c r="V223" s="106"/>
      <c r="W223" s="106"/>
      <c r="X223" s="66"/>
      <c r="Y223" s="106"/>
      <c r="Z223" s="66"/>
      <c r="AA223" s="66"/>
      <c r="AB223" s="106"/>
      <c r="AC223" s="66"/>
      <c r="AD223" s="66"/>
      <c r="AE223" s="81"/>
      <c r="AF223" s="81"/>
      <c r="AG223" s="81"/>
      <c r="AH223" s="81"/>
      <c r="AI223" s="81"/>
      <c r="AJ223" s="81"/>
      <c r="AK223" s="81"/>
    </row>
    <row r="224">
      <c r="A224" s="81"/>
      <c r="B224" s="66"/>
      <c r="C224" s="66"/>
      <c r="D224" s="66"/>
      <c r="E224" s="106"/>
      <c r="F224" s="137"/>
      <c r="G224" s="66"/>
      <c r="H224" s="147"/>
      <c r="I224" s="137"/>
      <c r="J224" s="137"/>
      <c r="K224" s="137"/>
      <c r="L224" s="66"/>
      <c r="M224" s="107"/>
      <c r="N224" s="66"/>
      <c r="O224" s="66"/>
      <c r="P224" s="66"/>
      <c r="Q224" s="172"/>
      <c r="R224" s="104"/>
      <c r="S224" s="104"/>
      <c r="T224" s="104"/>
      <c r="U224" s="104"/>
      <c r="V224" s="106"/>
      <c r="W224" s="106"/>
      <c r="X224" s="66"/>
      <c r="Y224" s="106"/>
      <c r="Z224" s="66"/>
      <c r="AA224" s="66"/>
      <c r="AB224" s="106"/>
      <c r="AC224" s="66"/>
      <c r="AD224" s="66"/>
      <c r="AE224" s="81"/>
      <c r="AF224" s="81"/>
      <c r="AG224" s="81"/>
      <c r="AH224" s="81"/>
      <c r="AI224" s="81"/>
      <c r="AJ224" s="81"/>
      <c r="AK224" s="81"/>
    </row>
    <row r="225">
      <c r="A225" s="81"/>
      <c r="B225" s="66"/>
      <c r="C225" s="66"/>
      <c r="D225" s="66"/>
      <c r="E225" s="106"/>
      <c r="F225" s="137"/>
      <c r="G225" s="66"/>
      <c r="H225" s="147"/>
      <c r="I225" s="137"/>
      <c r="J225" s="137"/>
      <c r="K225" s="137"/>
      <c r="L225" s="66"/>
      <c r="M225" s="107"/>
      <c r="N225" s="66"/>
      <c r="O225" s="66"/>
      <c r="P225" s="66"/>
      <c r="Q225" s="172"/>
      <c r="R225" s="104"/>
      <c r="S225" s="104"/>
      <c r="T225" s="104"/>
      <c r="U225" s="104"/>
      <c r="V225" s="106"/>
      <c r="W225" s="106"/>
      <c r="X225" s="66"/>
      <c r="Y225" s="106"/>
      <c r="Z225" s="66"/>
      <c r="AA225" s="66"/>
      <c r="AB225" s="106"/>
      <c r="AC225" s="66"/>
      <c r="AD225" s="66"/>
      <c r="AE225" s="81"/>
      <c r="AF225" s="81"/>
      <c r="AG225" s="81"/>
      <c r="AH225" s="81"/>
      <c r="AI225" s="81"/>
      <c r="AJ225" s="81"/>
      <c r="AK225" s="81"/>
    </row>
    <row r="226">
      <c r="A226" s="81"/>
      <c r="B226" s="66"/>
      <c r="C226" s="66"/>
      <c r="D226" s="66"/>
      <c r="E226" s="106"/>
      <c r="F226" s="137"/>
      <c r="G226" s="66"/>
      <c r="H226" s="147"/>
      <c r="I226" s="137"/>
      <c r="J226" s="137"/>
      <c r="K226" s="137"/>
      <c r="L226" s="66"/>
      <c r="M226" s="107"/>
      <c r="N226" s="66"/>
      <c r="O226" s="66"/>
      <c r="P226" s="66"/>
      <c r="Q226" s="172"/>
      <c r="R226" s="104"/>
      <c r="S226" s="104"/>
      <c r="T226" s="104"/>
      <c r="U226" s="104"/>
      <c r="V226" s="106"/>
      <c r="W226" s="106"/>
      <c r="X226" s="66"/>
      <c r="Y226" s="106"/>
      <c r="Z226" s="66"/>
      <c r="AA226" s="66"/>
      <c r="AB226" s="106"/>
      <c r="AC226" s="66"/>
      <c r="AD226" s="66"/>
      <c r="AE226" s="81"/>
      <c r="AF226" s="81"/>
      <c r="AG226" s="81"/>
      <c r="AH226" s="81"/>
      <c r="AI226" s="81"/>
      <c r="AJ226" s="81"/>
      <c r="AK226" s="81"/>
    </row>
    <row r="227">
      <c r="A227" s="81"/>
      <c r="B227" s="66"/>
      <c r="C227" s="66"/>
      <c r="D227" s="66"/>
      <c r="E227" s="106"/>
      <c r="F227" s="137"/>
      <c r="G227" s="66"/>
      <c r="H227" s="147"/>
      <c r="I227" s="137"/>
      <c r="J227" s="137"/>
      <c r="K227" s="137"/>
      <c r="L227" s="66"/>
      <c r="M227" s="107"/>
      <c r="N227" s="66"/>
      <c r="O227" s="66"/>
      <c r="P227" s="66"/>
      <c r="Q227" s="172"/>
      <c r="R227" s="104"/>
      <c r="S227" s="104"/>
      <c r="T227" s="104"/>
      <c r="U227" s="104"/>
      <c r="V227" s="106"/>
      <c r="W227" s="106"/>
      <c r="X227" s="66"/>
      <c r="Y227" s="106"/>
      <c r="Z227" s="66"/>
      <c r="AA227" s="66"/>
      <c r="AB227" s="106"/>
      <c r="AC227" s="66"/>
      <c r="AD227" s="66"/>
      <c r="AE227" s="81"/>
      <c r="AF227" s="81"/>
      <c r="AG227" s="81"/>
      <c r="AH227" s="81"/>
      <c r="AI227" s="81"/>
      <c r="AJ227" s="81"/>
      <c r="AK227" s="81"/>
    </row>
    <row r="228">
      <c r="A228" s="81"/>
      <c r="B228" s="66"/>
      <c r="C228" s="66"/>
      <c r="D228" s="66"/>
      <c r="E228" s="106"/>
      <c r="F228" s="137"/>
      <c r="G228" s="66"/>
      <c r="H228" s="147"/>
      <c r="I228" s="137"/>
      <c r="J228" s="137"/>
      <c r="K228" s="137"/>
      <c r="L228" s="66"/>
      <c r="M228" s="107"/>
      <c r="N228" s="66"/>
      <c r="O228" s="66"/>
      <c r="P228" s="66"/>
      <c r="Q228" s="172"/>
      <c r="R228" s="104"/>
      <c r="S228" s="104"/>
      <c r="T228" s="104"/>
      <c r="U228" s="104"/>
      <c r="V228" s="106"/>
      <c r="W228" s="106"/>
      <c r="X228" s="66"/>
      <c r="Y228" s="106"/>
      <c r="Z228" s="66"/>
      <c r="AA228" s="66"/>
      <c r="AB228" s="106"/>
      <c r="AC228" s="66"/>
      <c r="AD228" s="66"/>
      <c r="AE228" s="81"/>
      <c r="AF228" s="81"/>
      <c r="AG228" s="81"/>
      <c r="AH228" s="81"/>
      <c r="AI228" s="81"/>
      <c r="AJ228" s="81"/>
      <c r="AK228" s="81"/>
    </row>
    <row r="229">
      <c r="A229" s="81"/>
      <c r="B229" s="66"/>
      <c r="C229" s="66"/>
      <c r="D229" s="66"/>
      <c r="E229" s="106"/>
      <c r="F229" s="137"/>
      <c r="G229" s="66"/>
      <c r="H229" s="147"/>
      <c r="I229" s="137"/>
      <c r="J229" s="137"/>
      <c r="K229" s="137"/>
      <c r="L229" s="66"/>
      <c r="M229" s="107"/>
      <c r="N229" s="66"/>
      <c r="O229" s="66"/>
      <c r="P229" s="66"/>
      <c r="Q229" s="172"/>
      <c r="R229" s="104"/>
      <c r="S229" s="104"/>
      <c r="T229" s="104"/>
      <c r="U229" s="104"/>
      <c r="V229" s="106"/>
      <c r="W229" s="106"/>
      <c r="X229" s="66"/>
      <c r="Y229" s="106"/>
      <c r="Z229" s="66"/>
      <c r="AA229" s="66"/>
      <c r="AB229" s="106"/>
      <c r="AC229" s="66"/>
      <c r="AD229" s="66"/>
      <c r="AE229" s="81"/>
      <c r="AF229" s="81"/>
      <c r="AG229" s="81"/>
      <c r="AH229" s="81"/>
      <c r="AI229" s="81"/>
      <c r="AJ229" s="81"/>
      <c r="AK229" s="81"/>
    </row>
    <row r="230">
      <c r="A230" s="81"/>
      <c r="B230" s="66"/>
      <c r="C230" s="66"/>
      <c r="D230" s="66"/>
      <c r="E230" s="106"/>
      <c r="F230" s="137"/>
      <c r="G230" s="66"/>
      <c r="H230" s="147"/>
      <c r="I230" s="137"/>
      <c r="J230" s="137"/>
      <c r="K230" s="137"/>
      <c r="L230" s="66"/>
      <c r="M230" s="107"/>
      <c r="N230" s="66"/>
      <c r="O230" s="66"/>
      <c r="P230" s="66"/>
      <c r="Q230" s="172"/>
      <c r="R230" s="104"/>
      <c r="S230" s="104"/>
      <c r="T230" s="104"/>
      <c r="U230" s="104"/>
      <c r="V230" s="106"/>
      <c r="W230" s="106"/>
      <c r="X230" s="66"/>
      <c r="Y230" s="106"/>
      <c r="Z230" s="66"/>
      <c r="AA230" s="66"/>
      <c r="AB230" s="106"/>
      <c r="AC230" s="66"/>
      <c r="AD230" s="66"/>
      <c r="AE230" s="81"/>
      <c r="AF230" s="81"/>
      <c r="AG230" s="81"/>
      <c r="AH230" s="81"/>
      <c r="AI230" s="81"/>
      <c r="AJ230" s="81"/>
      <c r="AK230" s="81"/>
    </row>
    <row r="231">
      <c r="A231" s="81"/>
      <c r="B231" s="66"/>
      <c r="C231" s="66"/>
      <c r="D231" s="66"/>
      <c r="E231" s="106"/>
      <c r="F231" s="137"/>
      <c r="G231" s="66"/>
      <c r="H231" s="147"/>
      <c r="I231" s="137"/>
      <c r="J231" s="137"/>
      <c r="K231" s="137"/>
      <c r="L231" s="66"/>
      <c r="M231" s="107"/>
      <c r="N231" s="66"/>
      <c r="O231" s="66"/>
      <c r="P231" s="66"/>
      <c r="Q231" s="172"/>
      <c r="R231" s="104"/>
      <c r="S231" s="104"/>
      <c r="T231" s="104"/>
      <c r="U231" s="104"/>
      <c r="V231" s="106"/>
      <c r="W231" s="106"/>
      <c r="X231" s="66"/>
      <c r="Y231" s="106"/>
      <c r="Z231" s="66"/>
      <c r="AA231" s="66"/>
      <c r="AB231" s="106"/>
      <c r="AC231" s="66"/>
      <c r="AD231" s="66"/>
      <c r="AE231" s="81"/>
      <c r="AF231" s="81"/>
      <c r="AG231" s="81"/>
      <c r="AH231" s="81"/>
      <c r="AI231" s="81"/>
      <c r="AJ231" s="81"/>
      <c r="AK231" s="81"/>
    </row>
    <row r="232">
      <c r="A232" s="81"/>
      <c r="B232" s="66"/>
      <c r="C232" s="66"/>
      <c r="D232" s="66"/>
      <c r="E232" s="106"/>
      <c r="F232" s="137"/>
      <c r="G232" s="66"/>
      <c r="H232" s="147"/>
      <c r="I232" s="137"/>
      <c r="J232" s="137"/>
      <c r="K232" s="137"/>
      <c r="L232" s="66"/>
      <c r="M232" s="107"/>
      <c r="N232" s="66"/>
      <c r="O232" s="66"/>
      <c r="P232" s="66"/>
      <c r="Q232" s="172"/>
      <c r="R232" s="104"/>
      <c r="S232" s="104"/>
      <c r="T232" s="104"/>
      <c r="U232" s="104"/>
      <c r="V232" s="106"/>
      <c r="W232" s="106"/>
      <c r="X232" s="66"/>
      <c r="Y232" s="106"/>
      <c r="Z232" s="66"/>
      <c r="AA232" s="66"/>
      <c r="AB232" s="106"/>
      <c r="AC232" s="66"/>
      <c r="AD232" s="66"/>
      <c r="AE232" s="81"/>
      <c r="AF232" s="81"/>
      <c r="AG232" s="81"/>
      <c r="AH232" s="81"/>
      <c r="AI232" s="81"/>
      <c r="AJ232" s="81"/>
      <c r="AK232" s="81"/>
    </row>
    <row r="233">
      <c r="A233" s="81"/>
      <c r="B233" s="66"/>
      <c r="C233" s="66"/>
      <c r="D233" s="66"/>
      <c r="E233" s="106"/>
      <c r="F233" s="137"/>
      <c r="G233" s="66"/>
      <c r="H233" s="147"/>
      <c r="I233" s="137"/>
      <c r="J233" s="137"/>
      <c r="K233" s="137"/>
      <c r="L233" s="66"/>
      <c r="M233" s="107"/>
      <c r="N233" s="66"/>
      <c r="O233" s="66"/>
      <c r="P233" s="66"/>
      <c r="Q233" s="172"/>
      <c r="R233" s="104"/>
      <c r="S233" s="104"/>
      <c r="T233" s="104"/>
      <c r="U233" s="104"/>
      <c r="V233" s="106"/>
      <c r="W233" s="106"/>
      <c r="X233" s="66"/>
      <c r="Y233" s="106"/>
      <c r="Z233" s="66"/>
      <c r="AA233" s="66"/>
      <c r="AB233" s="106"/>
      <c r="AC233" s="66"/>
      <c r="AD233" s="66"/>
      <c r="AE233" s="81"/>
      <c r="AF233" s="81"/>
      <c r="AG233" s="81"/>
      <c r="AH233" s="81"/>
      <c r="AI233" s="81"/>
      <c r="AJ233" s="81"/>
      <c r="AK233" s="81"/>
    </row>
    <row r="234">
      <c r="A234" s="81"/>
      <c r="B234" s="66"/>
      <c r="C234" s="66"/>
      <c r="D234" s="66"/>
      <c r="E234" s="106"/>
      <c r="F234" s="137"/>
      <c r="G234" s="66"/>
      <c r="H234" s="147"/>
      <c r="I234" s="137"/>
      <c r="J234" s="137"/>
      <c r="K234" s="137"/>
      <c r="L234" s="66"/>
      <c r="M234" s="107"/>
      <c r="N234" s="66"/>
      <c r="O234" s="66"/>
      <c r="P234" s="66"/>
      <c r="Q234" s="172"/>
      <c r="R234" s="104"/>
      <c r="S234" s="104"/>
      <c r="T234" s="104"/>
      <c r="U234" s="104"/>
      <c r="V234" s="106"/>
      <c r="W234" s="106"/>
      <c r="X234" s="66"/>
      <c r="Y234" s="106"/>
      <c r="Z234" s="66"/>
      <c r="AA234" s="66"/>
      <c r="AB234" s="106"/>
      <c r="AC234" s="66"/>
      <c r="AD234" s="66"/>
      <c r="AE234" s="81"/>
      <c r="AF234" s="81"/>
      <c r="AG234" s="81"/>
      <c r="AH234" s="81"/>
      <c r="AI234" s="81"/>
      <c r="AJ234" s="81"/>
      <c r="AK234" s="81"/>
    </row>
    <row r="235">
      <c r="A235" s="81"/>
      <c r="B235" s="66"/>
      <c r="C235" s="66"/>
      <c r="D235" s="66"/>
      <c r="E235" s="106"/>
      <c r="F235" s="137"/>
      <c r="G235" s="66"/>
      <c r="H235" s="147"/>
      <c r="I235" s="137"/>
      <c r="J235" s="137"/>
      <c r="K235" s="137"/>
      <c r="L235" s="66"/>
      <c r="M235" s="107"/>
      <c r="N235" s="66"/>
      <c r="O235" s="66"/>
      <c r="P235" s="66"/>
      <c r="Q235" s="172"/>
      <c r="R235" s="104"/>
      <c r="S235" s="104"/>
      <c r="T235" s="104"/>
      <c r="U235" s="104"/>
      <c r="V235" s="106"/>
      <c r="W235" s="106"/>
      <c r="X235" s="66"/>
      <c r="Y235" s="106"/>
      <c r="Z235" s="66"/>
      <c r="AA235" s="66"/>
      <c r="AB235" s="106"/>
      <c r="AC235" s="66"/>
      <c r="AD235" s="66"/>
      <c r="AE235" s="81"/>
      <c r="AF235" s="81"/>
      <c r="AG235" s="81"/>
      <c r="AH235" s="81"/>
      <c r="AI235" s="81"/>
      <c r="AJ235" s="81"/>
      <c r="AK235" s="81"/>
    </row>
    <row r="236">
      <c r="A236" s="81"/>
      <c r="B236" s="66"/>
      <c r="C236" s="66"/>
      <c r="D236" s="66"/>
      <c r="E236" s="106"/>
      <c r="F236" s="137"/>
      <c r="G236" s="66"/>
      <c r="H236" s="147"/>
      <c r="I236" s="137"/>
      <c r="J236" s="137"/>
      <c r="K236" s="137"/>
      <c r="L236" s="66"/>
      <c r="M236" s="107"/>
      <c r="N236" s="66"/>
      <c r="O236" s="66"/>
      <c r="P236" s="66"/>
      <c r="Q236" s="172"/>
      <c r="R236" s="104"/>
      <c r="S236" s="104"/>
      <c r="T236" s="104"/>
      <c r="U236" s="104"/>
      <c r="V236" s="106"/>
      <c r="W236" s="106"/>
      <c r="X236" s="66"/>
      <c r="Y236" s="106"/>
      <c r="Z236" s="66"/>
      <c r="AA236" s="66"/>
      <c r="AB236" s="106"/>
      <c r="AC236" s="66"/>
      <c r="AD236" s="66"/>
      <c r="AE236" s="81"/>
      <c r="AF236" s="81"/>
      <c r="AG236" s="81"/>
      <c r="AH236" s="81"/>
      <c r="AI236" s="81"/>
      <c r="AJ236" s="81"/>
      <c r="AK236" s="81"/>
    </row>
    <row r="237">
      <c r="A237" s="81"/>
      <c r="B237" s="66"/>
      <c r="C237" s="66"/>
      <c r="D237" s="66"/>
      <c r="E237" s="106"/>
      <c r="F237" s="137"/>
      <c r="G237" s="66"/>
      <c r="H237" s="147"/>
      <c r="I237" s="137"/>
      <c r="J237" s="137"/>
      <c r="K237" s="137"/>
      <c r="L237" s="66"/>
      <c r="M237" s="107"/>
      <c r="N237" s="66"/>
      <c r="O237" s="66"/>
      <c r="P237" s="66"/>
      <c r="Q237" s="172"/>
      <c r="R237" s="104"/>
      <c r="S237" s="104"/>
      <c r="T237" s="104"/>
      <c r="U237" s="104"/>
      <c r="V237" s="106"/>
      <c r="W237" s="106"/>
      <c r="X237" s="66"/>
      <c r="Y237" s="106"/>
      <c r="Z237" s="66"/>
      <c r="AA237" s="66"/>
      <c r="AB237" s="106"/>
      <c r="AC237" s="66"/>
      <c r="AD237" s="66"/>
      <c r="AE237" s="81"/>
      <c r="AF237" s="81"/>
      <c r="AG237" s="81"/>
      <c r="AH237" s="81"/>
      <c r="AI237" s="81"/>
      <c r="AJ237" s="81"/>
      <c r="AK237" s="81"/>
    </row>
    <row r="238">
      <c r="A238" s="81"/>
      <c r="B238" s="66"/>
      <c r="C238" s="66"/>
      <c r="D238" s="66"/>
      <c r="E238" s="106"/>
      <c r="F238" s="137"/>
      <c r="G238" s="66"/>
      <c r="H238" s="147"/>
      <c r="I238" s="137"/>
      <c r="J238" s="137"/>
      <c r="K238" s="137"/>
      <c r="L238" s="66"/>
      <c r="M238" s="107"/>
      <c r="N238" s="66"/>
      <c r="O238" s="66"/>
      <c r="P238" s="66"/>
      <c r="Q238" s="172"/>
      <c r="R238" s="104"/>
      <c r="S238" s="104"/>
      <c r="T238" s="104"/>
      <c r="U238" s="104"/>
      <c r="V238" s="106"/>
      <c r="W238" s="106"/>
      <c r="X238" s="66"/>
      <c r="Y238" s="106"/>
      <c r="Z238" s="66"/>
      <c r="AA238" s="66"/>
      <c r="AB238" s="106"/>
      <c r="AC238" s="66"/>
      <c r="AD238" s="66"/>
      <c r="AE238" s="81"/>
      <c r="AF238" s="81"/>
      <c r="AG238" s="81"/>
      <c r="AH238" s="81"/>
      <c r="AI238" s="81"/>
      <c r="AJ238" s="81"/>
      <c r="AK238" s="81"/>
    </row>
    <row r="239">
      <c r="A239" s="81"/>
      <c r="B239" s="66"/>
      <c r="C239" s="66"/>
      <c r="D239" s="66"/>
      <c r="E239" s="106"/>
      <c r="F239" s="137"/>
      <c r="G239" s="66"/>
      <c r="H239" s="147"/>
      <c r="I239" s="137"/>
      <c r="J239" s="137"/>
      <c r="K239" s="137"/>
      <c r="L239" s="66"/>
      <c r="M239" s="107"/>
      <c r="N239" s="66"/>
      <c r="O239" s="66"/>
      <c r="P239" s="66"/>
      <c r="Q239" s="172"/>
      <c r="R239" s="104"/>
      <c r="S239" s="104"/>
      <c r="T239" s="104"/>
      <c r="U239" s="104"/>
      <c r="V239" s="106"/>
      <c r="W239" s="106"/>
      <c r="X239" s="66"/>
      <c r="Y239" s="106"/>
      <c r="Z239" s="66"/>
      <c r="AA239" s="66"/>
      <c r="AB239" s="106"/>
      <c r="AC239" s="66"/>
      <c r="AD239" s="66"/>
      <c r="AE239" s="81"/>
      <c r="AF239" s="81"/>
      <c r="AG239" s="81"/>
      <c r="AH239" s="81"/>
      <c r="AI239" s="81"/>
      <c r="AJ239" s="81"/>
      <c r="AK239" s="81"/>
    </row>
    <row r="240">
      <c r="A240" s="81"/>
      <c r="B240" s="66"/>
      <c r="C240" s="66"/>
      <c r="D240" s="66"/>
      <c r="E240" s="106"/>
      <c r="F240" s="137"/>
      <c r="G240" s="66"/>
      <c r="H240" s="147"/>
      <c r="I240" s="137"/>
      <c r="J240" s="137"/>
      <c r="K240" s="137"/>
      <c r="L240" s="66"/>
      <c r="M240" s="107"/>
      <c r="N240" s="66"/>
      <c r="O240" s="66"/>
      <c r="P240" s="66"/>
      <c r="Q240" s="172"/>
      <c r="R240" s="104"/>
      <c r="S240" s="104"/>
      <c r="T240" s="104"/>
      <c r="U240" s="104"/>
      <c r="V240" s="106"/>
      <c r="W240" s="106"/>
      <c r="X240" s="66"/>
      <c r="Y240" s="106"/>
      <c r="Z240" s="66"/>
      <c r="AA240" s="66"/>
      <c r="AB240" s="106"/>
      <c r="AC240" s="66"/>
      <c r="AD240" s="66"/>
      <c r="AE240" s="81"/>
      <c r="AF240" s="81"/>
      <c r="AG240" s="81"/>
      <c r="AH240" s="81"/>
      <c r="AI240" s="81"/>
      <c r="AJ240" s="81"/>
      <c r="AK240" s="81"/>
    </row>
    <row r="241">
      <c r="A241" s="81"/>
      <c r="B241" s="66"/>
      <c r="C241" s="66"/>
      <c r="D241" s="66"/>
      <c r="E241" s="106"/>
      <c r="F241" s="137"/>
      <c r="G241" s="66"/>
      <c r="H241" s="147"/>
      <c r="I241" s="137"/>
      <c r="J241" s="137"/>
      <c r="K241" s="137"/>
      <c r="L241" s="66"/>
      <c r="M241" s="107"/>
      <c r="N241" s="66"/>
      <c r="O241" s="66"/>
      <c r="P241" s="66"/>
      <c r="Q241" s="172"/>
      <c r="R241" s="104"/>
      <c r="S241" s="104"/>
      <c r="T241" s="104"/>
      <c r="U241" s="104"/>
      <c r="V241" s="106"/>
      <c r="W241" s="106"/>
      <c r="X241" s="66"/>
      <c r="Y241" s="106"/>
      <c r="Z241" s="66"/>
      <c r="AA241" s="66"/>
      <c r="AB241" s="106"/>
      <c r="AC241" s="66"/>
      <c r="AD241" s="66"/>
      <c r="AE241" s="81"/>
      <c r="AF241" s="81"/>
      <c r="AG241" s="81"/>
      <c r="AH241" s="81"/>
      <c r="AI241" s="81"/>
      <c r="AJ241" s="81"/>
      <c r="AK241" s="81"/>
    </row>
    <row r="242">
      <c r="A242" s="81"/>
      <c r="B242" s="66"/>
      <c r="C242" s="66"/>
      <c r="D242" s="66"/>
      <c r="E242" s="106"/>
      <c r="F242" s="137"/>
      <c r="G242" s="66"/>
      <c r="H242" s="147"/>
      <c r="I242" s="137"/>
      <c r="J242" s="137"/>
      <c r="K242" s="137"/>
      <c r="L242" s="66"/>
      <c r="M242" s="107"/>
      <c r="N242" s="66"/>
      <c r="O242" s="66"/>
      <c r="P242" s="66"/>
      <c r="Q242" s="172"/>
      <c r="R242" s="104"/>
      <c r="S242" s="104"/>
      <c r="T242" s="104"/>
      <c r="U242" s="104"/>
      <c r="V242" s="106"/>
      <c r="W242" s="106"/>
      <c r="X242" s="66"/>
      <c r="Y242" s="106"/>
      <c r="Z242" s="66"/>
      <c r="AA242" s="66"/>
      <c r="AB242" s="106"/>
      <c r="AC242" s="66"/>
      <c r="AD242" s="66"/>
      <c r="AE242" s="81"/>
      <c r="AF242" s="81"/>
      <c r="AG242" s="81"/>
      <c r="AH242" s="81"/>
      <c r="AI242" s="81"/>
      <c r="AJ242" s="81"/>
      <c r="AK242" s="81"/>
    </row>
    <row r="243">
      <c r="A243" s="81"/>
      <c r="B243" s="66"/>
      <c r="C243" s="66"/>
      <c r="D243" s="66"/>
      <c r="E243" s="106"/>
      <c r="F243" s="137"/>
      <c r="G243" s="66"/>
      <c r="H243" s="147"/>
      <c r="I243" s="137"/>
      <c r="J243" s="137"/>
      <c r="K243" s="137"/>
      <c r="L243" s="66"/>
      <c r="M243" s="107"/>
      <c r="N243" s="66"/>
      <c r="O243" s="66"/>
      <c r="P243" s="66"/>
      <c r="Q243" s="172"/>
      <c r="R243" s="104"/>
      <c r="S243" s="104"/>
      <c r="T243" s="104"/>
      <c r="U243" s="104"/>
      <c r="V243" s="106"/>
      <c r="W243" s="106"/>
      <c r="X243" s="66"/>
      <c r="Y243" s="106"/>
      <c r="Z243" s="66"/>
      <c r="AA243" s="66"/>
      <c r="AB243" s="106"/>
      <c r="AC243" s="66"/>
      <c r="AD243" s="66"/>
      <c r="AE243" s="81"/>
      <c r="AF243" s="81"/>
      <c r="AG243" s="81"/>
      <c r="AH243" s="81"/>
      <c r="AI243" s="81"/>
      <c r="AJ243" s="81"/>
      <c r="AK243" s="81"/>
    </row>
    <row r="244">
      <c r="A244" s="81"/>
      <c r="B244" s="66"/>
      <c r="C244" s="66"/>
      <c r="D244" s="66"/>
      <c r="E244" s="106"/>
      <c r="F244" s="137"/>
      <c r="G244" s="66"/>
      <c r="H244" s="147"/>
      <c r="I244" s="137"/>
      <c r="J244" s="137"/>
      <c r="K244" s="137"/>
      <c r="L244" s="66"/>
      <c r="M244" s="107"/>
      <c r="N244" s="66"/>
      <c r="O244" s="66"/>
      <c r="P244" s="66"/>
      <c r="Q244" s="172"/>
      <c r="R244" s="104"/>
      <c r="S244" s="104"/>
      <c r="T244" s="104"/>
      <c r="U244" s="104"/>
      <c r="V244" s="106"/>
      <c r="W244" s="106"/>
      <c r="X244" s="66"/>
      <c r="Y244" s="106"/>
      <c r="Z244" s="66"/>
      <c r="AA244" s="66"/>
      <c r="AB244" s="106"/>
      <c r="AC244" s="66"/>
      <c r="AD244" s="66"/>
      <c r="AE244" s="81"/>
      <c r="AF244" s="81"/>
      <c r="AG244" s="81"/>
      <c r="AH244" s="81"/>
      <c r="AI244" s="81"/>
      <c r="AJ244" s="81"/>
      <c r="AK244" s="81"/>
    </row>
    <row r="245">
      <c r="A245" s="81"/>
      <c r="B245" s="66"/>
      <c r="C245" s="66"/>
      <c r="D245" s="66"/>
      <c r="E245" s="106"/>
      <c r="F245" s="137"/>
      <c r="G245" s="66"/>
      <c r="H245" s="147"/>
      <c r="I245" s="137"/>
      <c r="J245" s="137"/>
      <c r="K245" s="137"/>
      <c r="L245" s="66"/>
      <c r="M245" s="107"/>
      <c r="N245" s="66"/>
      <c r="O245" s="66"/>
      <c r="P245" s="66"/>
      <c r="Q245" s="172"/>
      <c r="R245" s="104"/>
      <c r="S245" s="104"/>
      <c r="T245" s="104"/>
      <c r="U245" s="104"/>
      <c r="V245" s="106"/>
      <c r="W245" s="106"/>
      <c r="X245" s="66"/>
      <c r="Y245" s="106"/>
      <c r="Z245" s="66"/>
      <c r="AA245" s="66"/>
      <c r="AB245" s="106"/>
      <c r="AC245" s="66"/>
      <c r="AD245" s="66"/>
      <c r="AE245" s="81"/>
      <c r="AF245" s="81"/>
      <c r="AG245" s="81"/>
      <c r="AH245" s="81"/>
      <c r="AI245" s="81"/>
      <c r="AJ245" s="81"/>
      <c r="AK245" s="81"/>
    </row>
    <row r="246">
      <c r="A246" s="81"/>
      <c r="B246" s="66"/>
      <c r="C246" s="66"/>
      <c r="D246" s="66"/>
      <c r="E246" s="106"/>
      <c r="F246" s="137"/>
      <c r="G246" s="66"/>
      <c r="H246" s="147"/>
      <c r="I246" s="137"/>
      <c r="J246" s="137"/>
      <c r="K246" s="137"/>
      <c r="L246" s="66"/>
      <c r="M246" s="107"/>
      <c r="N246" s="66"/>
      <c r="O246" s="66"/>
      <c r="P246" s="66"/>
      <c r="Q246" s="172"/>
      <c r="R246" s="104"/>
      <c r="S246" s="104"/>
      <c r="T246" s="104"/>
      <c r="U246" s="104"/>
      <c r="V246" s="106"/>
      <c r="W246" s="106"/>
      <c r="X246" s="66"/>
      <c r="Y246" s="106"/>
      <c r="Z246" s="66"/>
      <c r="AA246" s="66"/>
      <c r="AB246" s="106"/>
      <c r="AC246" s="66"/>
      <c r="AD246" s="66"/>
      <c r="AE246" s="81"/>
      <c r="AF246" s="81"/>
      <c r="AG246" s="81"/>
      <c r="AH246" s="81"/>
      <c r="AI246" s="81"/>
      <c r="AJ246" s="81"/>
      <c r="AK246" s="81"/>
    </row>
    <row r="247">
      <c r="A247" s="81"/>
      <c r="B247" s="66"/>
      <c r="C247" s="66"/>
      <c r="D247" s="66"/>
      <c r="E247" s="106"/>
      <c r="F247" s="137"/>
      <c r="G247" s="66"/>
      <c r="H247" s="147"/>
      <c r="I247" s="137"/>
      <c r="J247" s="137"/>
      <c r="K247" s="137"/>
      <c r="L247" s="66"/>
      <c r="M247" s="107"/>
      <c r="N247" s="66"/>
      <c r="O247" s="66"/>
      <c r="P247" s="66"/>
      <c r="Q247" s="172"/>
      <c r="R247" s="104"/>
      <c r="S247" s="104"/>
      <c r="T247" s="104"/>
      <c r="U247" s="104"/>
      <c r="V247" s="106"/>
      <c r="W247" s="106"/>
      <c r="X247" s="66"/>
      <c r="Y247" s="106"/>
      <c r="Z247" s="66"/>
      <c r="AA247" s="66"/>
      <c r="AB247" s="106"/>
      <c r="AC247" s="66"/>
      <c r="AD247" s="66"/>
      <c r="AE247" s="81"/>
      <c r="AF247" s="81"/>
      <c r="AG247" s="81"/>
      <c r="AH247" s="81"/>
      <c r="AI247" s="81"/>
      <c r="AJ247" s="81"/>
      <c r="AK247" s="81"/>
    </row>
    <row r="248">
      <c r="A248" s="81"/>
      <c r="B248" s="66"/>
      <c r="C248" s="66"/>
      <c r="D248" s="66"/>
      <c r="E248" s="106"/>
      <c r="F248" s="137"/>
      <c r="G248" s="66"/>
      <c r="H248" s="147"/>
      <c r="I248" s="137"/>
      <c r="J248" s="137"/>
      <c r="K248" s="137"/>
      <c r="L248" s="66"/>
      <c r="M248" s="107"/>
      <c r="N248" s="66"/>
      <c r="O248" s="66"/>
      <c r="P248" s="66"/>
      <c r="Q248" s="172"/>
      <c r="R248" s="104"/>
      <c r="S248" s="104"/>
      <c r="T248" s="104"/>
      <c r="U248" s="104"/>
      <c r="V248" s="106"/>
      <c r="W248" s="106"/>
      <c r="X248" s="66"/>
      <c r="Y248" s="106"/>
      <c r="Z248" s="66"/>
      <c r="AA248" s="66"/>
      <c r="AB248" s="106"/>
      <c r="AC248" s="66"/>
      <c r="AD248" s="66"/>
      <c r="AE248" s="81"/>
      <c r="AF248" s="81"/>
      <c r="AG248" s="81"/>
      <c r="AH248" s="81"/>
      <c r="AI248" s="81"/>
      <c r="AJ248" s="81"/>
      <c r="AK248" s="81"/>
    </row>
    <row r="249">
      <c r="A249" s="81"/>
      <c r="B249" s="66"/>
      <c r="C249" s="66"/>
      <c r="D249" s="66"/>
      <c r="E249" s="106"/>
      <c r="F249" s="137"/>
      <c r="G249" s="66"/>
      <c r="H249" s="147"/>
      <c r="I249" s="137"/>
      <c r="J249" s="137"/>
      <c r="K249" s="137"/>
      <c r="L249" s="66"/>
      <c r="M249" s="107"/>
      <c r="N249" s="66"/>
      <c r="O249" s="66"/>
      <c r="P249" s="66"/>
      <c r="Q249" s="172"/>
      <c r="R249" s="104"/>
      <c r="S249" s="104"/>
      <c r="T249" s="104"/>
      <c r="U249" s="104"/>
      <c r="V249" s="106"/>
      <c r="W249" s="106"/>
      <c r="X249" s="66"/>
      <c r="Y249" s="106"/>
      <c r="Z249" s="66"/>
      <c r="AA249" s="66"/>
      <c r="AB249" s="106"/>
      <c r="AC249" s="66"/>
      <c r="AD249" s="66"/>
      <c r="AE249" s="81"/>
      <c r="AF249" s="81"/>
      <c r="AG249" s="81"/>
      <c r="AH249" s="81"/>
      <c r="AI249" s="81"/>
      <c r="AJ249" s="81"/>
      <c r="AK249" s="81"/>
    </row>
    <row r="250">
      <c r="A250" s="81"/>
      <c r="B250" s="66"/>
      <c r="C250" s="66"/>
      <c r="D250" s="66"/>
      <c r="E250" s="106"/>
      <c r="F250" s="137"/>
      <c r="G250" s="66"/>
      <c r="H250" s="147"/>
      <c r="I250" s="137"/>
      <c r="J250" s="137"/>
      <c r="K250" s="137"/>
      <c r="L250" s="66"/>
      <c r="M250" s="107"/>
      <c r="N250" s="66"/>
      <c r="O250" s="66"/>
      <c r="P250" s="66"/>
      <c r="Q250" s="172"/>
      <c r="R250" s="104"/>
      <c r="S250" s="104"/>
      <c r="T250" s="104"/>
      <c r="U250" s="104"/>
      <c r="V250" s="106"/>
      <c r="W250" s="106"/>
      <c r="X250" s="66"/>
      <c r="Y250" s="106"/>
      <c r="Z250" s="66"/>
      <c r="AA250" s="66"/>
      <c r="AB250" s="106"/>
      <c r="AC250" s="66"/>
      <c r="AD250" s="66"/>
      <c r="AE250" s="81"/>
      <c r="AF250" s="81"/>
      <c r="AG250" s="81"/>
      <c r="AH250" s="81"/>
      <c r="AI250" s="81"/>
      <c r="AJ250" s="81"/>
      <c r="AK250" s="81"/>
    </row>
    <row r="251">
      <c r="A251" s="81"/>
      <c r="B251" s="66"/>
      <c r="C251" s="66"/>
      <c r="D251" s="66"/>
      <c r="E251" s="106"/>
      <c r="F251" s="137"/>
      <c r="G251" s="66"/>
      <c r="H251" s="147"/>
      <c r="I251" s="137"/>
      <c r="J251" s="137"/>
      <c r="K251" s="137"/>
      <c r="L251" s="66"/>
      <c r="M251" s="107"/>
      <c r="N251" s="66"/>
      <c r="O251" s="66"/>
      <c r="P251" s="66"/>
      <c r="Q251" s="172"/>
      <c r="R251" s="104"/>
      <c r="S251" s="104"/>
      <c r="T251" s="104"/>
      <c r="U251" s="104"/>
      <c r="V251" s="106"/>
      <c r="W251" s="106"/>
      <c r="X251" s="66"/>
      <c r="Y251" s="106"/>
      <c r="Z251" s="66"/>
      <c r="AA251" s="66"/>
      <c r="AB251" s="106"/>
      <c r="AC251" s="66"/>
      <c r="AD251" s="66"/>
      <c r="AE251" s="81"/>
      <c r="AF251" s="81"/>
      <c r="AG251" s="81"/>
      <c r="AH251" s="81"/>
      <c r="AI251" s="81"/>
      <c r="AJ251" s="81"/>
      <c r="AK251" s="81"/>
    </row>
    <row r="252">
      <c r="A252" s="81"/>
      <c r="B252" s="66"/>
      <c r="C252" s="66"/>
      <c r="D252" s="66"/>
      <c r="E252" s="106"/>
      <c r="F252" s="137"/>
      <c r="G252" s="66"/>
      <c r="H252" s="147"/>
      <c r="I252" s="137"/>
      <c r="J252" s="137"/>
      <c r="K252" s="137"/>
      <c r="L252" s="66"/>
      <c r="M252" s="107"/>
      <c r="N252" s="66"/>
      <c r="O252" s="66"/>
      <c r="P252" s="66"/>
      <c r="Q252" s="172"/>
      <c r="R252" s="104"/>
      <c r="S252" s="104"/>
      <c r="T252" s="104"/>
      <c r="U252" s="104"/>
      <c r="V252" s="106"/>
      <c r="W252" s="106"/>
      <c r="X252" s="66"/>
      <c r="Y252" s="106"/>
      <c r="Z252" s="66"/>
      <c r="AA252" s="66"/>
      <c r="AB252" s="106"/>
      <c r="AC252" s="66"/>
      <c r="AD252" s="66"/>
      <c r="AE252" s="81"/>
      <c r="AF252" s="81"/>
      <c r="AG252" s="81"/>
      <c r="AH252" s="81"/>
      <c r="AI252" s="81"/>
      <c r="AJ252" s="81"/>
      <c r="AK252" s="81"/>
    </row>
    <row r="253">
      <c r="A253" s="81"/>
      <c r="B253" s="66"/>
      <c r="C253" s="66"/>
      <c r="D253" s="66"/>
      <c r="E253" s="106"/>
      <c r="F253" s="137"/>
      <c r="G253" s="66"/>
      <c r="H253" s="147"/>
      <c r="I253" s="137"/>
      <c r="J253" s="137"/>
      <c r="K253" s="137"/>
      <c r="L253" s="66"/>
      <c r="M253" s="107"/>
      <c r="N253" s="66"/>
      <c r="O253" s="66"/>
      <c r="P253" s="66"/>
      <c r="Q253" s="172"/>
      <c r="R253" s="104"/>
      <c r="S253" s="104"/>
      <c r="T253" s="104"/>
      <c r="U253" s="104"/>
      <c r="V253" s="106"/>
      <c r="W253" s="106"/>
      <c r="X253" s="66"/>
      <c r="Y253" s="106"/>
      <c r="Z253" s="66"/>
      <c r="AA253" s="66"/>
      <c r="AB253" s="106"/>
      <c r="AC253" s="66"/>
      <c r="AD253" s="66"/>
      <c r="AE253" s="81"/>
      <c r="AF253" s="81"/>
      <c r="AG253" s="81"/>
      <c r="AH253" s="81"/>
      <c r="AI253" s="81"/>
      <c r="AJ253" s="81"/>
      <c r="AK253" s="81"/>
    </row>
    <row r="254">
      <c r="A254" s="81"/>
      <c r="B254" s="66"/>
      <c r="C254" s="66"/>
      <c r="D254" s="66"/>
      <c r="E254" s="106"/>
      <c r="F254" s="137"/>
      <c r="G254" s="66"/>
      <c r="H254" s="147"/>
      <c r="I254" s="137"/>
      <c r="J254" s="137"/>
      <c r="K254" s="137"/>
      <c r="L254" s="66"/>
      <c r="M254" s="107"/>
      <c r="N254" s="66"/>
      <c r="O254" s="66"/>
      <c r="P254" s="66"/>
      <c r="Q254" s="172"/>
      <c r="R254" s="104"/>
      <c r="S254" s="104"/>
      <c r="T254" s="104"/>
      <c r="U254" s="104"/>
      <c r="V254" s="106"/>
      <c r="W254" s="106"/>
      <c r="X254" s="66"/>
      <c r="Y254" s="106"/>
      <c r="Z254" s="66"/>
      <c r="AA254" s="66"/>
      <c r="AB254" s="106"/>
      <c r="AC254" s="66"/>
      <c r="AD254" s="66"/>
      <c r="AE254" s="81"/>
      <c r="AF254" s="81"/>
      <c r="AG254" s="81"/>
      <c r="AH254" s="81"/>
      <c r="AI254" s="81"/>
      <c r="AJ254" s="81"/>
      <c r="AK254" s="81"/>
    </row>
    <row r="255">
      <c r="A255" s="81"/>
      <c r="B255" s="66"/>
      <c r="C255" s="66"/>
      <c r="D255" s="66"/>
      <c r="E255" s="106"/>
      <c r="F255" s="137"/>
      <c r="G255" s="66"/>
      <c r="H255" s="147"/>
      <c r="I255" s="137"/>
      <c r="J255" s="137"/>
      <c r="K255" s="137"/>
      <c r="L255" s="66"/>
      <c r="M255" s="107"/>
      <c r="N255" s="66"/>
      <c r="O255" s="66"/>
      <c r="P255" s="66"/>
      <c r="Q255" s="172"/>
      <c r="R255" s="104"/>
      <c r="S255" s="104"/>
      <c r="T255" s="104"/>
      <c r="U255" s="104"/>
      <c r="V255" s="106"/>
      <c r="W255" s="106"/>
      <c r="X255" s="66"/>
      <c r="Y255" s="106"/>
      <c r="Z255" s="66"/>
      <c r="AA255" s="66"/>
      <c r="AB255" s="106"/>
      <c r="AC255" s="66"/>
      <c r="AD255" s="66"/>
      <c r="AE255" s="81"/>
      <c r="AF255" s="81"/>
      <c r="AG255" s="81"/>
      <c r="AH255" s="81"/>
      <c r="AI255" s="81"/>
      <c r="AJ255" s="81"/>
      <c r="AK255" s="81"/>
    </row>
    <row r="256">
      <c r="A256" s="81"/>
      <c r="B256" s="66"/>
      <c r="C256" s="66"/>
      <c r="D256" s="66"/>
      <c r="E256" s="106"/>
      <c r="F256" s="137"/>
      <c r="G256" s="66"/>
      <c r="H256" s="147"/>
      <c r="I256" s="137"/>
      <c r="J256" s="137"/>
      <c r="K256" s="137"/>
      <c r="L256" s="66"/>
      <c r="M256" s="107"/>
      <c r="N256" s="66"/>
      <c r="O256" s="66"/>
      <c r="P256" s="66"/>
      <c r="Q256" s="172"/>
      <c r="R256" s="104"/>
      <c r="S256" s="104"/>
      <c r="T256" s="104"/>
      <c r="U256" s="104"/>
      <c r="V256" s="106"/>
      <c r="W256" s="106"/>
      <c r="X256" s="66"/>
      <c r="Y256" s="106"/>
      <c r="Z256" s="66"/>
      <c r="AA256" s="66"/>
      <c r="AB256" s="106"/>
      <c r="AC256" s="66"/>
      <c r="AD256" s="66"/>
      <c r="AE256" s="81"/>
      <c r="AF256" s="81"/>
      <c r="AG256" s="81"/>
      <c r="AH256" s="81"/>
      <c r="AI256" s="81"/>
      <c r="AJ256" s="81"/>
      <c r="AK256" s="81"/>
    </row>
    <row r="257">
      <c r="A257" s="81"/>
      <c r="B257" s="66"/>
      <c r="C257" s="66"/>
      <c r="D257" s="66"/>
      <c r="E257" s="106"/>
      <c r="F257" s="137"/>
      <c r="G257" s="66"/>
      <c r="H257" s="147"/>
      <c r="I257" s="137"/>
      <c r="J257" s="137"/>
      <c r="K257" s="137"/>
      <c r="L257" s="66"/>
      <c r="M257" s="107"/>
      <c r="N257" s="66"/>
      <c r="O257" s="66"/>
      <c r="P257" s="66"/>
      <c r="Q257" s="172"/>
      <c r="R257" s="104"/>
      <c r="S257" s="104"/>
      <c r="T257" s="104"/>
      <c r="U257" s="104"/>
      <c r="V257" s="106"/>
      <c r="W257" s="106"/>
      <c r="X257" s="66"/>
      <c r="Y257" s="106"/>
      <c r="Z257" s="66"/>
      <c r="AA257" s="66"/>
      <c r="AB257" s="106"/>
      <c r="AC257" s="66"/>
      <c r="AD257" s="66"/>
      <c r="AE257" s="81"/>
      <c r="AF257" s="81"/>
      <c r="AG257" s="81"/>
      <c r="AH257" s="81"/>
      <c r="AI257" s="81"/>
      <c r="AJ257" s="81"/>
      <c r="AK257" s="81"/>
    </row>
    <row r="258">
      <c r="A258" s="81"/>
      <c r="B258" s="66"/>
      <c r="C258" s="66"/>
      <c r="D258" s="66"/>
      <c r="E258" s="106"/>
      <c r="F258" s="137"/>
      <c r="G258" s="66"/>
      <c r="H258" s="147"/>
      <c r="I258" s="137"/>
      <c r="J258" s="137"/>
      <c r="K258" s="137"/>
      <c r="L258" s="66"/>
      <c r="M258" s="107"/>
      <c r="N258" s="66"/>
      <c r="O258" s="66"/>
      <c r="P258" s="66"/>
      <c r="Q258" s="172"/>
      <c r="R258" s="104"/>
      <c r="S258" s="104"/>
      <c r="T258" s="104"/>
      <c r="U258" s="104"/>
      <c r="V258" s="106"/>
      <c r="W258" s="106"/>
      <c r="X258" s="66"/>
      <c r="Y258" s="106"/>
      <c r="Z258" s="66"/>
      <c r="AA258" s="66"/>
      <c r="AB258" s="106"/>
      <c r="AC258" s="66"/>
      <c r="AD258" s="66"/>
      <c r="AE258" s="81"/>
      <c r="AF258" s="81"/>
      <c r="AG258" s="81"/>
      <c r="AH258" s="81"/>
      <c r="AI258" s="81"/>
      <c r="AJ258" s="81"/>
      <c r="AK258" s="81"/>
    </row>
    <row r="259">
      <c r="A259" s="81"/>
      <c r="B259" s="66"/>
      <c r="C259" s="66"/>
      <c r="D259" s="66"/>
      <c r="E259" s="106"/>
      <c r="F259" s="137"/>
      <c r="G259" s="66"/>
      <c r="H259" s="147"/>
      <c r="I259" s="137"/>
      <c r="J259" s="137"/>
      <c r="K259" s="137"/>
      <c r="L259" s="66"/>
      <c r="M259" s="107"/>
      <c r="N259" s="66"/>
      <c r="O259" s="66"/>
      <c r="P259" s="66"/>
      <c r="Q259" s="172"/>
      <c r="R259" s="104"/>
      <c r="S259" s="104"/>
      <c r="T259" s="104"/>
      <c r="U259" s="104"/>
      <c r="V259" s="106"/>
      <c r="W259" s="106"/>
      <c r="X259" s="66"/>
      <c r="Y259" s="106"/>
      <c r="Z259" s="66"/>
      <c r="AA259" s="66"/>
      <c r="AB259" s="106"/>
      <c r="AC259" s="66"/>
      <c r="AD259" s="66"/>
      <c r="AE259" s="81"/>
      <c r="AF259" s="81"/>
      <c r="AG259" s="81"/>
      <c r="AH259" s="81"/>
      <c r="AI259" s="81"/>
      <c r="AJ259" s="81"/>
      <c r="AK259" s="81"/>
    </row>
    <row r="260">
      <c r="A260" s="81"/>
      <c r="B260" s="66"/>
      <c r="C260" s="66"/>
      <c r="D260" s="66"/>
      <c r="E260" s="106"/>
      <c r="F260" s="137"/>
      <c r="G260" s="66"/>
      <c r="H260" s="147"/>
      <c r="I260" s="137"/>
      <c r="J260" s="137"/>
      <c r="K260" s="137"/>
      <c r="L260" s="66"/>
      <c r="M260" s="107"/>
      <c r="N260" s="66"/>
      <c r="O260" s="66"/>
      <c r="P260" s="66"/>
      <c r="Q260" s="172"/>
      <c r="R260" s="104"/>
      <c r="S260" s="104"/>
      <c r="T260" s="104"/>
      <c r="U260" s="104"/>
      <c r="V260" s="106"/>
      <c r="W260" s="106"/>
      <c r="X260" s="66"/>
      <c r="Y260" s="106"/>
      <c r="Z260" s="66"/>
      <c r="AA260" s="66"/>
      <c r="AB260" s="106"/>
      <c r="AC260" s="66"/>
      <c r="AD260" s="66"/>
      <c r="AE260" s="81"/>
      <c r="AF260" s="81"/>
      <c r="AG260" s="81"/>
      <c r="AH260" s="81"/>
      <c r="AI260" s="81"/>
      <c r="AJ260" s="81"/>
      <c r="AK260" s="81"/>
    </row>
    <row r="261">
      <c r="A261" s="81"/>
      <c r="B261" s="66"/>
      <c r="C261" s="66"/>
      <c r="D261" s="66"/>
      <c r="E261" s="106"/>
      <c r="F261" s="137"/>
      <c r="G261" s="66"/>
      <c r="H261" s="147"/>
      <c r="I261" s="137"/>
      <c r="J261" s="137"/>
      <c r="K261" s="137"/>
      <c r="L261" s="66"/>
      <c r="M261" s="107"/>
      <c r="N261" s="66"/>
      <c r="O261" s="66"/>
      <c r="P261" s="66"/>
      <c r="Q261" s="172"/>
      <c r="R261" s="104"/>
      <c r="S261" s="104"/>
      <c r="T261" s="104"/>
      <c r="U261" s="104"/>
      <c r="V261" s="106"/>
      <c r="W261" s="106"/>
      <c r="X261" s="66"/>
      <c r="Y261" s="106"/>
      <c r="Z261" s="66"/>
      <c r="AA261" s="66"/>
      <c r="AB261" s="106"/>
      <c r="AC261" s="66"/>
      <c r="AD261" s="66"/>
      <c r="AE261" s="81"/>
      <c r="AF261" s="81"/>
      <c r="AG261" s="81"/>
      <c r="AH261" s="81"/>
      <c r="AI261" s="81"/>
      <c r="AJ261" s="81"/>
      <c r="AK261" s="81"/>
    </row>
    <row r="262">
      <c r="A262" s="81"/>
      <c r="B262" s="66"/>
      <c r="C262" s="66"/>
      <c r="D262" s="66"/>
      <c r="E262" s="106"/>
      <c r="F262" s="137"/>
      <c r="G262" s="66"/>
      <c r="H262" s="147"/>
      <c r="I262" s="137"/>
      <c r="J262" s="137"/>
      <c r="K262" s="137"/>
      <c r="L262" s="66"/>
      <c r="M262" s="107"/>
      <c r="N262" s="66"/>
      <c r="O262" s="66"/>
      <c r="P262" s="66"/>
      <c r="Q262" s="172"/>
      <c r="R262" s="104"/>
      <c r="S262" s="104"/>
      <c r="T262" s="104"/>
      <c r="U262" s="104"/>
      <c r="V262" s="106"/>
      <c r="W262" s="106"/>
      <c r="X262" s="66"/>
      <c r="Y262" s="106"/>
      <c r="Z262" s="66"/>
      <c r="AA262" s="66"/>
      <c r="AB262" s="106"/>
      <c r="AC262" s="66"/>
      <c r="AD262" s="66"/>
      <c r="AE262" s="81"/>
      <c r="AF262" s="81"/>
      <c r="AG262" s="81"/>
      <c r="AH262" s="81"/>
      <c r="AI262" s="81"/>
      <c r="AJ262" s="81"/>
      <c r="AK262" s="81"/>
    </row>
    <row r="263">
      <c r="A263" s="81"/>
      <c r="B263" s="66"/>
      <c r="C263" s="66"/>
      <c r="D263" s="66"/>
      <c r="E263" s="106"/>
      <c r="F263" s="137"/>
      <c r="G263" s="66"/>
      <c r="H263" s="147"/>
      <c r="I263" s="137"/>
      <c r="J263" s="137"/>
      <c r="K263" s="137"/>
      <c r="L263" s="66"/>
      <c r="M263" s="107"/>
      <c r="N263" s="66"/>
      <c r="O263" s="66"/>
      <c r="P263" s="66"/>
      <c r="Q263" s="172"/>
      <c r="R263" s="104"/>
      <c r="S263" s="104"/>
      <c r="T263" s="104"/>
      <c r="U263" s="104"/>
      <c r="V263" s="106"/>
      <c r="W263" s="106"/>
      <c r="X263" s="66"/>
      <c r="Y263" s="106"/>
      <c r="Z263" s="66"/>
      <c r="AA263" s="66"/>
      <c r="AB263" s="106"/>
      <c r="AC263" s="66"/>
      <c r="AD263" s="66"/>
      <c r="AE263" s="81"/>
      <c r="AF263" s="81"/>
      <c r="AG263" s="81"/>
      <c r="AH263" s="81"/>
      <c r="AI263" s="81"/>
      <c r="AJ263" s="81"/>
      <c r="AK263" s="81"/>
    </row>
    <row r="264">
      <c r="A264" s="81"/>
      <c r="B264" s="66"/>
      <c r="C264" s="66"/>
      <c r="D264" s="66"/>
      <c r="E264" s="106"/>
      <c r="F264" s="137"/>
      <c r="G264" s="66"/>
      <c r="H264" s="147"/>
      <c r="I264" s="137"/>
      <c r="J264" s="137"/>
      <c r="K264" s="137"/>
      <c r="L264" s="66"/>
      <c r="M264" s="107"/>
      <c r="N264" s="66"/>
      <c r="O264" s="66"/>
      <c r="P264" s="66"/>
      <c r="Q264" s="172"/>
      <c r="R264" s="104"/>
      <c r="S264" s="104"/>
      <c r="T264" s="104"/>
      <c r="U264" s="104"/>
      <c r="V264" s="106"/>
      <c r="W264" s="106"/>
      <c r="X264" s="66"/>
      <c r="Y264" s="106"/>
      <c r="Z264" s="66"/>
      <c r="AA264" s="66"/>
      <c r="AB264" s="106"/>
      <c r="AC264" s="66"/>
      <c r="AD264" s="66"/>
      <c r="AE264" s="81"/>
      <c r="AF264" s="81"/>
      <c r="AG264" s="81"/>
      <c r="AH264" s="81"/>
      <c r="AI264" s="81"/>
      <c r="AJ264" s="81"/>
      <c r="AK264" s="81"/>
    </row>
    <row r="265">
      <c r="A265" s="81"/>
      <c r="B265" s="66"/>
      <c r="C265" s="66"/>
      <c r="D265" s="66"/>
      <c r="E265" s="106"/>
      <c r="F265" s="137"/>
      <c r="G265" s="66"/>
      <c r="H265" s="147"/>
      <c r="I265" s="137"/>
      <c r="J265" s="137"/>
      <c r="K265" s="137"/>
      <c r="L265" s="66"/>
      <c r="M265" s="107"/>
      <c r="N265" s="66"/>
      <c r="O265" s="66"/>
      <c r="P265" s="66"/>
      <c r="Q265" s="172"/>
      <c r="R265" s="104"/>
      <c r="S265" s="104"/>
      <c r="T265" s="104"/>
      <c r="U265" s="104"/>
      <c r="V265" s="106"/>
      <c r="W265" s="106"/>
      <c r="X265" s="66"/>
      <c r="Y265" s="106"/>
      <c r="Z265" s="66"/>
      <c r="AA265" s="66"/>
      <c r="AB265" s="106"/>
      <c r="AC265" s="66"/>
      <c r="AD265" s="66"/>
      <c r="AE265" s="81"/>
      <c r="AF265" s="81"/>
      <c r="AG265" s="81"/>
      <c r="AH265" s="81"/>
      <c r="AI265" s="81"/>
      <c r="AJ265" s="81"/>
      <c r="AK265" s="81"/>
    </row>
    <row r="266">
      <c r="A266" s="81"/>
      <c r="B266" s="66"/>
      <c r="C266" s="66"/>
      <c r="D266" s="66"/>
      <c r="E266" s="106"/>
      <c r="F266" s="137"/>
      <c r="G266" s="66"/>
      <c r="H266" s="147"/>
      <c r="I266" s="137"/>
      <c r="J266" s="137"/>
      <c r="K266" s="137"/>
      <c r="L266" s="66"/>
      <c r="M266" s="107"/>
      <c r="N266" s="66"/>
      <c r="O266" s="66"/>
      <c r="P266" s="66"/>
      <c r="Q266" s="172"/>
      <c r="R266" s="104"/>
      <c r="S266" s="104"/>
      <c r="T266" s="104"/>
      <c r="U266" s="104"/>
      <c r="V266" s="106"/>
      <c r="W266" s="106"/>
      <c r="X266" s="66"/>
      <c r="Y266" s="106"/>
      <c r="Z266" s="66"/>
      <c r="AA266" s="66"/>
      <c r="AB266" s="106"/>
      <c r="AC266" s="66"/>
      <c r="AD266" s="66"/>
      <c r="AE266" s="81"/>
      <c r="AF266" s="81"/>
      <c r="AG266" s="81"/>
      <c r="AH266" s="81"/>
      <c r="AI266" s="81"/>
      <c r="AJ266" s="81"/>
      <c r="AK266" s="81"/>
    </row>
    <row r="267">
      <c r="A267" s="81"/>
      <c r="B267" s="66"/>
      <c r="C267" s="66"/>
      <c r="D267" s="66"/>
      <c r="E267" s="106"/>
      <c r="F267" s="137"/>
      <c r="G267" s="66"/>
      <c r="H267" s="147"/>
      <c r="I267" s="137"/>
      <c r="J267" s="137"/>
      <c r="K267" s="137"/>
      <c r="L267" s="66"/>
      <c r="M267" s="107"/>
      <c r="N267" s="66"/>
      <c r="O267" s="66"/>
      <c r="P267" s="66"/>
      <c r="Q267" s="172"/>
      <c r="R267" s="104"/>
      <c r="S267" s="104"/>
      <c r="T267" s="104"/>
      <c r="U267" s="104"/>
      <c r="V267" s="106"/>
      <c r="W267" s="106"/>
      <c r="X267" s="66"/>
      <c r="Y267" s="106"/>
      <c r="Z267" s="66"/>
      <c r="AA267" s="66"/>
      <c r="AB267" s="106"/>
      <c r="AC267" s="66"/>
      <c r="AD267" s="66"/>
      <c r="AE267" s="81"/>
      <c r="AF267" s="81"/>
      <c r="AG267" s="81"/>
      <c r="AH267" s="81"/>
      <c r="AI267" s="81"/>
      <c r="AJ267" s="81"/>
      <c r="AK267" s="81"/>
    </row>
    <row r="268">
      <c r="A268" s="81"/>
      <c r="B268" s="66"/>
      <c r="C268" s="66"/>
      <c r="D268" s="66"/>
      <c r="E268" s="106"/>
      <c r="F268" s="137"/>
      <c r="G268" s="66"/>
      <c r="H268" s="147"/>
      <c r="I268" s="137"/>
      <c r="J268" s="137"/>
      <c r="K268" s="137"/>
      <c r="L268" s="66"/>
      <c r="M268" s="107"/>
      <c r="N268" s="66"/>
      <c r="O268" s="66"/>
      <c r="P268" s="66"/>
      <c r="Q268" s="172"/>
      <c r="R268" s="104"/>
      <c r="S268" s="104"/>
      <c r="T268" s="104"/>
      <c r="U268" s="104"/>
      <c r="V268" s="106"/>
      <c r="W268" s="106"/>
      <c r="X268" s="66"/>
      <c r="Y268" s="106"/>
      <c r="Z268" s="66"/>
      <c r="AA268" s="66"/>
      <c r="AB268" s="106"/>
      <c r="AC268" s="66"/>
      <c r="AD268" s="66"/>
      <c r="AE268" s="81"/>
      <c r="AF268" s="81"/>
      <c r="AG268" s="81"/>
      <c r="AH268" s="81"/>
      <c r="AI268" s="81"/>
      <c r="AJ268" s="81"/>
      <c r="AK268" s="81"/>
    </row>
    <row r="269">
      <c r="A269" s="81"/>
      <c r="B269" s="66"/>
      <c r="C269" s="66"/>
      <c r="D269" s="66"/>
      <c r="E269" s="106"/>
      <c r="F269" s="137"/>
      <c r="G269" s="66"/>
      <c r="H269" s="147"/>
      <c r="I269" s="137"/>
      <c r="J269" s="137"/>
      <c r="K269" s="137"/>
      <c r="L269" s="66"/>
      <c r="M269" s="107"/>
      <c r="N269" s="66"/>
      <c r="O269" s="66"/>
      <c r="P269" s="66"/>
      <c r="Q269" s="172"/>
      <c r="R269" s="104"/>
      <c r="S269" s="104"/>
      <c r="T269" s="104"/>
      <c r="U269" s="104"/>
      <c r="V269" s="106"/>
      <c r="W269" s="106"/>
      <c r="X269" s="66"/>
      <c r="Y269" s="106"/>
      <c r="Z269" s="66"/>
      <c r="AA269" s="66"/>
      <c r="AB269" s="106"/>
      <c r="AC269" s="66"/>
      <c r="AD269" s="66"/>
      <c r="AE269" s="81"/>
      <c r="AF269" s="81"/>
      <c r="AG269" s="81"/>
      <c r="AH269" s="81"/>
      <c r="AI269" s="81"/>
      <c r="AJ269" s="81"/>
      <c r="AK269" s="81"/>
    </row>
    <row r="270">
      <c r="A270" s="81"/>
      <c r="B270" s="66"/>
      <c r="C270" s="66"/>
      <c r="D270" s="66"/>
      <c r="E270" s="106"/>
      <c r="F270" s="137"/>
      <c r="G270" s="66"/>
      <c r="H270" s="147"/>
      <c r="I270" s="137"/>
      <c r="J270" s="137"/>
      <c r="K270" s="137"/>
      <c r="L270" s="66"/>
      <c r="M270" s="107"/>
      <c r="N270" s="66"/>
      <c r="O270" s="66"/>
      <c r="P270" s="66"/>
      <c r="Q270" s="172"/>
      <c r="R270" s="104"/>
      <c r="S270" s="104"/>
      <c r="T270" s="104"/>
      <c r="U270" s="104"/>
      <c r="V270" s="106"/>
      <c r="W270" s="106"/>
      <c r="X270" s="66"/>
      <c r="Y270" s="106"/>
      <c r="Z270" s="66"/>
      <c r="AA270" s="66"/>
      <c r="AB270" s="106"/>
      <c r="AC270" s="66"/>
      <c r="AD270" s="66"/>
      <c r="AE270" s="81"/>
      <c r="AF270" s="81"/>
      <c r="AG270" s="81"/>
      <c r="AH270" s="81"/>
      <c r="AI270" s="81"/>
      <c r="AJ270" s="81"/>
      <c r="AK270" s="81"/>
    </row>
    <row r="271">
      <c r="A271" s="81"/>
      <c r="B271" s="66"/>
      <c r="C271" s="66"/>
      <c r="D271" s="66"/>
      <c r="E271" s="106"/>
      <c r="F271" s="137"/>
      <c r="G271" s="66"/>
      <c r="H271" s="147"/>
      <c r="I271" s="137"/>
      <c r="J271" s="137"/>
      <c r="K271" s="137"/>
      <c r="L271" s="66"/>
      <c r="M271" s="107"/>
      <c r="N271" s="66"/>
      <c r="O271" s="66"/>
      <c r="P271" s="66"/>
      <c r="Q271" s="172"/>
      <c r="R271" s="104"/>
      <c r="S271" s="104"/>
      <c r="T271" s="104"/>
      <c r="U271" s="104"/>
      <c r="V271" s="106"/>
      <c r="W271" s="106"/>
      <c r="X271" s="66"/>
      <c r="Y271" s="106"/>
      <c r="Z271" s="66"/>
      <c r="AA271" s="66"/>
      <c r="AB271" s="106"/>
      <c r="AC271" s="66"/>
      <c r="AD271" s="66"/>
      <c r="AE271" s="81"/>
      <c r="AF271" s="81"/>
      <c r="AG271" s="81"/>
      <c r="AH271" s="81"/>
      <c r="AI271" s="81"/>
      <c r="AJ271" s="81"/>
      <c r="AK271" s="81"/>
    </row>
    <row r="272">
      <c r="A272" s="81"/>
      <c r="B272" s="66"/>
      <c r="C272" s="66"/>
      <c r="D272" s="66"/>
      <c r="E272" s="106"/>
      <c r="F272" s="137"/>
      <c r="G272" s="66"/>
      <c r="H272" s="147"/>
      <c r="I272" s="137"/>
      <c r="J272" s="137"/>
      <c r="K272" s="137"/>
      <c r="L272" s="66"/>
      <c r="M272" s="107"/>
      <c r="N272" s="66"/>
      <c r="O272" s="66"/>
      <c r="P272" s="66"/>
      <c r="Q272" s="172"/>
      <c r="R272" s="104"/>
      <c r="S272" s="104"/>
      <c r="T272" s="104"/>
      <c r="U272" s="104"/>
      <c r="V272" s="106"/>
      <c r="W272" s="106"/>
      <c r="X272" s="66"/>
      <c r="Y272" s="106"/>
      <c r="Z272" s="66"/>
      <c r="AA272" s="66"/>
      <c r="AB272" s="106"/>
      <c r="AC272" s="66"/>
      <c r="AD272" s="66"/>
      <c r="AE272" s="81"/>
      <c r="AF272" s="81"/>
      <c r="AG272" s="81"/>
      <c r="AH272" s="81"/>
      <c r="AI272" s="81"/>
      <c r="AJ272" s="81"/>
      <c r="AK272" s="81"/>
    </row>
    <row r="273">
      <c r="A273" s="81"/>
      <c r="B273" s="66"/>
      <c r="C273" s="66"/>
      <c r="D273" s="66"/>
      <c r="E273" s="106"/>
      <c r="F273" s="137"/>
      <c r="G273" s="66"/>
      <c r="H273" s="147"/>
      <c r="I273" s="137"/>
      <c r="J273" s="137"/>
      <c r="K273" s="137"/>
      <c r="L273" s="66"/>
      <c r="M273" s="107"/>
      <c r="N273" s="66"/>
      <c r="O273" s="66"/>
      <c r="P273" s="66"/>
      <c r="Q273" s="172"/>
      <c r="R273" s="104"/>
      <c r="S273" s="104"/>
      <c r="T273" s="104"/>
      <c r="U273" s="104"/>
      <c r="V273" s="106"/>
      <c r="W273" s="106"/>
      <c r="X273" s="66"/>
      <c r="Y273" s="106"/>
      <c r="Z273" s="66"/>
      <c r="AA273" s="66"/>
      <c r="AB273" s="106"/>
      <c r="AC273" s="66"/>
      <c r="AD273" s="66"/>
      <c r="AE273" s="81"/>
      <c r="AF273" s="81"/>
      <c r="AG273" s="81"/>
      <c r="AH273" s="81"/>
      <c r="AI273" s="81"/>
      <c r="AJ273" s="81"/>
      <c r="AK273" s="81"/>
    </row>
    <row r="274">
      <c r="A274" s="81"/>
      <c r="B274" s="66"/>
      <c r="C274" s="66"/>
      <c r="D274" s="66"/>
      <c r="E274" s="106"/>
      <c r="F274" s="137"/>
      <c r="G274" s="66"/>
      <c r="H274" s="147"/>
      <c r="I274" s="137"/>
      <c r="J274" s="137"/>
      <c r="K274" s="137"/>
      <c r="L274" s="66"/>
      <c r="M274" s="107"/>
      <c r="N274" s="66"/>
      <c r="O274" s="66"/>
      <c r="P274" s="66"/>
      <c r="Q274" s="172"/>
      <c r="R274" s="104"/>
      <c r="S274" s="104"/>
      <c r="T274" s="104"/>
      <c r="U274" s="104"/>
      <c r="V274" s="106"/>
      <c r="W274" s="106"/>
      <c r="X274" s="66"/>
      <c r="Y274" s="106"/>
      <c r="Z274" s="66"/>
      <c r="AA274" s="66"/>
      <c r="AB274" s="106"/>
      <c r="AC274" s="66"/>
      <c r="AD274" s="66"/>
      <c r="AE274" s="81"/>
      <c r="AF274" s="81"/>
      <c r="AG274" s="81"/>
      <c r="AH274" s="81"/>
      <c r="AI274" s="81"/>
      <c r="AJ274" s="81"/>
      <c r="AK274" s="81"/>
    </row>
    <row r="275">
      <c r="A275" s="81"/>
      <c r="B275" s="66"/>
      <c r="C275" s="66"/>
      <c r="D275" s="66"/>
      <c r="E275" s="106"/>
      <c r="F275" s="137"/>
      <c r="G275" s="66"/>
      <c r="H275" s="147"/>
      <c r="I275" s="137"/>
      <c r="J275" s="137"/>
      <c r="K275" s="137"/>
      <c r="L275" s="66"/>
      <c r="M275" s="107"/>
      <c r="N275" s="66"/>
      <c r="O275" s="66"/>
      <c r="P275" s="66"/>
      <c r="Q275" s="172"/>
      <c r="R275" s="104"/>
      <c r="S275" s="104"/>
      <c r="T275" s="104"/>
      <c r="U275" s="104"/>
      <c r="V275" s="106"/>
      <c r="W275" s="106"/>
      <c r="X275" s="66"/>
      <c r="Y275" s="106"/>
      <c r="Z275" s="66"/>
      <c r="AA275" s="66"/>
      <c r="AB275" s="106"/>
      <c r="AC275" s="66"/>
      <c r="AD275" s="66"/>
      <c r="AE275" s="81"/>
      <c r="AF275" s="81"/>
      <c r="AG275" s="81"/>
      <c r="AH275" s="81"/>
      <c r="AI275" s="81"/>
      <c r="AJ275" s="81"/>
      <c r="AK275" s="81"/>
    </row>
    <row r="276">
      <c r="A276" s="81"/>
      <c r="B276" s="66"/>
      <c r="C276" s="66"/>
      <c r="D276" s="66"/>
      <c r="E276" s="106"/>
      <c r="F276" s="137"/>
      <c r="G276" s="66"/>
      <c r="H276" s="147"/>
      <c r="I276" s="137"/>
      <c r="J276" s="137"/>
      <c r="K276" s="137"/>
      <c r="L276" s="66"/>
      <c r="M276" s="107"/>
      <c r="N276" s="66"/>
      <c r="O276" s="66"/>
      <c r="P276" s="66"/>
      <c r="Q276" s="172"/>
      <c r="R276" s="104"/>
      <c r="S276" s="104"/>
      <c r="T276" s="104"/>
      <c r="U276" s="104"/>
      <c r="V276" s="106"/>
      <c r="W276" s="106"/>
      <c r="X276" s="66"/>
      <c r="Y276" s="106"/>
      <c r="Z276" s="66"/>
      <c r="AA276" s="66"/>
      <c r="AB276" s="106"/>
      <c r="AC276" s="66"/>
      <c r="AD276" s="66"/>
      <c r="AE276" s="81"/>
      <c r="AF276" s="81"/>
      <c r="AG276" s="81"/>
      <c r="AH276" s="81"/>
      <c r="AI276" s="81"/>
      <c r="AJ276" s="81"/>
      <c r="AK276" s="81"/>
    </row>
    <row r="277">
      <c r="A277" s="81"/>
      <c r="B277" s="66"/>
      <c r="C277" s="66"/>
      <c r="D277" s="66"/>
      <c r="E277" s="106"/>
      <c r="F277" s="137"/>
      <c r="G277" s="66"/>
      <c r="H277" s="147"/>
      <c r="I277" s="137"/>
      <c r="J277" s="137"/>
      <c r="K277" s="137"/>
      <c r="L277" s="66"/>
      <c r="M277" s="107"/>
      <c r="N277" s="66"/>
      <c r="O277" s="66"/>
      <c r="P277" s="66"/>
      <c r="Q277" s="172"/>
      <c r="R277" s="104"/>
      <c r="S277" s="104"/>
      <c r="T277" s="104"/>
      <c r="U277" s="104"/>
      <c r="V277" s="106"/>
      <c r="W277" s="106"/>
      <c r="X277" s="66"/>
      <c r="Y277" s="106"/>
      <c r="Z277" s="66"/>
      <c r="AA277" s="66"/>
      <c r="AB277" s="106"/>
      <c r="AC277" s="66"/>
      <c r="AD277" s="66"/>
      <c r="AE277" s="81"/>
      <c r="AF277" s="81"/>
      <c r="AG277" s="81"/>
      <c r="AH277" s="81"/>
      <c r="AI277" s="81"/>
      <c r="AJ277" s="81"/>
      <c r="AK277" s="81"/>
    </row>
    <row r="278">
      <c r="A278" s="81"/>
      <c r="B278" s="66"/>
      <c r="C278" s="66"/>
      <c r="D278" s="66"/>
      <c r="E278" s="106"/>
      <c r="F278" s="137"/>
      <c r="G278" s="66"/>
      <c r="H278" s="147"/>
      <c r="I278" s="137"/>
      <c r="J278" s="137"/>
      <c r="K278" s="137"/>
      <c r="L278" s="66"/>
      <c r="M278" s="107"/>
      <c r="N278" s="66"/>
      <c r="O278" s="66"/>
      <c r="P278" s="66"/>
      <c r="Q278" s="172"/>
      <c r="R278" s="104"/>
      <c r="S278" s="104"/>
      <c r="T278" s="104"/>
      <c r="U278" s="104"/>
      <c r="V278" s="106"/>
      <c r="W278" s="106"/>
      <c r="X278" s="66"/>
      <c r="Y278" s="106"/>
      <c r="Z278" s="66"/>
      <c r="AA278" s="66"/>
      <c r="AB278" s="106"/>
      <c r="AC278" s="66"/>
      <c r="AD278" s="66"/>
      <c r="AE278" s="81"/>
      <c r="AF278" s="81"/>
      <c r="AG278" s="81"/>
      <c r="AH278" s="81"/>
      <c r="AI278" s="81"/>
      <c r="AJ278" s="81"/>
      <c r="AK278" s="81"/>
    </row>
    <row r="279">
      <c r="A279" s="81"/>
      <c r="B279" s="66"/>
      <c r="C279" s="66"/>
      <c r="D279" s="66"/>
      <c r="E279" s="106"/>
      <c r="F279" s="137"/>
      <c r="G279" s="66"/>
      <c r="H279" s="147"/>
      <c r="I279" s="137"/>
      <c r="J279" s="137"/>
      <c r="K279" s="137"/>
      <c r="L279" s="66"/>
      <c r="M279" s="107"/>
      <c r="N279" s="66"/>
      <c r="O279" s="66"/>
      <c r="P279" s="66"/>
      <c r="Q279" s="172"/>
      <c r="R279" s="104"/>
      <c r="S279" s="104"/>
      <c r="T279" s="104"/>
      <c r="U279" s="104"/>
      <c r="V279" s="106"/>
      <c r="W279" s="106"/>
      <c r="X279" s="66"/>
      <c r="Y279" s="106"/>
      <c r="Z279" s="66"/>
      <c r="AA279" s="66"/>
      <c r="AB279" s="106"/>
      <c r="AC279" s="66"/>
      <c r="AD279" s="66"/>
      <c r="AE279" s="81"/>
      <c r="AF279" s="81"/>
      <c r="AG279" s="81"/>
      <c r="AH279" s="81"/>
      <c r="AI279" s="81"/>
      <c r="AJ279" s="81"/>
      <c r="AK279" s="81"/>
    </row>
    <row r="280">
      <c r="A280" s="81"/>
      <c r="B280" s="66"/>
      <c r="C280" s="66"/>
      <c r="D280" s="66"/>
      <c r="E280" s="106"/>
      <c r="F280" s="137"/>
      <c r="G280" s="66"/>
      <c r="H280" s="147"/>
      <c r="I280" s="137"/>
      <c r="J280" s="137"/>
      <c r="K280" s="137"/>
      <c r="L280" s="66"/>
      <c r="M280" s="107"/>
      <c r="N280" s="66"/>
      <c r="O280" s="66"/>
      <c r="P280" s="66"/>
      <c r="Q280" s="172"/>
      <c r="R280" s="104"/>
      <c r="S280" s="104"/>
      <c r="T280" s="104"/>
      <c r="U280" s="104"/>
      <c r="V280" s="106"/>
      <c r="W280" s="106"/>
      <c r="X280" s="66"/>
      <c r="Y280" s="106"/>
      <c r="Z280" s="66"/>
      <c r="AA280" s="66"/>
      <c r="AB280" s="106"/>
      <c r="AC280" s="66"/>
      <c r="AD280" s="66"/>
      <c r="AE280" s="81"/>
      <c r="AF280" s="81"/>
      <c r="AG280" s="81"/>
      <c r="AH280" s="81"/>
      <c r="AI280" s="81"/>
      <c r="AJ280" s="81"/>
      <c r="AK280" s="81"/>
    </row>
    <row r="281">
      <c r="A281" s="81"/>
      <c r="B281" s="66"/>
      <c r="C281" s="66"/>
      <c r="D281" s="66"/>
      <c r="E281" s="106"/>
      <c r="F281" s="137"/>
      <c r="G281" s="66"/>
      <c r="H281" s="147"/>
      <c r="I281" s="137"/>
      <c r="J281" s="137"/>
      <c r="K281" s="137"/>
      <c r="L281" s="66"/>
      <c r="M281" s="107"/>
      <c r="N281" s="66"/>
      <c r="O281" s="66"/>
      <c r="P281" s="66"/>
      <c r="Q281" s="172"/>
      <c r="R281" s="104"/>
      <c r="S281" s="104"/>
      <c r="T281" s="104"/>
      <c r="U281" s="104"/>
      <c r="V281" s="106"/>
      <c r="W281" s="106"/>
      <c r="X281" s="66"/>
      <c r="Y281" s="106"/>
      <c r="Z281" s="66"/>
      <c r="AA281" s="66"/>
      <c r="AB281" s="106"/>
      <c r="AC281" s="66"/>
      <c r="AD281" s="66"/>
      <c r="AE281" s="81"/>
      <c r="AF281" s="81"/>
      <c r="AG281" s="81"/>
      <c r="AH281" s="81"/>
      <c r="AI281" s="81"/>
      <c r="AJ281" s="81"/>
      <c r="AK281" s="81"/>
    </row>
    <row r="282">
      <c r="A282" s="81"/>
      <c r="B282" s="66"/>
      <c r="C282" s="66"/>
      <c r="D282" s="66"/>
      <c r="E282" s="106"/>
      <c r="F282" s="137"/>
      <c r="G282" s="66"/>
      <c r="H282" s="147"/>
      <c r="I282" s="137"/>
      <c r="J282" s="137"/>
      <c r="K282" s="137"/>
      <c r="L282" s="66"/>
      <c r="M282" s="107"/>
      <c r="N282" s="66"/>
      <c r="O282" s="66"/>
      <c r="P282" s="66"/>
      <c r="Q282" s="172"/>
      <c r="R282" s="104"/>
      <c r="S282" s="104"/>
      <c r="T282" s="104"/>
      <c r="U282" s="104"/>
      <c r="V282" s="106"/>
      <c r="W282" s="106"/>
      <c r="X282" s="66"/>
      <c r="Y282" s="106"/>
      <c r="Z282" s="66"/>
      <c r="AA282" s="66"/>
      <c r="AB282" s="106"/>
      <c r="AC282" s="66"/>
      <c r="AD282" s="66"/>
      <c r="AE282" s="81"/>
      <c r="AF282" s="81"/>
      <c r="AG282" s="81"/>
      <c r="AH282" s="81"/>
      <c r="AI282" s="81"/>
      <c r="AJ282" s="81"/>
      <c r="AK282" s="81"/>
    </row>
    <row r="283">
      <c r="A283" s="81"/>
      <c r="B283" s="66"/>
      <c r="C283" s="66"/>
      <c r="D283" s="66"/>
      <c r="E283" s="106"/>
      <c r="F283" s="137"/>
      <c r="G283" s="66"/>
      <c r="H283" s="147"/>
      <c r="I283" s="137"/>
      <c r="J283" s="137"/>
      <c r="K283" s="137"/>
      <c r="L283" s="66"/>
      <c r="M283" s="107"/>
      <c r="N283" s="66"/>
      <c r="O283" s="66"/>
      <c r="P283" s="66"/>
      <c r="Q283" s="172"/>
      <c r="R283" s="104"/>
      <c r="S283" s="104"/>
      <c r="T283" s="104"/>
      <c r="U283" s="104"/>
      <c r="V283" s="106"/>
      <c r="W283" s="106"/>
      <c r="X283" s="66"/>
      <c r="Y283" s="106"/>
      <c r="Z283" s="66"/>
      <c r="AA283" s="66"/>
      <c r="AB283" s="106"/>
      <c r="AC283" s="66"/>
      <c r="AD283" s="66"/>
      <c r="AE283" s="81"/>
      <c r="AF283" s="81"/>
      <c r="AG283" s="81"/>
      <c r="AH283" s="81"/>
      <c r="AI283" s="81"/>
      <c r="AJ283" s="81"/>
      <c r="AK283" s="81"/>
    </row>
    <row r="284">
      <c r="A284" s="81"/>
      <c r="B284" s="66"/>
      <c r="C284" s="66"/>
      <c r="D284" s="66"/>
      <c r="E284" s="106"/>
      <c r="F284" s="137"/>
      <c r="G284" s="66"/>
      <c r="H284" s="147"/>
      <c r="I284" s="137"/>
      <c r="J284" s="137"/>
      <c r="K284" s="137"/>
      <c r="L284" s="66"/>
      <c r="M284" s="107"/>
      <c r="N284" s="66"/>
      <c r="O284" s="66"/>
      <c r="P284" s="66"/>
      <c r="Q284" s="172"/>
      <c r="R284" s="104"/>
      <c r="S284" s="104"/>
      <c r="T284" s="104"/>
      <c r="U284" s="104"/>
      <c r="V284" s="106"/>
      <c r="W284" s="106"/>
      <c r="X284" s="66"/>
      <c r="Y284" s="106"/>
      <c r="Z284" s="66"/>
      <c r="AA284" s="66"/>
      <c r="AB284" s="106"/>
      <c r="AC284" s="66"/>
      <c r="AD284" s="66"/>
      <c r="AE284" s="81"/>
      <c r="AF284" s="81"/>
      <c r="AG284" s="81"/>
      <c r="AH284" s="81"/>
      <c r="AI284" s="81"/>
      <c r="AJ284" s="81"/>
      <c r="AK284" s="81"/>
    </row>
    <row r="285">
      <c r="A285" s="81"/>
      <c r="B285" s="66"/>
      <c r="C285" s="66"/>
      <c r="D285" s="66"/>
      <c r="E285" s="106"/>
      <c r="F285" s="137"/>
      <c r="G285" s="66"/>
      <c r="H285" s="147"/>
      <c r="I285" s="137"/>
      <c r="J285" s="137"/>
      <c r="K285" s="137"/>
      <c r="L285" s="66"/>
      <c r="M285" s="107"/>
      <c r="N285" s="66"/>
      <c r="O285" s="66"/>
      <c r="P285" s="66"/>
      <c r="Q285" s="172"/>
      <c r="R285" s="104"/>
      <c r="S285" s="104"/>
      <c r="T285" s="104"/>
      <c r="U285" s="104"/>
      <c r="V285" s="106"/>
      <c r="W285" s="106"/>
      <c r="X285" s="66"/>
      <c r="Y285" s="106"/>
      <c r="Z285" s="66"/>
      <c r="AA285" s="66"/>
      <c r="AB285" s="106"/>
      <c r="AC285" s="66"/>
      <c r="AD285" s="66"/>
      <c r="AE285" s="81"/>
      <c r="AF285" s="81"/>
      <c r="AG285" s="81"/>
      <c r="AH285" s="81"/>
      <c r="AI285" s="81"/>
      <c r="AJ285" s="81"/>
      <c r="AK285" s="81"/>
    </row>
    <row r="286">
      <c r="A286" s="81"/>
      <c r="B286" s="66"/>
      <c r="C286" s="66"/>
      <c r="D286" s="66"/>
      <c r="E286" s="106"/>
      <c r="F286" s="137"/>
      <c r="G286" s="66"/>
      <c r="H286" s="147"/>
      <c r="I286" s="137"/>
      <c r="J286" s="137"/>
      <c r="K286" s="137"/>
      <c r="L286" s="66"/>
      <c r="M286" s="107"/>
      <c r="N286" s="66"/>
      <c r="O286" s="66"/>
      <c r="P286" s="66"/>
      <c r="Q286" s="172"/>
      <c r="R286" s="104"/>
      <c r="S286" s="104"/>
      <c r="T286" s="104"/>
      <c r="U286" s="104"/>
      <c r="V286" s="106"/>
      <c r="W286" s="106"/>
      <c r="X286" s="66"/>
      <c r="Y286" s="106"/>
      <c r="Z286" s="66"/>
      <c r="AA286" s="66"/>
      <c r="AB286" s="106"/>
      <c r="AC286" s="66"/>
      <c r="AD286" s="66"/>
      <c r="AE286" s="81"/>
      <c r="AF286" s="81"/>
      <c r="AG286" s="81"/>
      <c r="AH286" s="81"/>
      <c r="AI286" s="81"/>
      <c r="AJ286" s="81"/>
      <c r="AK286" s="81"/>
    </row>
    <row r="287">
      <c r="A287" s="81"/>
      <c r="B287" s="66"/>
      <c r="C287" s="66"/>
      <c r="D287" s="66"/>
      <c r="E287" s="106"/>
      <c r="F287" s="137"/>
      <c r="G287" s="66"/>
      <c r="H287" s="147"/>
      <c r="I287" s="137"/>
      <c r="J287" s="137"/>
      <c r="K287" s="137"/>
      <c r="L287" s="66"/>
      <c r="M287" s="107"/>
      <c r="N287" s="66"/>
      <c r="O287" s="66"/>
      <c r="P287" s="66"/>
      <c r="Q287" s="172"/>
      <c r="R287" s="104"/>
      <c r="S287" s="104"/>
      <c r="T287" s="104"/>
      <c r="U287" s="104"/>
      <c r="V287" s="106"/>
      <c r="W287" s="106"/>
      <c r="X287" s="66"/>
      <c r="Y287" s="106"/>
      <c r="Z287" s="66"/>
      <c r="AA287" s="66"/>
      <c r="AB287" s="106"/>
      <c r="AC287" s="66"/>
      <c r="AD287" s="66"/>
      <c r="AE287" s="81"/>
      <c r="AF287" s="81"/>
      <c r="AG287" s="81"/>
      <c r="AH287" s="81"/>
      <c r="AI287" s="81"/>
      <c r="AJ287" s="81"/>
      <c r="AK287" s="81"/>
    </row>
    <row r="288">
      <c r="A288" s="81"/>
      <c r="B288" s="66"/>
      <c r="C288" s="66"/>
      <c r="D288" s="66"/>
      <c r="E288" s="106"/>
      <c r="F288" s="137"/>
      <c r="G288" s="66"/>
      <c r="H288" s="147"/>
      <c r="I288" s="137"/>
      <c r="J288" s="137"/>
      <c r="K288" s="137"/>
      <c r="L288" s="66"/>
      <c r="M288" s="107"/>
      <c r="N288" s="66"/>
      <c r="O288" s="66"/>
      <c r="P288" s="66"/>
      <c r="Q288" s="172"/>
      <c r="R288" s="104"/>
      <c r="S288" s="104"/>
      <c r="T288" s="104"/>
      <c r="U288" s="104"/>
      <c r="V288" s="106"/>
      <c r="W288" s="106"/>
      <c r="X288" s="66"/>
      <c r="Y288" s="106"/>
      <c r="Z288" s="66"/>
      <c r="AA288" s="66"/>
      <c r="AB288" s="106"/>
      <c r="AC288" s="66"/>
      <c r="AD288" s="66"/>
      <c r="AE288" s="81"/>
      <c r="AF288" s="81"/>
      <c r="AG288" s="81"/>
      <c r="AH288" s="81"/>
      <c r="AI288" s="81"/>
      <c r="AJ288" s="81"/>
      <c r="AK288" s="81"/>
    </row>
    <row r="289">
      <c r="A289" s="81"/>
      <c r="B289" s="66"/>
      <c r="C289" s="66"/>
      <c r="D289" s="66"/>
      <c r="E289" s="106"/>
      <c r="F289" s="137"/>
      <c r="G289" s="66"/>
      <c r="H289" s="147"/>
      <c r="I289" s="137"/>
      <c r="J289" s="137"/>
      <c r="K289" s="137"/>
      <c r="L289" s="66"/>
      <c r="M289" s="107"/>
      <c r="N289" s="66"/>
      <c r="O289" s="66"/>
      <c r="P289" s="66"/>
      <c r="Q289" s="172"/>
      <c r="R289" s="104"/>
      <c r="S289" s="104"/>
      <c r="T289" s="104"/>
      <c r="U289" s="104"/>
      <c r="V289" s="106"/>
      <c r="W289" s="106"/>
      <c r="X289" s="66"/>
      <c r="Y289" s="106"/>
      <c r="Z289" s="66"/>
      <c r="AA289" s="66"/>
      <c r="AB289" s="106"/>
      <c r="AC289" s="66"/>
      <c r="AD289" s="66"/>
      <c r="AE289" s="81"/>
      <c r="AF289" s="81"/>
      <c r="AG289" s="81"/>
      <c r="AH289" s="81"/>
      <c r="AI289" s="81"/>
      <c r="AJ289" s="81"/>
      <c r="AK289" s="81"/>
    </row>
    <row r="290">
      <c r="A290" s="81"/>
      <c r="B290" s="66"/>
      <c r="C290" s="66"/>
      <c r="D290" s="66"/>
      <c r="E290" s="106"/>
      <c r="F290" s="137"/>
      <c r="G290" s="66"/>
      <c r="H290" s="147"/>
      <c r="I290" s="137"/>
      <c r="J290" s="137"/>
      <c r="K290" s="137"/>
      <c r="L290" s="66"/>
      <c r="M290" s="107"/>
      <c r="N290" s="66"/>
      <c r="O290" s="66"/>
      <c r="P290" s="66"/>
      <c r="Q290" s="172"/>
      <c r="R290" s="104"/>
      <c r="S290" s="104"/>
      <c r="T290" s="104"/>
      <c r="U290" s="104"/>
      <c r="V290" s="106"/>
      <c r="W290" s="106"/>
      <c r="X290" s="66"/>
      <c r="Y290" s="106"/>
      <c r="Z290" s="66"/>
      <c r="AA290" s="66"/>
      <c r="AB290" s="106"/>
      <c r="AC290" s="66"/>
      <c r="AD290" s="66"/>
      <c r="AE290" s="81"/>
      <c r="AF290" s="81"/>
      <c r="AG290" s="81"/>
      <c r="AH290" s="81"/>
      <c r="AI290" s="81"/>
      <c r="AJ290" s="81"/>
      <c r="AK290" s="81"/>
    </row>
    <row r="291">
      <c r="A291" s="81"/>
      <c r="B291" s="66"/>
      <c r="C291" s="66"/>
      <c r="D291" s="66"/>
      <c r="E291" s="106"/>
      <c r="F291" s="137"/>
      <c r="G291" s="66"/>
      <c r="H291" s="147"/>
      <c r="I291" s="137"/>
      <c r="J291" s="137"/>
      <c r="K291" s="137"/>
      <c r="L291" s="66"/>
      <c r="M291" s="107"/>
      <c r="N291" s="66"/>
      <c r="O291" s="66"/>
      <c r="P291" s="66"/>
      <c r="Q291" s="172"/>
      <c r="R291" s="104"/>
      <c r="S291" s="104"/>
      <c r="T291" s="104"/>
      <c r="U291" s="104"/>
      <c r="V291" s="106"/>
      <c r="W291" s="106"/>
      <c r="X291" s="66"/>
      <c r="Y291" s="106"/>
      <c r="Z291" s="66"/>
      <c r="AA291" s="66"/>
      <c r="AB291" s="106"/>
      <c r="AC291" s="66"/>
      <c r="AD291" s="66"/>
      <c r="AE291" s="81"/>
      <c r="AF291" s="81"/>
      <c r="AG291" s="81"/>
      <c r="AH291" s="81"/>
      <c r="AI291" s="81"/>
      <c r="AJ291" s="81"/>
      <c r="AK291" s="81"/>
    </row>
    <row r="292">
      <c r="A292" s="81"/>
      <c r="B292" s="66"/>
      <c r="C292" s="66"/>
      <c r="D292" s="66"/>
      <c r="E292" s="106"/>
      <c r="F292" s="137"/>
      <c r="G292" s="66"/>
      <c r="H292" s="147"/>
      <c r="I292" s="137"/>
      <c r="J292" s="137"/>
      <c r="K292" s="137"/>
      <c r="L292" s="66"/>
      <c r="M292" s="107"/>
      <c r="N292" s="66"/>
      <c r="O292" s="66"/>
      <c r="P292" s="66"/>
      <c r="Q292" s="172"/>
      <c r="R292" s="104"/>
      <c r="S292" s="104"/>
      <c r="T292" s="104"/>
      <c r="U292" s="104"/>
      <c r="V292" s="106"/>
      <c r="W292" s="106"/>
      <c r="X292" s="66"/>
      <c r="Y292" s="106"/>
      <c r="Z292" s="66"/>
      <c r="AA292" s="66"/>
      <c r="AB292" s="106"/>
      <c r="AC292" s="66"/>
      <c r="AD292" s="66"/>
      <c r="AE292" s="81"/>
      <c r="AF292" s="81"/>
      <c r="AG292" s="81"/>
      <c r="AH292" s="81"/>
      <c r="AI292" s="81"/>
      <c r="AJ292" s="81"/>
      <c r="AK292" s="81"/>
    </row>
    <row r="293">
      <c r="A293" s="81"/>
      <c r="B293" s="66"/>
      <c r="C293" s="66"/>
      <c r="D293" s="66"/>
      <c r="E293" s="106"/>
      <c r="F293" s="137"/>
      <c r="G293" s="66"/>
      <c r="H293" s="147"/>
      <c r="I293" s="137"/>
      <c r="J293" s="137"/>
      <c r="K293" s="137"/>
      <c r="L293" s="66"/>
      <c r="M293" s="107"/>
      <c r="N293" s="66"/>
      <c r="O293" s="66"/>
      <c r="P293" s="66"/>
      <c r="Q293" s="172"/>
      <c r="R293" s="104"/>
      <c r="S293" s="104"/>
      <c r="T293" s="104"/>
      <c r="U293" s="104"/>
      <c r="V293" s="106"/>
      <c r="W293" s="106"/>
      <c r="X293" s="66"/>
      <c r="Y293" s="106"/>
      <c r="Z293" s="66"/>
      <c r="AA293" s="66"/>
      <c r="AB293" s="106"/>
      <c r="AC293" s="66"/>
      <c r="AD293" s="66"/>
      <c r="AE293" s="81"/>
      <c r="AF293" s="81"/>
      <c r="AG293" s="81"/>
      <c r="AH293" s="81"/>
      <c r="AI293" s="81"/>
      <c r="AJ293" s="81"/>
      <c r="AK293" s="81"/>
    </row>
    <row r="294">
      <c r="A294" s="81"/>
      <c r="B294" s="66"/>
      <c r="C294" s="66"/>
      <c r="D294" s="66"/>
      <c r="E294" s="106"/>
      <c r="F294" s="137"/>
      <c r="G294" s="66"/>
      <c r="H294" s="147"/>
      <c r="I294" s="137"/>
      <c r="J294" s="137"/>
      <c r="K294" s="137"/>
      <c r="L294" s="66"/>
      <c r="M294" s="107"/>
      <c r="N294" s="66"/>
      <c r="O294" s="66"/>
      <c r="P294" s="66"/>
      <c r="Q294" s="172"/>
      <c r="R294" s="104"/>
      <c r="S294" s="104"/>
      <c r="T294" s="104"/>
      <c r="U294" s="104"/>
      <c r="V294" s="106"/>
      <c r="W294" s="106"/>
      <c r="X294" s="66"/>
      <c r="Y294" s="106"/>
      <c r="Z294" s="66"/>
      <c r="AA294" s="66"/>
      <c r="AB294" s="106"/>
      <c r="AC294" s="66"/>
      <c r="AD294" s="66"/>
      <c r="AE294" s="81"/>
      <c r="AF294" s="81"/>
      <c r="AG294" s="81"/>
      <c r="AH294" s="81"/>
      <c r="AI294" s="81"/>
      <c r="AJ294" s="81"/>
      <c r="AK294" s="81"/>
    </row>
    <row r="295">
      <c r="A295" s="81"/>
      <c r="B295" s="66"/>
      <c r="C295" s="66"/>
      <c r="D295" s="66"/>
      <c r="E295" s="106"/>
      <c r="F295" s="137"/>
      <c r="G295" s="66"/>
      <c r="H295" s="147"/>
      <c r="I295" s="137"/>
      <c r="J295" s="137"/>
      <c r="K295" s="137"/>
      <c r="L295" s="66"/>
      <c r="M295" s="107"/>
      <c r="N295" s="66"/>
      <c r="O295" s="66"/>
      <c r="P295" s="66"/>
      <c r="Q295" s="172"/>
      <c r="R295" s="104"/>
      <c r="S295" s="104"/>
      <c r="T295" s="104"/>
      <c r="U295" s="104"/>
      <c r="V295" s="106"/>
      <c r="W295" s="106"/>
      <c r="X295" s="66"/>
      <c r="Y295" s="106"/>
      <c r="Z295" s="66"/>
      <c r="AA295" s="66"/>
      <c r="AB295" s="106"/>
      <c r="AC295" s="66"/>
      <c r="AD295" s="66"/>
      <c r="AE295" s="81"/>
      <c r="AF295" s="81"/>
      <c r="AG295" s="81"/>
      <c r="AH295" s="81"/>
      <c r="AI295" s="81"/>
      <c r="AJ295" s="81"/>
      <c r="AK295" s="81"/>
    </row>
    <row r="296">
      <c r="A296" s="81"/>
      <c r="B296" s="66"/>
      <c r="C296" s="66"/>
      <c r="D296" s="66"/>
      <c r="E296" s="106"/>
      <c r="F296" s="137"/>
      <c r="G296" s="66"/>
      <c r="H296" s="147"/>
      <c r="I296" s="137"/>
      <c r="J296" s="137"/>
      <c r="K296" s="137"/>
      <c r="L296" s="66"/>
      <c r="M296" s="107"/>
      <c r="N296" s="66"/>
      <c r="O296" s="66"/>
      <c r="P296" s="66"/>
      <c r="Q296" s="172"/>
      <c r="R296" s="104"/>
      <c r="S296" s="104"/>
      <c r="T296" s="104"/>
      <c r="U296" s="104"/>
      <c r="V296" s="106"/>
      <c r="W296" s="106"/>
      <c r="X296" s="66"/>
      <c r="Y296" s="106"/>
      <c r="Z296" s="66"/>
      <c r="AA296" s="66"/>
      <c r="AB296" s="106"/>
      <c r="AC296" s="66"/>
      <c r="AD296" s="66"/>
      <c r="AE296" s="81"/>
      <c r="AF296" s="81"/>
      <c r="AG296" s="81"/>
      <c r="AH296" s="81"/>
      <c r="AI296" s="81"/>
      <c r="AJ296" s="81"/>
      <c r="AK296" s="81"/>
    </row>
    <row r="297">
      <c r="A297" s="81"/>
      <c r="B297" s="66"/>
      <c r="C297" s="66"/>
      <c r="D297" s="66"/>
      <c r="E297" s="106"/>
      <c r="F297" s="137"/>
      <c r="G297" s="66"/>
      <c r="H297" s="147"/>
      <c r="I297" s="137"/>
      <c r="J297" s="137"/>
      <c r="K297" s="137"/>
      <c r="L297" s="66"/>
      <c r="M297" s="107"/>
      <c r="N297" s="66"/>
      <c r="O297" s="66"/>
      <c r="P297" s="66"/>
      <c r="Q297" s="172"/>
      <c r="R297" s="104"/>
      <c r="S297" s="104"/>
      <c r="T297" s="104"/>
      <c r="U297" s="104"/>
      <c r="V297" s="106"/>
      <c r="W297" s="106"/>
      <c r="X297" s="66"/>
      <c r="Y297" s="106"/>
      <c r="Z297" s="66"/>
      <c r="AA297" s="66"/>
      <c r="AB297" s="106"/>
      <c r="AC297" s="66"/>
      <c r="AD297" s="66"/>
      <c r="AE297" s="81"/>
      <c r="AF297" s="81"/>
      <c r="AG297" s="81"/>
      <c r="AH297" s="81"/>
      <c r="AI297" s="81"/>
      <c r="AJ297" s="81"/>
      <c r="AK297" s="81"/>
    </row>
    <row r="298">
      <c r="A298" s="81"/>
      <c r="B298" s="66"/>
      <c r="C298" s="66"/>
      <c r="D298" s="66"/>
      <c r="E298" s="106"/>
      <c r="F298" s="137"/>
      <c r="G298" s="66"/>
      <c r="H298" s="147"/>
      <c r="I298" s="137"/>
      <c r="J298" s="137"/>
      <c r="K298" s="137"/>
      <c r="L298" s="66"/>
      <c r="M298" s="107"/>
      <c r="N298" s="66"/>
      <c r="O298" s="66"/>
      <c r="P298" s="66"/>
      <c r="Q298" s="172"/>
      <c r="R298" s="104"/>
      <c r="S298" s="104"/>
      <c r="T298" s="104"/>
      <c r="U298" s="104"/>
      <c r="V298" s="106"/>
      <c r="W298" s="106"/>
      <c r="X298" s="66"/>
      <c r="Y298" s="106"/>
      <c r="Z298" s="66"/>
      <c r="AA298" s="66"/>
      <c r="AB298" s="106"/>
      <c r="AC298" s="66"/>
      <c r="AD298" s="66"/>
      <c r="AE298" s="81"/>
      <c r="AF298" s="81"/>
      <c r="AG298" s="81"/>
      <c r="AH298" s="81"/>
      <c r="AI298" s="81"/>
      <c r="AJ298" s="81"/>
      <c r="AK298" s="81"/>
    </row>
    <row r="299">
      <c r="A299" s="81"/>
      <c r="B299" s="66"/>
      <c r="C299" s="66"/>
      <c r="D299" s="66"/>
      <c r="E299" s="106"/>
      <c r="F299" s="137"/>
      <c r="G299" s="66"/>
      <c r="H299" s="147"/>
      <c r="I299" s="137"/>
      <c r="J299" s="137"/>
      <c r="K299" s="137"/>
      <c r="L299" s="66"/>
      <c r="M299" s="107"/>
      <c r="N299" s="66"/>
      <c r="O299" s="66"/>
      <c r="P299" s="66"/>
      <c r="Q299" s="172"/>
      <c r="R299" s="104"/>
      <c r="S299" s="104"/>
      <c r="T299" s="104"/>
      <c r="U299" s="104"/>
      <c r="V299" s="106"/>
      <c r="W299" s="106"/>
      <c r="X299" s="66"/>
      <c r="Y299" s="106"/>
      <c r="Z299" s="66"/>
      <c r="AA299" s="66"/>
      <c r="AB299" s="106"/>
      <c r="AC299" s="66"/>
      <c r="AD299" s="66"/>
      <c r="AE299" s="81"/>
      <c r="AF299" s="81"/>
      <c r="AG299" s="81"/>
      <c r="AH299" s="81"/>
      <c r="AI299" s="81"/>
      <c r="AJ299" s="81"/>
      <c r="AK299" s="81"/>
    </row>
    <row r="300">
      <c r="A300" s="81"/>
      <c r="B300" s="66"/>
      <c r="C300" s="66"/>
      <c r="D300" s="66"/>
      <c r="E300" s="106"/>
      <c r="F300" s="137"/>
      <c r="G300" s="66"/>
      <c r="H300" s="147"/>
      <c r="I300" s="137"/>
      <c r="J300" s="137"/>
      <c r="K300" s="137"/>
      <c r="L300" s="66"/>
      <c r="M300" s="107"/>
      <c r="N300" s="66"/>
      <c r="O300" s="66"/>
      <c r="P300" s="66"/>
      <c r="Q300" s="172"/>
      <c r="R300" s="104"/>
      <c r="S300" s="104"/>
      <c r="T300" s="104"/>
      <c r="U300" s="104"/>
      <c r="V300" s="106"/>
      <c r="W300" s="106"/>
      <c r="X300" s="66"/>
      <c r="Y300" s="106"/>
      <c r="Z300" s="66"/>
      <c r="AA300" s="66"/>
      <c r="AB300" s="106"/>
      <c r="AC300" s="66"/>
      <c r="AD300" s="66"/>
      <c r="AE300" s="81"/>
      <c r="AF300" s="81"/>
      <c r="AG300" s="81"/>
      <c r="AH300" s="81"/>
      <c r="AI300" s="81"/>
      <c r="AJ300" s="81"/>
      <c r="AK300" s="81"/>
    </row>
    <row r="301">
      <c r="A301" s="81"/>
      <c r="B301" s="66"/>
      <c r="C301" s="66"/>
      <c r="D301" s="66"/>
      <c r="E301" s="106"/>
      <c r="F301" s="137"/>
      <c r="G301" s="66"/>
      <c r="H301" s="147"/>
      <c r="I301" s="137"/>
      <c r="J301" s="137"/>
      <c r="K301" s="137"/>
      <c r="L301" s="66"/>
      <c r="M301" s="107"/>
      <c r="N301" s="66"/>
      <c r="O301" s="66"/>
      <c r="P301" s="66"/>
      <c r="Q301" s="172"/>
      <c r="R301" s="104"/>
      <c r="S301" s="104"/>
      <c r="T301" s="104"/>
      <c r="U301" s="104"/>
      <c r="V301" s="106"/>
      <c r="W301" s="106"/>
      <c r="X301" s="66"/>
      <c r="Y301" s="106"/>
      <c r="Z301" s="66"/>
      <c r="AA301" s="66"/>
      <c r="AB301" s="106"/>
      <c r="AC301" s="66"/>
      <c r="AD301" s="66"/>
      <c r="AE301" s="81"/>
      <c r="AF301" s="81"/>
      <c r="AG301" s="81"/>
      <c r="AH301" s="81"/>
      <c r="AI301" s="81"/>
      <c r="AJ301" s="81"/>
      <c r="AK301" s="81"/>
    </row>
    <row r="302">
      <c r="A302" s="81"/>
      <c r="B302" s="66"/>
      <c r="C302" s="66"/>
      <c r="D302" s="66"/>
      <c r="E302" s="106"/>
      <c r="F302" s="137"/>
      <c r="G302" s="66"/>
      <c r="H302" s="147"/>
      <c r="I302" s="137"/>
      <c r="J302" s="137"/>
      <c r="K302" s="137"/>
      <c r="L302" s="66"/>
      <c r="M302" s="107"/>
      <c r="N302" s="66"/>
      <c r="O302" s="66"/>
      <c r="P302" s="66"/>
      <c r="Q302" s="172"/>
      <c r="R302" s="104"/>
      <c r="S302" s="104"/>
      <c r="T302" s="104"/>
      <c r="U302" s="104"/>
      <c r="V302" s="106"/>
      <c r="W302" s="106"/>
      <c r="X302" s="66"/>
      <c r="Y302" s="106"/>
      <c r="Z302" s="66"/>
      <c r="AA302" s="66"/>
      <c r="AB302" s="106"/>
      <c r="AC302" s="66"/>
      <c r="AD302" s="66"/>
      <c r="AE302" s="81"/>
      <c r="AF302" s="81"/>
      <c r="AG302" s="81"/>
      <c r="AH302" s="81"/>
      <c r="AI302" s="81"/>
      <c r="AJ302" s="81"/>
      <c r="AK302" s="81"/>
    </row>
    <row r="303">
      <c r="A303" s="81"/>
      <c r="B303" s="66"/>
      <c r="C303" s="66"/>
      <c r="D303" s="66"/>
      <c r="E303" s="106"/>
      <c r="F303" s="137"/>
      <c r="G303" s="66"/>
      <c r="H303" s="147"/>
      <c r="I303" s="137"/>
      <c r="J303" s="137"/>
      <c r="K303" s="137"/>
      <c r="L303" s="66"/>
      <c r="M303" s="107"/>
      <c r="N303" s="66"/>
      <c r="O303" s="66"/>
      <c r="P303" s="66"/>
      <c r="Q303" s="172"/>
      <c r="R303" s="104"/>
      <c r="S303" s="104"/>
      <c r="T303" s="104"/>
      <c r="U303" s="104"/>
      <c r="V303" s="106"/>
      <c r="W303" s="106"/>
      <c r="X303" s="66"/>
      <c r="Y303" s="106"/>
      <c r="Z303" s="66"/>
      <c r="AA303" s="66"/>
      <c r="AB303" s="106"/>
      <c r="AC303" s="66"/>
      <c r="AD303" s="66"/>
      <c r="AE303" s="81"/>
      <c r="AF303" s="81"/>
      <c r="AG303" s="81"/>
      <c r="AH303" s="81"/>
      <c r="AI303" s="81"/>
      <c r="AJ303" s="81"/>
      <c r="AK303" s="81"/>
    </row>
    <row r="304">
      <c r="A304" s="81"/>
      <c r="B304" s="66"/>
      <c r="C304" s="66"/>
      <c r="D304" s="66"/>
      <c r="E304" s="106"/>
      <c r="F304" s="137"/>
      <c r="G304" s="66"/>
      <c r="H304" s="147"/>
      <c r="I304" s="137"/>
      <c r="J304" s="137"/>
      <c r="K304" s="137"/>
      <c r="L304" s="66"/>
      <c r="M304" s="107"/>
      <c r="N304" s="66"/>
      <c r="O304" s="66"/>
      <c r="P304" s="66"/>
      <c r="Q304" s="172"/>
      <c r="R304" s="104"/>
      <c r="S304" s="104"/>
      <c r="T304" s="104"/>
      <c r="U304" s="104"/>
      <c r="V304" s="106"/>
      <c r="W304" s="106"/>
      <c r="X304" s="66"/>
      <c r="Y304" s="106"/>
      <c r="Z304" s="66"/>
      <c r="AA304" s="66"/>
      <c r="AB304" s="106"/>
      <c r="AC304" s="66"/>
      <c r="AD304" s="66"/>
      <c r="AE304" s="81"/>
      <c r="AF304" s="81"/>
      <c r="AG304" s="81"/>
      <c r="AH304" s="81"/>
      <c r="AI304" s="81"/>
      <c r="AJ304" s="81"/>
      <c r="AK304" s="81"/>
    </row>
    <row r="305">
      <c r="A305" s="81"/>
      <c r="B305" s="66"/>
      <c r="C305" s="66"/>
      <c r="D305" s="66"/>
      <c r="E305" s="106"/>
      <c r="F305" s="137"/>
      <c r="G305" s="66"/>
      <c r="H305" s="147"/>
      <c r="I305" s="137"/>
      <c r="J305" s="137"/>
      <c r="K305" s="137"/>
      <c r="L305" s="66"/>
      <c r="M305" s="107"/>
      <c r="N305" s="66"/>
      <c r="O305" s="66"/>
      <c r="P305" s="66"/>
      <c r="Q305" s="172"/>
      <c r="R305" s="104"/>
      <c r="S305" s="104"/>
      <c r="T305" s="104"/>
      <c r="U305" s="104"/>
      <c r="V305" s="106"/>
      <c r="W305" s="106"/>
      <c r="X305" s="66"/>
      <c r="Y305" s="106"/>
      <c r="Z305" s="66"/>
      <c r="AA305" s="66"/>
      <c r="AB305" s="106"/>
      <c r="AC305" s="66"/>
      <c r="AD305" s="66"/>
      <c r="AE305" s="81"/>
      <c r="AF305" s="81"/>
      <c r="AG305" s="81"/>
      <c r="AH305" s="81"/>
      <c r="AI305" s="81"/>
      <c r="AJ305" s="81"/>
      <c r="AK305" s="81"/>
    </row>
    <row r="306">
      <c r="A306" s="81"/>
      <c r="B306" s="66"/>
      <c r="C306" s="66"/>
      <c r="D306" s="66"/>
      <c r="E306" s="106"/>
      <c r="F306" s="137"/>
      <c r="G306" s="66"/>
      <c r="H306" s="147"/>
      <c r="I306" s="137"/>
      <c r="J306" s="137"/>
      <c r="K306" s="137"/>
      <c r="L306" s="66"/>
      <c r="M306" s="107"/>
      <c r="N306" s="66"/>
      <c r="O306" s="66"/>
      <c r="P306" s="66"/>
      <c r="Q306" s="172"/>
      <c r="R306" s="104"/>
      <c r="S306" s="104"/>
      <c r="T306" s="104"/>
      <c r="U306" s="104"/>
      <c r="V306" s="106"/>
      <c r="W306" s="106"/>
      <c r="X306" s="66"/>
      <c r="Y306" s="106"/>
      <c r="Z306" s="66"/>
      <c r="AA306" s="66"/>
      <c r="AB306" s="106"/>
      <c r="AC306" s="66"/>
      <c r="AD306" s="66"/>
      <c r="AE306" s="81"/>
      <c r="AF306" s="81"/>
      <c r="AG306" s="81"/>
      <c r="AH306" s="81"/>
      <c r="AI306" s="81"/>
      <c r="AJ306" s="81"/>
      <c r="AK306" s="81"/>
    </row>
    <row r="307">
      <c r="A307" s="81"/>
      <c r="B307" s="66"/>
      <c r="C307" s="66"/>
      <c r="D307" s="66"/>
      <c r="E307" s="106"/>
      <c r="F307" s="137"/>
      <c r="G307" s="66"/>
      <c r="H307" s="147"/>
      <c r="I307" s="137"/>
      <c r="J307" s="137"/>
      <c r="K307" s="137"/>
      <c r="L307" s="66"/>
      <c r="M307" s="107"/>
      <c r="N307" s="66"/>
      <c r="O307" s="66"/>
      <c r="P307" s="66"/>
      <c r="Q307" s="172"/>
      <c r="R307" s="104"/>
      <c r="S307" s="104"/>
      <c r="T307" s="104"/>
      <c r="U307" s="104"/>
      <c r="V307" s="106"/>
      <c r="W307" s="106"/>
      <c r="X307" s="66"/>
      <c r="Y307" s="106"/>
      <c r="Z307" s="66"/>
      <c r="AA307" s="66"/>
      <c r="AB307" s="106"/>
      <c r="AC307" s="66"/>
      <c r="AD307" s="66"/>
      <c r="AE307" s="81"/>
      <c r="AF307" s="81"/>
      <c r="AG307" s="81"/>
      <c r="AH307" s="81"/>
      <c r="AI307" s="81"/>
      <c r="AJ307" s="81"/>
      <c r="AK307" s="81"/>
    </row>
    <row r="308">
      <c r="A308" s="81"/>
      <c r="B308" s="66"/>
      <c r="C308" s="66"/>
      <c r="D308" s="66"/>
      <c r="E308" s="106"/>
      <c r="F308" s="137"/>
      <c r="G308" s="66"/>
      <c r="H308" s="147"/>
      <c r="I308" s="137"/>
      <c r="J308" s="137"/>
      <c r="K308" s="137"/>
      <c r="L308" s="66"/>
      <c r="M308" s="107"/>
      <c r="N308" s="66"/>
      <c r="O308" s="66"/>
      <c r="P308" s="66"/>
      <c r="Q308" s="172"/>
      <c r="R308" s="104"/>
      <c r="S308" s="104"/>
      <c r="T308" s="104"/>
      <c r="U308" s="104"/>
      <c r="V308" s="106"/>
      <c r="W308" s="106"/>
      <c r="X308" s="66"/>
      <c r="Y308" s="106"/>
      <c r="Z308" s="66"/>
      <c r="AA308" s="66"/>
      <c r="AB308" s="106"/>
      <c r="AC308" s="66"/>
      <c r="AD308" s="66"/>
      <c r="AE308" s="81"/>
      <c r="AF308" s="81"/>
      <c r="AG308" s="81"/>
      <c r="AH308" s="81"/>
      <c r="AI308" s="81"/>
      <c r="AJ308" s="81"/>
      <c r="AK308" s="81"/>
    </row>
    <row r="309">
      <c r="A309" s="81"/>
      <c r="B309" s="66"/>
      <c r="C309" s="66"/>
      <c r="D309" s="66"/>
      <c r="E309" s="106"/>
      <c r="F309" s="137"/>
      <c r="G309" s="66"/>
      <c r="H309" s="147"/>
      <c r="I309" s="137"/>
      <c r="J309" s="137"/>
      <c r="K309" s="137"/>
      <c r="L309" s="66"/>
      <c r="M309" s="107"/>
      <c r="N309" s="66"/>
      <c r="O309" s="66"/>
      <c r="P309" s="66"/>
      <c r="Q309" s="172"/>
      <c r="R309" s="104"/>
      <c r="S309" s="104"/>
      <c r="T309" s="104"/>
      <c r="U309" s="104"/>
      <c r="V309" s="106"/>
      <c r="W309" s="106"/>
      <c r="X309" s="66"/>
      <c r="Y309" s="106"/>
      <c r="Z309" s="66"/>
      <c r="AA309" s="66"/>
      <c r="AB309" s="106"/>
      <c r="AC309" s="66"/>
      <c r="AD309" s="66"/>
      <c r="AE309" s="81"/>
      <c r="AF309" s="81"/>
      <c r="AG309" s="81"/>
      <c r="AH309" s="81"/>
      <c r="AI309" s="81"/>
      <c r="AJ309" s="81"/>
      <c r="AK309" s="81"/>
    </row>
    <row r="310">
      <c r="A310" s="81"/>
      <c r="B310" s="66"/>
      <c r="C310" s="66"/>
      <c r="D310" s="66"/>
      <c r="E310" s="106"/>
      <c r="F310" s="137"/>
      <c r="G310" s="66"/>
      <c r="H310" s="147"/>
      <c r="I310" s="137"/>
      <c r="J310" s="137"/>
      <c r="K310" s="137"/>
      <c r="L310" s="66"/>
      <c r="M310" s="107"/>
      <c r="N310" s="66"/>
      <c r="O310" s="66"/>
      <c r="P310" s="66"/>
      <c r="Q310" s="172"/>
      <c r="R310" s="104"/>
      <c r="S310" s="104"/>
      <c r="T310" s="104"/>
      <c r="U310" s="104"/>
      <c r="V310" s="106"/>
      <c r="W310" s="106"/>
      <c r="X310" s="66"/>
      <c r="Y310" s="106"/>
      <c r="Z310" s="66"/>
      <c r="AA310" s="66"/>
      <c r="AB310" s="106"/>
      <c r="AC310" s="66"/>
      <c r="AD310" s="66"/>
      <c r="AE310" s="81"/>
      <c r="AF310" s="81"/>
      <c r="AG310" s="81"/>
      <c r="AH310" s="81"/>
      <c r="AI310" s="81"/>
      <c r="AJ310" s="81"/>
      <c r="AK310" s="81"/>
    </row>
    <row r="311">
      <c r="A311" s="81"/>
      <c r="B311" s="66"/>
      <c r="C311" s="66"/>
      <c r="D311" s="66"/>
      <c r="E311" s="106"/>
      <c r="F311" s="137"/>
      <c r="G311" s="66"/>
      <c r="H311" s="147"/>
      <c r="I311" s="137"/>
      <c r="J311" s="137"/>
      <c r="K311" s="137"/>
      <c r="L311" s="66"/>
      <c r="M311" s="107"/>
      <c r="N311" s="66"/>
      <c r="O311" s="66"/>
      <c r="P311" s="66"/>
      <c r="Q311" s="172"/>
      <c r="R311" s="104"/>
      <c r="S311" s="104"/>
      <c r="T311" s="104"/>
      <c r="U311" s="104"/>
      <c r="V311" s="106"/>
      <c r="W311" s="106"/>
      <c r="X311" s="66"/>
      <c r="Y311" s="106"/>
      <c r="Z311" s="66"/>
      <c r="AA311" s="66"/>
      <c r="AB311" s="106"/>
      <c r="AC311" s="66"/>
      <c r="AD311" s="66"/>
      <c r="AE311" s="81"/>
      <c r="AF311" s="81"/>
      <c r="AG311" s="81"/>
      <c r="AH311" s="81"/>
      <c r="AI311" s="81"/>
      <c r="AJ311" s="81"/>
      <c r="AK311" s="81"/>
    </row>
    <row r="312">
      <c r="A312" s="81"/>
      <c r="B312" s="66"/>
      <c r="C312" s="66"/>
      <c r="D312" s="66"/>
      <c r="E312" s="106"/>
      <c r="F312" s="137"/>
      <c r="G312" s="66"/>
      <c r="H312" s="147"/>
      <c r="I312" s="137"/>
      <c r="J312" s="137"/>
      <c r="K312" s="137"/>
      <c r="L312" s="66"/>
      <c r="M312" s="107"/>
      <c r="N312" s="66"/>
      <c r="O312" s="66"/>
      <c r="P312" s="66"/>
      <c r="Q312" s="172"/>
      <c r="R312" s="104"/>
      <c r="S312" s="104"/>
      <c r="T312" s="104"/>
      <c r="U312" s="104"/>
      <c r="V312" s="106"/>
      <c r="W312" s="106"/>
      <c r="X312" s="66"/>
      <c r="Y312" s="106"/>
      <c r="Z312" s="66"/>
      <c r="AA312" s="66"/>
      <c r="AB312" s="106"/>
      <c r="AC312" s="66"/>
      <c r="AD312" s="66"/>
      <c r="AE312" s="81"/>
      <c r="AF312" s="81"/>
      <c r="AG312" s="81"/>
      <c r="AH312" s="81"/>
      <c r="AI312" s="81"/>
      <c r="AJ312" s="81"/>
      <c r="AK312" s="81"/>
    </row>
    <row r="313">
      <c r="A313" s="81"/>
      <c r="B313" s="66"/>
      <c r="C313" s="66"/>
      <c r="D313" s="66"/>
      <c r="E313" s="106"/>
      <c r="F313" s="137"/>
      <c r="G313" s="66"/>
      <c r="H313" s="147"/>
      <c r="I313" s="137"/>
      <c r="J313" s="137"/>
      <c r="K313" s="137"/>
      <c r="L313" s="66"/>
      <c r="M313" s="107"/>
      <c r="N313" s="66"/>
      <c r="O313" s="66"/>
      <c r="P313" s="66"/>
      <c r="Q313" s="172"/>
      <c r="R313" s="104"/>
      <c r="S313" s="104"/>
      <c r="T313" s="104"/>
      <c r="U313" s="104"/>
      <c r="V313" s="106"/>
      <c r="W313" s="106"/>
      <c r="X313" s="66"/>
      <c r="Y313" s="106"/>
      <c r="Z313" s="66"/>
      <c r="AA313" s="66"/>
      <c r="AB313" s="106"/>
      <c r="AC313" s="66"/>
      <c r="AD313" s="66"/>
      <c r="AE313" s="81"/>
      <c r="AF313" s="81"/>
      <c r="AG313" s="81"/>
      <c r="AH313" s="81"/>
      <c r="AI313" s="81"/>
      <c r="AJ313" s="81"/>
      <c r="AK313" s="81"/>
    </row>
    <row r="314">
      <c r="A314" s="81"/>
      <c r="B314" s="66"/>
      <c r="C314" s="66"/>
      <c r="D314" s="66"/>
      <c r="E314" s="106"/>
      <c r="F314" s="137"/>
      <c r="G314" s="66"/>
      <c r="H314" s="147"/>
      <c r="I314" s="137"/>
      <c r="J314" s="137"/>
      <c r="K314" s="137"/>
      <c r="L314" s="66"/>
      <c r="M314" s="107"/>
      <c r="N314" s="66"/>
      <c r="O314" s="66"/>
      <c r="P314" s="66"/>
      <c r="Q314" s="172"/>
      <c r="R314" s="104"/>
      <c r="S314" s="104"/>
      <c r="T314" s="104"/>
      <c r="U314" s="104"/>
      <c r="V314" s="106"/>
      <c r="W314" s="106"/>
      <c r="X314" s="66"/>
      <c r="Y314" s="106"/>
      <c r="Z314" s="66"/>
      <c r="AA314" s="66"/>
      <c r="AB314" s="106"/>
      <c r="AC314" s="66"/>
      <c r="AD314" s="66"/>
      <c r="AE314" s="81"/>
      <c r="AF314" s="81"/>
      <c r="AG314" s="81"/>
      <c r="AH314" s="81"/>
      <c r="AI314" s="81"/>
      <c r="AJ314" s="81"/>
      <c r="AK314" s="81"/>
    </row>
    <row r="315">
      <c r="A315" s="81"/>
      <c r="B315" s="66"/>
      <c r="C315" s="66"/>
      <c r="D315" s="66"/>
      <c r="E315" s="106"/>
      <c r="F315" s="137"/>
      <c r="G315" s="66"/>
      <c r="H315" s="147"/>
      <c r="I315" s="137"/>
      <c r="J315" s="137"/>
      <c r="K315" s="137"/>
      <c r="L315" s="66"/>
      <c r="M315" s="107"/>
      <c r="N315" s="66"/>
      <c r="O315" s="66"/>
      <c r="P315" s="66"/>
      <c r="Q315" s="172"/>
      <c r="R315" s="104"/>
      <c r="S315" s="104"/>
      <c r="T315" s="104"/>
      <c r="U315" s="104"/>
      <c r="V315" s="106"/>
      <c r="W315" s="106"/>
      <c r="X315" s="66"/>
      <c r="Y315" s="106"/>
      <c r="Z315" s="66"/>
      <c r="AA315" s="66"/>
      <c r="AB315" s="106"/>
      <c r="AC315" s="66"/>
      <c r="AD315" s="66"/>
      <c r="AE315" s="81"/>
      <c r="AF315" s="81"/>
      <c r="AG315" s="81"/>
      <c r="AH315" s="81"/>
      <c r="AI315" s="81"/>
      <c r="AJ315" s="81"/>
      <c r="AK315" s="81"/>
    </row>
    <row r="316">
      <c r="A316" s="81"/>
      <c r="B316" s="66"/>
      <c r="C316" s="66"/>
      <c r="D316" s="66"/>
      <c r="E316" s="106"/>
      <c r="F316" s="137"/>
      <c r="G316" s="66"/>
      <c r="H316" s="147"/>
      <c r="I316" s="137"/>
      <c r="J316" s="137"/>
      <c r="K316" s="137"/>
      <c r="L316" s="66"/>
      <c r="M316" s="107"/>
      <c r="N316" s="66"/>
      <c r="O316" s="66"/>
      <c r="P316" s="66"/>
      <c r="Q316" s="172"/>
      <c r="R316" s="104"/>
      <c r="S316" s="104"/>
      <c r="T316" s="104"/>
      <c r="U316" s="104"/>
      <c r="V316" s="106"/>
      <c r="W316" s="106"/>
      <c r="X316" s="66"/>
      <c r="Y316" s="106"/>
      <c r="Z316" s="66"/>
      <c r="AA316" s="66"/>
      <c r="AB316" s="106"/>
      <c r="AC316" s="66"/>
      <c r="AD316" s="66"/>
      <c r="AE316" s="81"/>
      <c r="AF316" s="81"/>
      <c r="AG316" s="81"/>
      <c r="AH316" s="81"/>
      <c r="AI316" s="81"/>
      <c r="AJ316" s="81"/>
      <c r="AK316" s="81"/>
    </row>
    <row r="317">
      <c r="A317" s="81"/>
      <c r="B317" s="66"/>
      <c r="C317" s="66"/>
      <c r="D317" s="66"/>
      <c r="E317" s="106"/>
      <c r="F317" s="137"/>
      <c r="G317" s="66"/>
      <c r="H317" s="147"/>
      <c r="I317" s="137"/>
      <c r="J317" s="137"/>
      <c r="K317" s="137"/>
      <c r="L317" s="66"/>
      <c r="M317" s="107"/>
      <c r="N317" s="66"/>
      <c r="O317" s="66"/>
      <c r="P317" s="66"/>
      <c r="Q317" s="172"/>
      <c r="R317" s="104"/>
      <c r="S317" s="104"/>
      <c r="T317" s="104"/>
      <c r="U317" s="104"/>
      <c r="V317" s="106"/>
      <c r="W317" s="106"/>
      <c r="X317" s="66"/>
      <c r="Y317" s="106"/>
      <c r="Z317" s="66"/>
      <c r="AA317" s="66"/>
      <c r="AB317" s="106"/>
      <c r="AC317" s="66"/>
      <c r="AD317" s="66"/>
      <c r="AE317" s="81"/>
      <c r="AF317" s="81"/>
      <c r="AG317" s="81"/>
      <c r="AH317" s="81"/>
      <c r="AI317" s="81"/>
      <c r="AJ317" s="81"/>
      <c r="AK317" s="81"/>
    </row>
    <row r="318">
      <c r="A318" s="81"/>
      <c r="B318" s="66"/>
      <c r="C318" s="66"/>
      <c r="D318" s="66"/>
      <c r="E318" s="106"/>
      <c r="F318" s="137"/>
      <c r="G318" s="66"/>
      <c r="H318" s="147"/>
      <c r="I318" s="137"/>
      <c r="J318" s="137"/>
      <c r="K318" s="137"/>
      <c r="L318" s="66"/>
      <c r="M318" s="107"/>
      <c r="N318" s="66"/>
      <c r="O318" s="66"/>
      <c r="P318" s="66"/>
      <c r="Q318" s="172"/>
      <c r="R318" s="104"/>
      <c r="S318" s="104"/>
      <c r="T318" s="104"/>
      <c r="U318" s="104"/>
      <c r="V318" s="106"/>
      <c r="W318" s="106"/>
      <c r="X318" s="66"/>
      <c r="Y318" s="106"/>
      <c r="Z318" s="66"/>
      <c r="AA318" s="66"/>
      <c r="AB318" s="106"/>
      <c r="AC318" s="66"/>
      <c r="AD318" s="66"/>
      <c r="AE318" s="81"/>
      <c r="AF318" s="81"/>
      <c r="AG318" s="81"/>
      <c r="AH318" s="81"/>
      <c r="AI318" s="81"/>
      <c r="AJ318" s="81"/>
      <c r="AK318" s="81"/>
    </row>
    <row r="319">
      <c r="A319" s="81"/>
      <c r="B319" s="66"/>
      <c r="C319" s="66"/>
      <c r="D319" s="66"/>
      <c r="E319" s="106"/>
      <c r="F319" s="137"/>
      <c r="G319" s="66"/>
      <c r="H319" s="147"/>
      <c r="I319" s="137"/>
      <c r="J319" s="137"/>
      <c r="K319" s="137"/>
      <c r="L319" s="66"/>
      <c r="M319" s="107"/>
      <c r="N319" s="66"/>
      <c r="O319" s="66"/>
      <c r="P319" s="66"/>
      <c r="Q319" s="172"/>
      <c r="R319" s="104"/>
      <c r="S319" s="104"/>
      <c r="T319" s="104"/>
      <c r="U319" s="104"/>
      <c r="V319" s="106"/>
      <c r="W319" s="106"/>
      <c r="X319" s="66"/>
      <c r="Y319" s="106"/>
      <c r="Z319" s="66"/>
      <c r="AA319" s="66"/>
      <c r="AB319" s="106"/>
      <c r="AC319" s="66"/>
      <c r="AD319" s="66"/>
      <c r="AE319" s="81"/>
      <c r="AF319" s="81"/>
      <c r="AG319" s="81"/>
      <c r="AH319" s="81"/>
      <c r="AI319" s="81"/>
      <c r="AJ319" s="81"/>
      <c r="AK319" s="81"/>
    </row>
    <row r="320">
      <c r="A320" s="81"/>
      <c r="B320" s="66"/>
      <c r="C320" s="66"/>
      <c r="D320" s="66"/>
      <c r="E320" s="106"/>
      <c r="F320" s="137"/>
      <c r="G320" s="66"/>
      <c r="H320" s="147"/>
      <c r="I320" s="137"/>
      <c r="J320" s="137"/>
      <c r="K320" s="137"/>
      <c r="L320" s="66"/>
      <c r="M320" s="107"/>
      <c r="N320" s="66"/>
      <c r="O320" s="66"/>
      <c r="P320" s="66"/>
      <c r="Q320" s="172"/>
      <c r="R320" s="104"/>
      <c r="S320" s="104"/>
      <c r="T320" s="104"/>
      <c r="U320" s="104"/>
      <c r="V320" s="106"/>
      <c r="W320" s="106"/>
      <c r="X320" s="66"/>
      <c r="Y320" s="106"/>
      <c r="Z320" s="66"/>
      <c r="AA320" s="66"/>
      <c r="AB320" s="106"/>
      <c r="AC320" s="66"/>
      <c r="AD320" s="66"/>
      <c r="AE320" s="81"/>
      <c r="AF320" s="81"/>
      <c r="AG320" s="81"/>
      <c r="AH320" s="81"/>
      <c r="AI320" s="81"/>
      <c r="AJ320" s="81"/>
      <c r="AK320" s="81"/>
    </row>
    <row r="321">
      <c r="A321" s="81"/>
      <c r="B321" s="66"/>
      <c r="C321" s="66"/>
      <c r="D321" s="66"/>
      <c r="E321" s="106"/>
      <c r="F321" s="137"/>
      <c r="G321" s="66"/>
      <c r="H321" s="147"/>
      <c r="I321" s="137"/>
      <c r="J321" s="137"/>
      <c r="K321" s="137"/>
      <c r="L321" s="66"/>
      <c r="M321" s="107"/>
      <c r="N321" s="66"/>
      <c r="O321" s="66"/>
      <c r="P321" s="66"/>
      <c r="Q321" s="172"/>
      <c r="R321" s="104"/>
      <c r="S321" s="104"/>
      <c r="T321" s="104"/>
      <c r="U321" s="104"/>
      <c r="V321" s="106"/>
      <c r="W321" s="106"/>
      <c r="X321" s="66"/>
      <c r="Y321" s="106"/>
      <c r="Z321" s="66"/>
      <c r="AA321" s="66"/>
      <c r="AB321" s="106"/>
      <c r="AC321" s="66"/>
      <c r="AD321" s="66"/>
      <c r="AE321" s="81"/>
      <c r="AF321" s="81"/>
      <c r="AG321" s="81"/>
      <c r="AH321" s="81"/>
      <c r="AI321" s="81"/>
      <c r="AJ321" s="81"/>
      <c r="AK321" s="81"/>
    </row>
    <row r="322">
      <c r="A322" s="81"/>
      <c r="B322" s="66"/>
      <c r="C322" s="66"/>
      <c r="D322" s="66"/>
      <c r="E322" s="106"/>
      <c r="F322" s="137"/>
      <c r="G322" s="66"/>
      <c r="H322" s="147"/>
      <c r="I322" s="137"/>
      <c r="J322" s="137"/>
      <c r="K322" s="137"/>
      <c r="L322" s="66"/>
      <c r="M322" s="107"/>
      <c r="N322" s="66"/>
      <c r="O322" s="66"/>
      <c r="P322" s="66"/>
      <c r="Q322" s="172"/>
      <c r="R322" s="104"/>
      <c r="S322" s="104"/>
      <c r="T322" s="104"/>
      <c r="U322" s="104"/>
      <c r="V322" s="106"/>
      <c r="W322" s="106"/>
      <c r="X322" s="66"/>
      <c r="Y322" s="106"/>
      <c r="Z322" s="66"/>
      <c r="AA322" s="66"/>
      <c r="AB322" s="106"/>
      <c r="AC322" s="66"/>
      <c r="AD322" s="66"/>
      <c r="AE322" s="81"/>
      <c r="AF322" s="81"/>
      <c r="AG322" s="81"/>
      <c r="AH322" s="81"/>
      <c r="AI322" s="81"/>
      <c r="AJ322" s="81"/>
      <c r="AK322" s="81"/>
    </row>
    <row r="323">
      <c r="A323" s="81"/>
      <c r="B323" s="66"/>
      <c r="C323" s="66"/>
      <c r="D323" s="66"/>
      <c r="E323" s="106"/>
      <c r="F323" s="137"/>
      <c r="G323" s="66"/>
      <c r="H323" s="147"/>
      <c r="I323" s="137"/>
      <c r="J323" s="137"/>
      <c r="K323" s="137"/>
      <c r="L323" s="66"/>
      <c r="M323" s="107"/>
      <c r="N323" s="66"/>
      <c r="O323" s="66"/>
      <c r="P323" s="66"/>
      <c r="Q323" s="172"/>
      <c r="R323" s="104"/>
      <c r="S323" s="104"/>
      <c r="T323" s="104"/>
      <c r="U323" s="104"/>
      <c r="V323" s="106"/>
      <c r="W323" s="106"/>
      <c r="X323" s="66"/>
      <c r="Y323" s="106"/>
      <c r="Z323" s="66"/>
      <c r="AA323" s="66"/>
      <c r="AB323" s="106"/>
      <c r="AC323" s="66"/>
      <c r="AD323" s="66"/>
      <c r="AE323" s="81"/>
      <c r="AF323" s="81"/>
      <c r="AG323" s="81"/>
      <c r="AH323" s="81"/>
      <c r="AI323" s="81"/>
      <c r="AJ323" s="81"/>
      <c r="AK323" s="81"/>
    </row>
    <row r="324">
      <c r="A324" s="81"/>
      <c r="B324" s="66"/>
      <c r="C324" s="66"/>
      <c r="D324" s="66"/>
      <c r="E324" s="106"/>
      <c r="F324" s="137"/>
      <c r="G324" s="66"/>
      <c r="H324" s="147"/>
      <c r="I324" s="137"/>
      <c r="J324" s="137"/>
      <c r="K324" s="137"/>
      <c r="L324" s="66"/>
      <c r="M324" s="107"/>
      <c r="N324" s="66"/>
      <c r="O324" s="66"/>
      <c r="P324" s="66"/>
      <c r="Q324" s="172"/>
      <c r="R324" s="104"/>
      <c r="S324" s="104"/>
      <c r="T324" s="104"/>
      <c r="U324" s="104"/>
      <c r="V324" s="106"/>
      <c r="W324" s="106"/>
      <c r="X324" s="66"/>
      <c r="Y324" s="106"/>
      <c r="Z324" s="66"/>
      <c r="AA324" s="66"/>
      <c r="AB324" s="106"/>
      <c r="AC324" s="66"/>
      <c r="AD324" s="66"/>
      <c r="AE324" s="81"/>
      <c r="AF324" s="81"/>
      <c r="AG324" s="81"/>
      <c r="AH324" s="81"/>
      <c r="AI324" s="81"/>
      <c r="AJ324" s="81"/>
      <c r="AK324" s="81"/>
    </row>
    <row r="325">
      <c r="A325" s="81"/>
      <c r="B325" s="66"/>
      <c r="C325" s="66"/>
      <c r="D325" s="66"/>
      <c r="E325" s="106"/>
      <c r="F325" s="137"/>
      <c r="G325" s="66"/>
      <c r="H325" s="147"/>
      <c r="I325" s="137"/>
      <c r="J325" s="137"/>
      <c r="K325" s="137"/>
      <c r="L325" s="66"/>
      <c r="M325" s="107"/>
      <c r="N325" s="66"/>
      <c r="O325" s="66"/>
      <c r="P325" s="66"/>
      <c r="Q325" s="172"/>
      <c r="R325" s="104"/>
      <c r="S325" s="104"/>
      <c r="T325" s="104"/>
      <c r="U325" s="104"/>
      <c r="V325" s="106"/>
      <c r="W325" s="106"/>
      <c r="X325" s="66"/>
      <c r="Y325" s="106"/>
      <c r="Z325" s="66"/>
      <c r="AA325" s="66"/>
      <c r="AB325" s="106"/>
      <c r="AC325" s="66"/>
      <c r="AD325" s="66"/>
      <c r="AE325" s="81"/>
      <c r="AF325" s="81"/>
      <c r="AG325" s="81"/>
      <c r="AH325" s="81"/>
      <c r="AI325" s="81"/>
      <c r="AJ325" s="81"/>
      <c r="AK325" s="81"/>
    </row>
    <row r="326">
      <c r="A326" s="81"/>
      <c r="B326" s="66"/>
      <c r="C326" s="66"/>
      <c r="D326" s="66"/>
      <c r="E326" s="106"/>
      <c r="F326" s="137"/>
      <c r="G326" s="66"/>
      <c r="H326" s="147"/>
      <c r="I326" s="137"/>
      <c r="J326" s="137"/>
      <c r="K326" s="137"/>
      <c r="L326" s="66"/>
      <c r="M326" s="107"/>
      <c r="N326" s="66"/>
      <c r="O326" s="66"/>
      <c r="P326" s="66"/>
      <c r="Q326" s="172"/>
      <c r="R326" s="104"/>
      <c r="S326" s="104"/>
      <c r="T326" s="104"/>
      <c r="U326" s="104"/>
      <c r="V326" s="106"/>
      <c r="W326" s="106"/>
      <c r="X326" s="66"/>
      <c r="Y326" s="106"/>
      <c r="Z326" s="66"/>
      <c r="AA326" s="66"/>
      <c r="AB326" s="106"/>
      <c r="AC326" s="66"/>
      <c r="AD326" s="66"/>
      <c r="AE326" s="81"/>
      <c r="AF326" s="81"/>
      <c r="AG326" s="81"/>
      <c r="AH326" s="81"/>
      <c r="AI326" s="81"/>
      <c r="AJ326" s="81"/>
      <c r="AK326" s="81"/>
    </row>
    <row r="327">
      <c r="A327" s="81"/>
      <c r="B327" s="66"/>
      <c r="C327" s="66"/>
      <c r="D327" s="66"/>
      <c r="E327" s="106"/>
      <c r="F327" s="137"/>
      <c r="G327" s="66"/>
      <c r="H327" s="147"/>
      <c r="I327" s="137"/>
      <c r="J327" s="137"/>
      <c r="K327" s="137"/>
      <c r="L327" s="66"/>
      <c r="M327" s="107"/>
      <c r="N327" s="66"/>
      <c r="O327" s="66"/>
      <c r="P327" s="66"/>
      <c r="Q327" s="172"/>
      <c r="R327" s="104"/>
      <c r="S327" s="104"/>
      <c r="T327" s="104"/>
      <c r="U327" s="104"/>
      <c r="V327" s="106"/>
      <c r="W327" s="106"/>
      <c r="X327" s="66"/>
      <c r="Y327" s="106"/>
      <c r="Z327" s="66"/>
      <c r="AA327" s="66"/>
      <c r="AB327" s="106"/>
      <c r="AC327" s="66"/>
      <c r="AD327" s="66"/>
      <c r="AE327" s="81"/>
      <c r="AF327" s="81"/>
      <c r="AG327" s="81"/>
      <c r="AH327" s="81"/>
      <c r="AI327" s="81"/>
      <c r="AJ327" s="81"/>
      <c r="AK327" s="81"/>
    </row>
    <row r="328">
      <c r="A328" s="81"/>
      <c r="B328" s="66"/>
      <c r="C328" s="66"/>
      <c r="D328" s="66"/>
      <c r="E328" s="106"/>
      <c r="F328" s="137"/>
      <c r="G328" s="66"/>
      <c r="H328" s="147"/>
      <c r="I328" s="137"/>
      <c r="J328" s="137"/>
      <c r="K328" s="137"/>
      <c r="L328" s="66"/>
      <c r="M328" s="107"/>
      <c r="N328" s="66"/>
      <c r="O328" s="66"/>
      <c r="P328" s="66"/>
      <c r="Q328" s="172"/>
      <c r="R328" s="104"/>
      <c r="S328" s="104"/>
      <c r="T328" s="104"/>
      <c r="U328" s="104"/>
      <c r="V328" s="106"/>
      <c r="W328" s="106"/>
      <c r="X328" s="66"/>
      <c r="Y328" s="106"/>
      <c r="Z328" s="66"/>
      <c r="AA328" s="66"/>
      <c r="AB328" s="106"/>
      <c r="AC328" s="66"/>
      <c r="AD328" s="66"/>
      <c r="AE328" s="81"/>
      <c r="AF328" s="81"/>
      <c r="AG328" s="81"/>
      <c r="AH328" s="81"/>
      <c r="AI328" s="81"/>
      <c r="AJ328" s="81"/>
      <c r="AK328" s="81"/>
    </row>
    <row r="329">
      <c r="A329" s="81"/>
      <c r="B329" s="66"/>
      <c r="C329" s="66"/>
      <c r="D329" s="66"/>
      <c r="E329" s="106"/>
      <c r="F329" s="137"/>
      <c r="G329" s="66"/>
      <c r="H329" s="147"/>
      <c r="I329" s="137"/>
      <c r="J329" s="137"/>
      <c r="K329" s="137"/>
      <c r="L329" s="66"/>
      <c r="M329" s="107"/>
      <c r="N329" s="66"/>
      <c r="O329" s="66"/>
      <c r="P329" s="66"/>
      <c r="Q329" s="172"/>
      <c r="R329" s="104"/>
      <c r="S329" s="104"/>
      <c r="T329" s="104"/>
      <c r="U329" s="104"/>
      <c r="V329" s="106"/>
      <c r="W329" s="106"/>
      <c r="X329" s="66"/>
      <c r="Y329" s="106"/>
      <c r="Z329" s="66"/>
      <c r="AA329" s="66"/>
      <c r="AB329" s="106"/>
      <c r="AC329" s="66"/>
      <c r="AD329" s="66"/>
      <c r="AE329" s="81"/>
      <c r="AF329" s="81"/>
      <c r="AG329" s="81"/>
      <c r="AH329" s="81"/>
      <c r="AI329" s="81"/>
      <c r="AJ329" s="81"/>
      <c r="AK329" s="81"/>
    </row>
    <row r="330">
      <c r="A330" s="81"/>
      <c r="B330" s="66"/>
      <c r="C330" s="66"/>
      <c r="D330" s="66"/>
      <c r="E330" s="106"/>
      <c r="F330" s="137"/>
      <c r="G330" s="66"/>
      <c r="H330" s="147"/>
      <c r="I330" s="137"/>
      <c r="J330" s="137"/>
      <c r="K330" s="137"/>
      <c r="L330" s="66"/>
      <c r="M330" s="107"/>
      <c r="N330" s="66"/>
      <c r="O330" s="66"/>
      <c r="P330" s="66"/>
      <c r="Q330" s="172"/>
      <c r="R330" s="104"/>
      <c r="S330" s="104"/>
      <c r="T330" s="104"/>
      <c r="U330" s="104"/>
      <c r="V330" s="106"/>
      <c r="W330" s="106"/>
      <c r="X330" s="66"/>
      <c r="Y330" s="106"/>
      <c r="Z330" s="66"/>
      <c r="AA330" s="66"/>
      <c r="AB330" s="106"/>
      <c r="AC330" s="66"/>
      <c r="AD330" s="66"/>
      <c r="AE330" s="81"/>
      <c r="AF330" s="81"/>
      <c r="AG330" s="81"/>
      <c r="AH330" s="81"/>
      <c r="AI330" s="81"/>
      <c r="AJ330" s="81"/>
      <c r="AK330" s="81"/>
    </row>
    <row r="331">
      <c r="A331" s="81"/>
      <c r="B331" s="66"/>
      <c r="C331" s="66"/>
      <c r="D331" s="66"/>
      <c r="E331" s="106"/>
      <c r="F331" s="137"/>
      <c r="G331" s="66"/>
      <c r="H331" s="147"/>
      <c r="I331" s="137"/>
      <c r="J331" s="137"/>
      <c r="K331" s="137"/>
      <c r="L331" s="66"/>
      <c r="M331" s="107"/>
      <c r="N331" s="66"/>
      <c r="O331" s="66"/>
      <c r="P331" s="66"/>
      <c r="Q331" s="172"/>
      <c r="R331" s="104"/>
      <c r="S331" s="104"/>
      <c r="T331" s="104"/>
      <c r="U331" s="104"/>
      <c r="V331" s="106"/>
      <c r="W331" s="106"/>
      <c r="X331" s="66"/>
      <c r="Y331" s="106"/>
      <c r="Z331" s="66"/>
      <c r="AA331" s="66"/>
      <c r="AB331" s="106"/>
      <c r="AC331" s="66"/>
      <c r="AD331" s="66"/>
      <c r="AE331" s="81"/>
      <c r="AF331" s="81"/>
      <c r="AG331" s="81"/>
      <c r="AH331" s="81"/>
      <c r="AI331" s="81"/>
      <c r="AJ331" s="81"/>
      <c r="AK331" s="81"/>
    </row>
    <row r="332">
      <c r="A332" s="81"/>
      <c r="B332" s="66"/>
      <c r="C332" s="66"/>
      <c r="D332" s="66"/>
      <c r="E332" s="106"/>
      <c r="F332" s="137"/>
      <c r="G332" s="66"/>
      <c r="H332" s="147"/>
      <c r="I332" s="137"/>
      <c r="J332" s="137"/>
      <c r="K332" s="137"/>
      <c r="L332" s="66"/>
      <c r="M332" s="107"/>
      <c r="N332" s="66"/>
      <c r="O332" s="66"/>
      <c r="P332" s="66"/>
      <c r="Q332" s="172"/>
      <c r="R332" s="104"/>
      <c r="S332" s="104"/>
      <c r="T332" s="104"/>
      <c r="U332" s="104"/>
      <c r="V332" s="106"/>
      <c r="W332" s="106"/>
      <c r="X332" s="66"/>
      <c r="Y332" s="106"/>
      <c r="Z332" s="66"/>
      <c r="AA332" s="66"/>
      <c r="AB332" s="106"/>
      <c r="AC332" s="66"/>
      <c r="AD332" s="66"/>
      <c r="AE332" s="81"/>
      <c r="AF332" s="81"/>
      <c r="AG332" s="81"/>
      <c r="AH332" s="81"/>
      <c r="AI332" s="81"/>
      <c r="AJ332" s="81"/>
      <c r="AK332" s="81"/>
    </row>
    <row r="333">
      <c r="A333" s="81"/>
      <c r="B333" s="66"/>
      <c r="C333" s="66"/>
      <c r="D333" s="66"/>
      <c r="E333" s="106"/>
      <c r="F333" s="137"/>
      <c r="G333" s="66"/>
      <c r="H333" s="147"/>
      <c r="I333" s="137"/>
      <c r="J333" s="137"/>
      <c r="K333" s="137"/>
      <c r="L333" s="66"/>
      <c r="M333" s="107"/>
      <c r="N333" s="66"/>
      <c r="O333" s="66"/>
      <c r="P333" s="66"/>
      <c r="Q333" s="172"/>
      <c r="R333" s="104"/>
      <c r="S333" s="104"/>
      <c r="T333" s="104"/>
      <c r="U333" s="104"/>
      <c r="V333" s="106"/>
      <c r="W333" s="106"/>
      <c r="X333" s="66"/>
      <c r="Y333" s="106"/>
      <c r="Z333" s="66"/>
      <c r="AA333" s="66"/>
      <c r="AB333" s="106"/>
      <c r="AC333" s="66"/>
      <c r="AD333" s="66"/>
      <c r="AE333" s="81"/>
      <c r="AF333" s="81"/>
      <c r="AG333" s="81"/>
      <c r="AH333" s="81"/>
      <c r="AI333" s="81"/>
      <c r="AJ333" s="81"/>
      <c r="AK333" s="81"/>
    </row>
    <row r="334">
      <c r="A334" s="81"/>
      <c r="B334" s="66"/>
      <c r="C334" s="66"/>
      <c r="D334" s="66"/>
      <c r="E334" s="106"/>
      <c r="F334" s="137"/>
      <c r="G334" s="66"/>
      <c r="H334" s="147"/>
      <c r="I334" s="137"/>
      <c r="J334" s="137"/>
      <c r="K334" s="137"/>
      <c r="L334" s="66"/>
      <c r="M334" s="107"/>
      <c r="N334" s="66"/>
      <c r="O334" s="66"/>
      <c r="P334" s="66"/>
      <c r="Q334" s="172"/>
      <c r="R334" s="104"/>
      <c r="S334" s="104"/>
      <c r="T334" s="104"/>
      <c r="U334" s="104"/>
      <c r="V334" s="106"/>
      <c r="W334" s="106"/>
      <c r="X334" s="66"/>
      <c r="Y334" s="106"/>
      <c r="Z334" s="66"/>
      <c r="AA334" s="66"/>
      <c r="AB334" s="106"/>
      <c r="AC334" s="66"/>
      <c r="AD334" s="66"/>
      <c r="AE334" s="81"/>
      <c r="AF334" s="81"/>
      <c r="AG334" s="81"/>
      <c r="AH334" s="81"/>
      <c r="AI334" s="81"/>
      <c r="AJ334" s="81"/>
      <c r="AK334" s="81"/>
    </row>
    <row r="335">
      <c r="A335" s="81"/>
      <c r="B335" s="66"/>
      <c r="C335" s="66"/>
      <c r="D335" s="66"/>
      <c r="E335" s="106"/>
      <c r="F335" s="137"/>
      <c r="G335" s="66"/>
      <c r="H335" s="147"/>
      <c r="I335" s="137"/>
      <c r="J335" s="137"/>
      <c r="K335" s="137"/>
      <c r="L335" s="66"/>
      <c r="M335" s="107"/>
      <c r="N335" s="66"/>
      <c r="O335" s="66"/>
      <c r="P335" s="66"/>
      <c r="Q335" s="172"/>
      <c r="R335" s="104"/>
      <c r="S335" s="104"/>
      <c r="T335" s="104"/>
      <c r="U335" s="104"/>
      <c r="V335" s="106"/>
      <c r="W335" s="106"/>
      <c r="X335" s="66"/>
      <c r="Y335" s="106"/>
      <c r="Z335" s="66"/>
      <c r="AA335" s="66"/>
      <c r="AB335" s="106"/>
      <c r="AC335" s="66"/>
      <c r="AD335" s="66"/>
      <c r="AE335" s="81"/>
      <c r="AF335" s="81"/>
      <c r="AG335" s="81"/>
      <c r="AH335" s="81"/>
      <c r="AI335" s="81"/>
      <c r="AJ335" s="81"/>
      <c r="AK335" s="81"/>
    </row>
    <row r="336">
      <c r="A336" s="81"/>
      <c r="B336" s="66"/>
      <c r="C336" s="66"/>
      <c r="D336" s="66"/>
      <c r="E336" s="106"/>
      <c r="F336" s="137"/>
      <c r="G336" s="66"/>
      <c r="H336" s="147"/>
      <c r="I336" s="137"/>
      <c r="J336" s="137"/>
      <c r="K336" s="137"/>
      <c r="L336" s="66"/>
      <c r="M336" s="107"/>
      <c r="N336" s="66"/>
      <c r="O336" s="66"/>
      <c r="P336" s="66"/>
      <c r="Q336" s="172"/>
      <c r="R336" s="104"/>
      <c r="S336" s="104"/>
      <c r="T336" s="104"/>
      <c r="U336" s="104"/>
      <c r="V336" s="106"/>
      <c r="W336" s="106"/>
      <c r="X336" s="66"/>
      <c r="Y336" s="106"/>
      <c r="Z336" s="66"/>
      <c r="AA336" s="66"/>
      <c r="AB336" s="106"/>
      <c r="AC336" s="66"/>
      <c r="AD336" s="66"/>
      <c r="AE336" s="81"/>
      <c r="AF336" s="81"/>
      <c r="AG336" s="81"/>
      <c r="AH336" s="81"/>
      <c r="AI336" s="81"/>
      <c r="AJ336" s="81"/>
      <c r="AK336" s="81"/>
    </row>
    <row r="337">
      <c r="A337" s="81"/>
      <c r="B337" s="66"/>
      <c r="C337" s="66"/>
      <c r="D337" s="66"/>
      <c r="E337" s="106"/>
      <c r="F337" s="137"/>
      <c r="G337" s="66"/>
      <c r="H337" s="147"/>
      <c r="I337" s="137"/>
      <c r="J337" s="137"/>
      <c r="K337" s="137"/>
      <c r="L337" s="66"/>
      <c r="M337" s="107"/>
      <c r="N337" s="66"/>
      <c r="O337" s="66"/>
      <c r="P337" s="66"/>
      <c r="Q337" s="172"/>
      <c r="R337" s="104"/>
      <c r="S337" s="104"/>
      <c r="T337" s="104"/>
      <c r="U337" s="104"/>
      <c r="V337" s="106"/>
      <c r="W337" s="106"/>
      <c r="X337" s="66"/>
      <c r="Y337" s="106"/>
      <c r="Z337" s="66"/>
      <c r="AA337" s="66"/>
      <c r="AB337" s="106"/>
      <c r="AC337" s="66"/>
      <c r="AD337" s="66"/>
      <c r="AE337" s="81"/>
      <c r="AF337" s="81"/>
      <c r="AG337" s="81"/>
      <c r="AH337" s="81"/>
      <c r="AI337" s="81"/>
      <c r="AJ337" s="81"/>
      <c r="AK337" s="81"/>
    </row>
    <row r="338">
      <c r="A338" s="81"/>
      <c r="B338" s="66"/>
      <c r="C338" s="66"/>
      <c r="D338" s="66"/>
      <c r="E338" s="106"/>
      <c r="F338" s="137"/>
      <c r="G338" s="66"/>
      <c r="H338" s="147"/>
      <c r="I338" s="137"/>
      <c r="J338" s="137"/>
      <c r="K338" s="137"/>
      <c r="L338" s="66"/>
      <c r="M338" s="107"/>
      <c r="N338" s="66"/>
      <c r="O338" s="66"/>
      <c r="P338" s="66"/>
      <c r="Q338" s="172"/>
      <c r="R338" s="104"/>
      <c r="S338" s="104"/>
      <c r="T338" s="104"/>
      <c r="U338" s="104"/>
      <c r="V338" s="106"/>
      <c r="W338" s="106"/>
      <c r="X338" s="66"/>
      <c r="Y338" s="106"/>
      <c r="Z338" s="66"/>
      <c r="AA338" s="66"/>
      <c r="AB338" s="106"/>
      <c r="AC338" s="66"/>
      <c r="AD338" s="66"/>
      <c r="AE338" s="81"/>
      <c r="AF338" s="81"/>
      <c r="AG338" s="81"/>
      <c r="AH338" s="81"/>
      <c r="AI338" s="81"/>
      <c r="AJ338" s="81"/>
      <c r="AK338" s="81"/>
    </row>
    <row r="339">
      <c r="A339" s="81"/>
      <c r="B339" s="66"/>
      <c r="C339" s="66"/>
      <c r="D339" s="66"/>
      <c r="E339" s="106"/>
      <c r="F339" s="137"/>
      <c r="G339" s="66"/>
      <c r="H339" s="147"/>
      <c r="I339" s="137"/>
      <c r="J339" s="137"/>
      <c r="K339" s="137"/>
      <c r="L339" s="66"/>
      <c r="M339" s="107"/>
      <c r="N339" s="66"/>
      <c r="O339" s="66"/>
      <c r="P339" s="66"/>
      <c r="Q339" s="172"/>
      <c r="R339" s="104"/>
      <c r="S339" s="104"/>
      <c r="T339" s="104"/>
      <c r="U339" s="104"/>
      <c r="V339" s="106"/>
      <c r="W339" s="106"/>
      <c r="X339" s="66"/>
      <c r="Y339" s="106"/>
      <c r="Z339" s="66"/>
      <c r="AA339" s="66"/>
      <c r="AB339" s="106"/>
      <c r="AC339" s="66"/>
      <c r="AD339" s="66"/>
      <c r="AE339" s="81"/>
      <c r="AF339" s="81"/>
      <c r="AG339" s="81"/>
      <c r="AH339" s="81"/>
      <c r="AI339" s="81"/>
      <c r="AJ339" s="81"/>
      <c r="AK339" s="81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81"/>
      <c r="S340" s="81"/>
      <c r="T340" s="81"/>
      <c r="U340" s="81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81"/>
      <c r="S341" s="81"/>
      <c r="T341" s="81"/>
      <c r="U341" s="81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81"/>
      <c r="S342" s="81"/>
      <c r="T342" s="81"/>
      <c r="U342" s="81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81"/>
      <c r="S343" s="81"/>
      <c r="T343" s="81"/>
      <c r="U343" s="81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81"/>
      <c r="S344" s="81"/>
      <c r="T344" s="81"/>
      <c r="U344" s="81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81"/>
      <c r="S345" s="81"/>
      <c r="T345" s="81"/>
      <c r="U345" s="81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81"/>
      <c r="S346" s="81"/>
      <c r="T346" s="81"/>
      <c r="U346" s="81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81"/>
      <c r="S347" s="81"/>
      <c r="T347" s="81"/>
      <c r="U347" s="81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81"/>
      <c r="S348" s="81"/>
      <c r="T348" s="81"/>
      <c r="U348" s="81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81"/>
      <c r="S349" s="81"/>
      <c r="T349" s="81"/>
      <c r="U349" s="81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81"/>
      <c r="S350" s="81"/>
      <c r="T350" s="81"/>
      <c r="U350" s="81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81"/>
      <c r="S351" s="81"/>
      <c r="T351" s="81"/>
      <c r="U351" s="81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81"/>
      <c r="S352" s="81"/>
      <c r="T352" s="81"/>
      <c r="U352" s="81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81"/>
      <c r="S353" s="81"/>
      <c r="T353" s="81"/>
      <c r="U353" s="81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81"/>
      <c r="S354" s="81"/>
      <c r="T354" s="81"/>
      <c r="U354" s="81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81"/>
      <c r="S355" s="81"/>
      <c r="T355" s="81"/>
      <c r="U355" s="81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81"/>
      <c r="S356" s="81"/>
      <c r="T356" s="81"/>
      <c r="U356" s="81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81"/>
      <c r="S357" s="81"/>
      <c r="T357" s="81"/>
      <c r="U357" s="81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81"/>
      <c r="S358" s="81"/>
      <c r="T358" s="81"/>
      <c r="U358" s="81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81"/>
      <c r="S359" s="81"/>
      <c r="T359" s="81"/>
      <c r="U359" s="81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81"/>
      <c r="S360" s="81"/>
      <c r="T360" s="81"/>
      <c r="U360" s="81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81"/>
      <c r="S361" s="81"/>
      <c r="T361" s="81"/>
      <c r="U361" s="81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81"/>
      <c r="S362" s="81"/>
      <c r="T362" s="81"/>
      <c r="U362" s="81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81"/>
      <c r="S363" s="81"/>
      <c r="T363" s="81"/>
      <c r="U363" s="81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81"/>
      <c r="S364" s="81"/>
      <c r="T364" s="81"/>
      <c r="U364" s="81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81"/>
      <c r="S365" s="81"/>
      <c r="T365" s="81"/>
      <c r="U365" s="81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81"/>
      <c r="S366" s="81"/>
      <c r="T366" s="81"/>
      <c r="U366" s="81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81"/>
      <c r="S367" s="81"/>
      <c r="T367" s="81"/>
      <c r="U367" s="81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81"/>
      <c r="S368" s="81"/>
      <c r="T368" s="81"/>
      <c r="U368" s="81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81"/>
      <c r="S369" s="81"/>
      <c r="T369" s="81"/>
      <c r="U369" s="81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81"/>
      <c r="S370" s="81"/>
      <c r="T370" s="81"/>
      <c r="U370" s="81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81"/>
      <c r="S371" s="81"/>
      <c r="T371" s="81"/>
      <c r="U371" s="81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81"/>
      <c r="S372" s="81"/>
      <c r="T372" s="81"/>
      <c r="U372" s="81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81"/>
      <c r="S373" s="81"/>
      <c r="T373" s="81"/>
      <c r="U373" s="81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81"/>
      <c r="S374" s="81"/>
      <c r="T374" s="81"/>
      <c r="U374" s="81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81"/>
      <c r="S375" s="81"/>
      <c r="T375" s="81"/>
      <c r="U375" s="81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81"/>
      <c r="S376" s="81"/>
      <c r="T376" s="81"/>
      <c r="U376" s="81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81"/>
      <c r="S377" s="81"/>
      <c r="T377" s="81"/>
      <c r="U377" s="81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81"/>
      <c r="S378" s="81"/>
      <c r="T378" s="81"/>
      <c r="U378" s="81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81"/>
      <c r="S379" s="81"/>
      <c r="T379" s="81"/>
      <c r="U379" s="81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81"/>
      <c r="S380" s="81"/>
      <c r="T380" s="81"/>
      <c r="U380" s="81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81"/>
      <c r="S381" s="81"/>
      <c r="T381" s="81"/>
      <c r="U381" s="81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81"/>
      <c r="S382" s="81"/>
      <c r="T382" s="81"/>
      <c r="U382" s="81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81"/>
      <c r="S383" s="81"/>
      <c r="T383" s="81"/>
      <c r="U383" s="81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81"/>
      <c r="S384" s="81"/>
      <c r="T384" s="81"/>
      <c r="U384" s="81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81"/>
      <c r="S385" s="81"/>
      <c r="T385" s="81"/>
      <c r="U385" s="81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81"/>
      <c r="S386" s="81"/>
      <c r="T386" s="81"/>
      <c r="U386" s="81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81"/>
      <c r="S387" s="81"/>
      <c r="T387" s="81"/>
      <c r="U387" s="81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81"/>
      <c r="S388" s="81"/>
      <c r="T388" s="81"/>
      <c r="U388" s="81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81"/>
      <c r="S389" s="81"/>
      <c r="T389" s="81"/>
      <c r="U389" s="81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81"/>
      <c r="S390" s="81"/>
      <c r="T390" s="81"/>
      <c r="U390" s="81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81"/>
      <c r="S391" s="81"/>
      <c r="T391" s="81"/>
      <c r="U391" s="81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81"/>
      <c r="S392" s="81"/>
      <c r="T392" s="81"/>
      <c r="U392" s="81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81"/>
      <c r="S393" s="81"/>
      <c r="T393" s="81"/>
      <c r="U393" s="81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81"/>
      <c r="S394" s="81"/>
      <c r="T394" s="81"/>
      <c r="U394" s="81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81"/>
      <c r="S395" s="81"/>
      <c r="T395" s="81"/>
      <c r="U395" s="81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81"/>
      <c r="S396" s="81"/>
      <c r="T396" s="81"/>
      <c r="U396" s="81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81"/>
      <c r="S397" s="81"/>
      <c r="T397" s="81"/>
      <c r="U397" s="81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81"/>
      <c r="S398" s="81"/>
      <c r="T398" s="81"/>
      <c r="U398" s="81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81"/>
      <c r="S399" s="81"/>
      <c r="T399" s="81"/>
      <c r="U399" s="81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81"/>
      <c r="S400" s="81"/>
      <c r="T400" s="81"/>
      <c r="U400" s="81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81"/>
      <c r="S401" s="81"/>
      <c r="T401" s="81"/>
      <c r="U401" s="81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81"/>
      <c r="S402" s="81"/>
      <c r="T402" s="81"/>
      <c r="U402" s="81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81"/>
      <c r="S403" s="81"/>
      <c r="T403" s="81"/>
      <c r="U403" s="81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81"/>
      <c r="S404" s="81"/>
      <c r="T404" s="81"/>
      <c r="U404" s="81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81"/>
      <c r="S405" s="81"/>
      <c r="T405" s="81"/>
      <c r="U405" s="81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81"/>
      <c r="S406" s="81"/>
      <c r="T406" s="81"/>
      <c r="U406" s="81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81"/>
      <c r="S407" s="81"/>
      <c r="T407" s="81"/>
      <c r="U407" s="81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81"/>
      <c r="S408" s="81"/>
      <c r="T408" s="81"/>
      <c r="U408" s="81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81"/>
      <c r="S409" s="81"/>
      <c r="T409" s="81"/>
      <c r="U409" s="81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81"/>
      <c r="S410" s="81"/>
      <c r="T410" s="81"/>
      <c r="U410" s="81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81"/>
      <c r="S411" s="81"/>
      <c r="T411" s="81"/>
      <c r="U411" s="81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81"/>
      <c r="S412" s="81"/>
      <c r="T412" s="81"/>
      <c r="U412" s="81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81"/>
      <c r="S413" s="81"/>
      <c r="T413" s="81"/>
      <c r="U413" s="81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81"/>
      <c r="S414" s="81"/>
      <c r="T414" s="81"/>
      <c r="U414" s="81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81"/>
      <c r="S415" s="81"/>
      <c r="T415" s="81"/>
      <c r="U415" s="81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81"/>
      <c r="S416" s="81"/>
      <c r="T416" s="81"/>
      <c r="U416" s="81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81"/>
      <c r="S417" s="81"/>
      <c r="T417" s="81"/>
      <c r="U417" s="81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81"/>
      <c r="S418" s="81"/>
      <c r="T418" s="81"/>
      <c r="U418" s="81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81"/>
      <c r="S419" s="81"/>
      <c r="T419" s="81"/>
      <c r="U419" s="81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81"/>
      <c r="S420" s="81"/>
      <c r="T420" s="81"/>
      <c r="U420" s="81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81"/>
      <c r="S421" s="81"/>
      <c r="T421" s="81"/>
      <c r="U421" s="81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81"/>
      <c r="S422" s="81"/>
      <c r="T422" s="81"/>
      <c r="U422" s="81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81"/>
      <c r="S423" s="81"/>
      <c r="T423" s="81"/>
      <c r="U423" s="81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81"/>
      <c r="S424" s="81"/>
      <c r="T424" s="81"/>
      <c r="U424" s="81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81"/>
      <c r="S425" s="81"/>
      <c r="T425" s="81"/>
      <c r="U425" s="81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81"/>
      <c r="S426" s="81"/>
      <c r="T426" s="81"/>
      <c r="U426" s="81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81"/>
      <c r="S427" s="81"/>
      <c r="T427" s="81"/>
      <c r="U427" s="81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81"/>
      <c r="S428" s="81"/>
      <c r="T428" s="81"/>
      <c r="U428" s="81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81"/>
      <c r="S429" s="81"/>
      <c r="T429" s="81"/>
      <c r="U429" s="81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81"/>
      <c r="S430" s="81"/>
      <c r="T430" s="81"/>
      <c r="U430" s="81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81"/>
      <c r="S431" s="81"/>
      <c r="T431" s="81"/>
      <c r="U431" s="81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81"/>
      <c r="S432" s="81"/>
      <c r="T432" s="81"/>
      <c r="U432" s="81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81"/>
      <c r="S433" s="81"/>
      <c r="T433" s="81"/>
      <c r="U433" s="81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81"/>
      <c r="S434" s="81"/>
      <c r="T434" s="81"/>
      <c r="U434" s="81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81"/>
      <c r="S435" s="81"/>
      <c r="T435" s="81"/>
      <c r="U435" s="81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81"/>
      <c r="S436" s="81"/>
      <c r="T436" s="81"/>
      <c r="U436" s="81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81"/>
      <c r="S437" s="81"/>
      <c r="T437" s="81"/>
      <c r="U437" s="81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81"/>
      <c r="S438" s="81"/>
      <c r="T438" s="81"/>
      <c r="U438" s="81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81"/>
      <c r="S439" s="81"/>
      <c r="T439" s="81"/>
      <c r="U439" s="81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81"/>
      <c r="S440" s="81"/>
      <c r="T440" s="81"/>
      <c r="U440" s="81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81"/>
      <c r="S441" s="81"/>
      <c r="T441" s="81"/>
      <c r="U441" s="81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81"/>
      <c r="S442" s="81"/>
      <c r="T442" s="81"/>
      <c r="U442" s="81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81"/>
      <c r="S443" s="81"/>
      <c r="T443" s="81"/>
      <c r="U443" s="81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81"/>
      <c r="S444" s="81"/>
      <c r="T444" s="81"/>
      <c r="U444" s="81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81"/>
      <c r="S445" s="81"/>
      <c r="T445" s="81"/>
      <c r="U445" s="81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81"/>
      <c r="S446" s="81"/>
      <c r="T446" s="81"/>
      <c r="U446" s="81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81"/>
      <c r="S447" s="81"/>
      <c r="T447" s="81"/>
      <c r="U447" s="81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81"/>
      <c r="S448" s="81"/>
      <c r="T448" s="81"/>
      <c r="U448" s="81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81"/>
      <c r="S449" s="81"/>
      <c r="T449" s="81"/>
      <c r="U449" s="81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81"/>
      <c r="S450" s="81"/>
      <c r="T450" s="81"/>
      <c r="U450" s="81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81"/>
      <c r="S451" s="81"/>
      <c r="T451" s="81"/>
      <c r="U451" s="81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81"/>
      <c r="S452" s="81"/>
      <c r="T452" s="81"/>
      <c r="U452" s="81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81"/>
      <c r="S453" s="81"/>
      <c r="T453" s="81"/>
      <c r="U453" s="81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81"/>
      <c r="S454" s="81"/>
      <c r="T454" s="81"/>
      <c r="U454" s="81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81"/>
      <c r="S455" s="81"/>
      <c r="T455" s="81"/>
      <c r="U455" s="81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81"/>
      <c r="S456" s="81"/>
      <c r="T456" s="81"/>
      <c r="U456" s="81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81"/>
      <c r="S457" s="81"/>
      <c r="T457" s="81"/>
      <c r="U457" s="81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81"/>
      <c r="S458" s="81"/>
      <c r="T458" s="81"/>
      <c r="U458" s="81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81"/>
      <c r="S459" s="81"/>
      <c r="T459" s="81"/>
      <c r="U459" s="81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81"/>
      <c r="S460" s="81"/>
      <c r="T460" s="81"/>
      <c r="U460" s="81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81"/>
      <c r="S461" s="81"/>
      <c r="T461" s="81"/>
      <c r="U461" s="81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81"/>
      <c r="S462" s="81"/>
      <c r="T462" s="81"/>
      <c r="U462" s="81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81"/>
      <c r="S463" s="81"/>
      <c r="T463" s="81"/>
      <c r="U463" s="81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81"/>
      <c r="S464" s="81"/>
      <c r="T464" s="81"/>
      <c r="U464" s="81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81"/>
      <c r="S465" s="81"/>
      <c r="T465" s="81"/>
      <c r="U465" s="81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81"/>
      <c r="S466" s="81"/>
      <c r="T466" s="81"/>
      <c r="U466" s="81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81"/>
      <c r="S467" s="81"/>
      <c r="T467" s="81"/>
      <c r="U467" s="81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81"/>
      <c r="S468" s="81"/>
      <c r="T468" s="81"/>
      <c r="U468" s="81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81"/>
      <c r="S469" s="81"/>
      <c r="T469" s="81"/>
      <c r="U469" s="81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81"/>
      <c r="S470" s="81"/>
      <c r="T470" s="81"/>
      <c r="U470" s="81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81"/>
      <c r="S471" s="81"/>
      <c r="T471" s="81"/>
      <c r="U471" s="81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81"/>
      <c r="S472" s="81"/>
      <c r="T472" s="81"/>
      <c r="U472" s="81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81"/>
      <c r="S473" s="81"/>
      <c r="T473" s="81"/>
      <c r="U473" s="81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81"/>
      <c r="S474" s="81"/>
      <c r="T474" s="81"/>
      <c r="U474" s="81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81"/>
      <c r="S475" s="81"/>
      <c r="T475" s="81"/>
      <c r="U475" s="81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81"/>
      <c r="S476" s="81"/>
      <c r="T476" s="81"/>
      <c r="U476" s="81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81"/>
      <c r="S477" s="81"/>
      <c r="T477" s="81"/>
      <c r="U477" s="81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81"/>
      <c r="S478" s="81"/>
      <c r="T478" s="81"/>
      <c r="U478" s="81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81"/>
      <c r="S479" s="81"/>
      <c r="T479" s="81"/>
      <c r="U479" s="81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81"/>
      <c r="S480" s="81"/>
      <c r="T480" s="81"/>
      <c r="U480" s="81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81"/>
      <c r="S481" s="81"/>
      <c r="T481" s="81"/>
      <c r="U481" s="81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81"/>
      <c r="S482" s="81"/>
      <c r="T482" s="81"/>
      <c r="U482" s="81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81"/>
      <c r="S483" s="81"/>
      <c r="T483" s="81"/>
      <c r="U483" s="81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81"/>
      <c r="S484" s="81"/>
      <c r="T484" s="81"/>
      <c r="U484" s="81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81"/>
      <c r="S485" s="81"/>
      <c r="T485" s="81"/>
      <c r="U485" s="81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81"/>
      <c r="S486" s="81"/>
      <c r="T486" s="81"/>
      <c r="U486" s="81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81"/>
      <c r="S487" s="81"/>
      <c r="T487" s="81"/>
      <c r="U487" s="81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81"/>
      <c r="S488" s="81"/>
      <c r="T488" s="81"/>
      <c r="U488" s="81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81"/>
      <c r="S489" s="81"/>
      <c r="T489" s="81"/>
      <c r="U489" s="81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81"/>
      <c r="S490" s="81"/>
      <c r="T490" s="81"/>
      <c r="U490" s="81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81"/>
      <c r="S491" s="81"/>
      <c r="T491" s="81"/>
      <c r="U491" s="81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81"/>
      <c r="S492" s="81"/>
      <c r="T492" s="81"/>
      <c r="U492" s="81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81"/>
      <c r="S493" s="81"/>
      <c r="T493" s="81"/>
      <c r="U493" s="81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81"/>
      <c r="S494" s="81"/>
      <c r="T494" s="81"/>
      <c r="U494" s="81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81"/>
      <c r="S495" s="81"/>
      <c r="T495" s="81"/>
      <c r="U495" s="81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81"/>
      <c r="S496" s="81"/>
      <c r="T496" s="81"/>
      <c r="U496" s="81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81"/>
      <c r="S497" s="81"/>
      <c r="T497" s="81"/>
      <c r="U497" s="81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81"/>
      <c r="S498" s="81"/>
      <c r="T498" s="81"/>
      <c r="U498" s="81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81"/>
      <c r="S499" s="81"/>
      <c r="T499" s="81"/>
      <c r="U499" s="81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81"/>
      <c r="S500" s="81"/>
      <c r="T500" s="81"/>
      <c r="U500" s="81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81"/>
      <c r="S501" s="81"/>
      <c r="T501" s="81"/>
      <c r="U501" s="81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81"/>
      <c r="S502" s="81"/>
      <c r="T502" s="81"/>
      <c r="U502" s="81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81"/>
      <c r="S503" s="81"/>
      <c r="T503" s="81"/>
      <c r="U503" s="81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81"/>
      <c r="S504" s="81"/>
      <c r="T504" s="81"/>
      <c r="U504" s="81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81"/>
      <c r="S505" s="81"/>
      <c r="T505" s="81"/>
      <c r="U505" s="81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81"/>
      <c r="S506" s="81"/>
      <c r="T506" s="81"/>
      <c r="U506" s="81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81"/>
      <c r="S507" s="81"/>
      <c r="T507" s="81"/>
      <c r="U507" s="81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81"/>
      <c r="S508" s="81"/>
      <c r="T508" s="81"/>
      <c r="U508" s="81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81"/>
      <c r="S509" s="81"/>
      <c r="T509" s="81"/>
      <c r="U509" s="81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81"/>
      <c r="S510" s="81"/>
      <c r="T510" s="81"/>
      <c r="U510" s="81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81"/>
      <c r="S511" s="81"/>
      <c r="T511" s="81"/>
      <c r="U511" s="81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81"/>
      <c r="S512" s="81"/>
      <c r="T512" s="81"/>
      <c r="U512" s="81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81"/>
      <c r="S513" s="81"/>
      <c r="T513" s="81"/>
      <c r="U513" s="81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81"/>
      <c r="S514" s="81"/>
      <c r="T514" s="81"/>
      <c r="U514" s="81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81"/>
      <c r="S515" s="81"/>
      <c r="T515" s="81"/>
      <c r="U515" s="81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81"/>
      <c r="S516" s="81"/>
      <c r="T516" s="81"/>
      <c r="U516" s="81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81"/>
      <c r="S517" s="81"/>
      <c r="T517" s="81"/>
      <c r="U517" s="81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81"/>
      <c r="S518" s="81"/>
      <c r="T518" s="81"/>
      <c r="U518" s="81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81"/>
      <c r="S519" s="81"/>
      <c r="T519" s="81"/>
      <c r="U519" s="81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81"/>
      <c r="S520" s="81"/>
      <c r="T520" s="81"/>
      <c r="U520" s="81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81"/>
      <c r="S521" s="81"/>
      <c r="T521" s="81"/>
      <c r="U521" s="81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81"/>
      <c r="S522" s="81"/>
      <c r="T522" s="81"/>
      <c r="U522" s="81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81"/>
      <c r="S523" s="81"/>
      <c r="T523" s="81"/>
      <c r="U523" s="81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81"/>
      <c r="S524" s="81"/>
      <c r="T524" s="81"/>
      <c r="U524" s="81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81"/>
      <c r="S525" s="81"/>
      <c r="T525" s="81"/>
      <c r="U525" s="81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81"/>
      <c r="S526" s="81"/>
      <c r="T526" s="81"/>
      <c r="U526" s="81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81"/>
      <c r="S527" s="81"/>
      <c r="T527" s="81"/>
      <c r="U527" s="81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81"/>
      <c r="S528" s="81"/>
      <c r="T528" s="81"/>
      <c r="U528" s="81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81"/>
      <c r="S529" s="81"/>
      <c r="T529" s="81"/>
      <c r="U529" s="81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81"/>
      <c r="S530" s="81"/>
      <c r="T530" s="81"/>
      <c r="U530" s="81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81"/>
      <c r="S531" s="81"/>
      <c r="T531" s="81"/>
      <c r="U531" s="81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81"/>
      <c r="S532" s="81"/>
      <c r="T532" s="81"/>
      <c r="U532" s="81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81"/>
      <c r="S533" s="81"/>
      <c r="T533" s="81"/>
      <c r="U533" s="81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81"/>
      <c r="S534" s="81"/>
      <c r="T534" s="81"/>
      <c r="U534" s="81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81"/>
      <c r="S535" s="81"/>
      <c r="T535" s="81"/>
      <c r="U535" s="81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81"/>
      <c r="S536" s="81"/>
      <c r="T536" s="81"/>
      <c r="U536" s="81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81"/>
      <c r="S537" s="81"/>
      <c r="T537" s="81"/>
      <c r="U537" s="81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81"/>
      <c r="S538" s="81"/>
      <c r="T538" s="81"/>
      <c r="U538" s="81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81"/>
      <c r="S539" s="81"/>
      <c r="T539" s="81"/>
      <c r="U539" s="81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81"/>
      <c r="S540" s="81"/>
      <c r="T540" s="81"/>
      <c r="U540" s="81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81"/>
      <c r="S541" s="81"/>
      <c r="T541" s="81"/>
      <c r="U541" s="81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81"/>
      <c r="S542" s="81"/>
      <c r="T542" s="81"/>
      <c r="U542" s="81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81"/>
      <c r="S543" s="81"/>
      <c r="T543" s="81"/>
      <c r="U543" s="81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81"/>
      <c r="S544" s="81"/>
      <c r="T544" s="81"/>
      <c r="U544" s="81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81"/>
      <c r="S545" s="81"/>
      <c r="T545" s="81"/>
      <c r="U545" s="81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81"/>
      <c r="S546" s="81"/>
      <c r="T546" s="81"/>
      <c r="U546" s="81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81"/>
      <c r="S547" s="81"/>
      <c r="T547" s="81"/>
      <c r="U547" s="81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81"/>
      <c r="S548" s="81"/>
      <c r="T548" s="81"/>
      <c r="U548" s="81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81"/>
      <c r="S549" s="81"/>
      <c r="T549" s="81"/>
      <c r="U549" s="81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81"/>
      <c r="S550" s="81"/>
      <c r="T550" s="81"/>
      <c r="U550" s="81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81"/>
      <c r="S551" s="81"/>
      <c r="T551" s="81"/>
      <c r="U551" s="81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81"/>
      <c r="S552" s="81"/>
      <c r="T552" s="81"/>
      <c r="U552" s="81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81"/>
      <c r="S553" s="81"/>
      <c r="T553" s="81"/>
      <c r="U553" s="81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81"/>
      <c r="S554" s="81"/>
      <c r="T554" s="81"/>
      <c r="U554" s="81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81"/>
      <c r="S555" s="81"/>
      <c r="T555" s="81"/>
      <c r="U555" s="81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81"/>
      <c r="S556" s="81"/>
      <c r="T556" s="81"/>
      <c r="U556" s="81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81"/>
      <c r="S557" s="81"/>
      <c r="T557" s="81"/>
      <c r="U557" s="81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81"/>
      <c r="S558" s="81"/>
      <c r="T558" s="81"/>
      <c r="U558" s="81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81"/>
      <c r="S559" s="81"/>
      <c r="T559" s="81"/>
      <c r="U559" s="81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81"/>
      <c r="S560" s="81"/>
      <c r="T560" s="81"/>
      <c r="U560" s="81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81"/>
      <c r="S561" s="81"/>
      <c r="T561" s="81"/>
      <c r="U561" s="81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81"/>
      <c r="S562" s="81"/>
      <c r="T562" s="81"/>
      <c r="U562" s="81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81"/>
      <c r="S563" s="81"/>
      <c r="T563" s="81"/>
      <c r="U563" s="81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81"/>
      <c r="S564" s="81"/>
      <c r="T564" s="81"/>
      <c r="U564" s="81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81"/>
      <c r="S565" s="81"/>
      <c r="T565" s="81"/>
      <c r="U565" s="81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81"/>
      <c r="S566" s="81"/>
      <c r="T566" s="81"/>
      <c r="U566" s="81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81"/>
      <c r="S567" s="81"/>
      <c r="T567" s="81"/>
      <c r="U567" s="81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81"/>
      <c r="S568" s="81"/>
      <c r="T568" s="81"/>
      <c r="U568" s="81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81"/>
      <c r="S569" s="81"/>
      <c r="T569" s="81"/>
      <c r="U569" s="81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81"/>
      <c r="S570" s="81"/>
      <c r="T570" s="81"/>
      <c r="U570" s="81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81"/>
      <c r="S571" s="81"/>
      <c r="T571" s="81"/>
      <c r="U571" s="81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81"/>
      <c r="S572" s="81"/>
      <c r="T572" s="81"/>
      <c r="U572" s="81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81"/>
      <c r="S573" s="81"/>
      <c r="T573" s="81"/>
      <c r="U573" s="81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81"/>
      <c r="S574" s="81"/>
      <c r="T574" s="81"/>
      <c r="U574" s="81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81"/>
      <c r="S575" s="81"/>
      <c r="T575" s="81"/>
      <c r="U575" s="81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81"/>
      <c r="S576" s="81"/>
      <c r="T576" s="81"/>
      <c r="U576" s="81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81"/>
      <c r="S577" s="81"/>
      <c r="T577" s="81"/>
      <c r="U577" s="81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81"/>
      <c r="S578" s="81"/>
      <c r="T578" s="81"/>
      <c r="U578" s="81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81"/>
      <c r="S579" s="81"/>
      <c r="T579" s="81"/>
      <c r="U579" s="81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81"/>
      <c r="S580" s="81"/>
      <c r="T580" s="81"/>
      <c r="U580" s="81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81"/>
      <c r="S581" s="81"/>
      <c r="T581" s="81"/>
      <c r="U581" s="81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81"/>
      <c r="S582" s="81"/>
      <c r="T582" s="81"/>
      <c r="U582" s="81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81"/>
      <c r="S583" s="81"/>
      <c r="T583" s="81"/>
      <c r="U583" s="81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81"/>
      <c r="S584" s="81"/>
      <c r="T584" s="81"/>
      <c r="U584" s="81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81"/>
      <c r="S585" s="81"/>
      <c r="T585" s="81"/>
      <c r="U585" s="81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81"/>
      <c r="S586" s="81"/>
      <c r="T586" s="81"/>
      <c r="U586" s="81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81"/>
      <c r="S587" s="81"/>
      <c r="T587" s="81"/>
      <c r="U587" s="81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81"/>
      <c r="S588" s="81"/>
      <c r="T588" s="81"/>
      <c r="U588" s="81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81"/>
      <c r="S589" s="81"/>
      <c r="T589" s="81"/>
      <c r="U589" s="81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81"/>
      <c r="S590" s="81"/>
      <c r="T590" s="81"/>
      <c r="U590" s="81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81"/>
      <c r="S591" s="81"/>
      <c r="T591" s="81"/>
      <c r="U591" s="81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81"/>
      <c r="S592" s="81"/>
      <c r="T592" s="81"/>
      <c r="U592" s="81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81"/>
      <c r="S593" s="81"/>
      <c r="T593" s="81"/>
      <c r="U593" s="81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81"/>
      <c r="S594" s="81"/>
      <c r="T594" s="81"/>
      <c r="U594" s="81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81"/>
      <c r="S595" s="81"/>
      <c r="T595" s="81"/>
      <c r="U595" s="81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81"/>
      <c r="S596" s="81"/>
      <c r="T596" s="81"/>
      <c r="U596" s="81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81"/>
      <c r="S597" s="81"/>
      <c r="T597" s="81"/>
      <c r="U597" s="81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81"/>
      <c r="S598" s="81"/>
      <c r="T598" s="81"/>
      <c r="U598" s="81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81"/>
      <c r="S599" s="81"/>
      <c r="T599" s="81"/>
      <c r="U599" s="81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81"/>
      <c r="S600" s="81"/>
      <c r="T600" s="81"/>
      <c r="U600" s="81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81"/>
      <c r="S601" s="81"/>
      <c r="T601" s="81"/>
      <c r="U601" s="81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81"/>
      <c r="S602" s="81"/>
      <c r="T602" s="81"/>
      <c r="U602" s="81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81"/>
      <c r="S603" s="81"/>
      <c r="T603" s="81"/>
      <c r="U603" s="81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81"/>
      <c r="S604" s="81"/>
      <c r="T604" s="81"/>
      <c r="U604" s="81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81"/>
      <c r="S605" s="81"/>
      <c r="T605" s="81"/>
      <c r="U605" s="81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81"/>
      <c r="S606" s="81"/>
      <c r="T606" s="81"/>
      <c r="U606" s="81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81"/>
      <c r="S607" s="81"/>
      <c r="T607" s="81"/>
      <c r="U607" s="81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81"/>
      <c r="S608" s="81"/>
      <c r="T608" s="81"/>
      <c r="U608" s="81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81"/>
      <c r="S609" s="81"/>
      <c r="T609" s="81"/>
      <c r="U609" s="81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81"/>
      <c r="S610" s="81"/>
      <c r="T610" s="81"/>
      <c r="U610" s="81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81"/>
      <c r="S611" s="81"/>
      <c r="T611" s="81"/>
      <c r="U611" s="81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81"/>
      <c r="S612" s="81"/>
      <c r="T612" s="81"/>
      <c r="U612" s="81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81"/>
      <c r="S613" s="81"/>
      <c r="T613" s="81"/>
      <c r="U613" s="81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81"/>
      <c r="S614" s="81"/>
      <c r="T614" s="81"/>
      <c r="U614" s="81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81"/>
      <c r="S615" s="81"/>
      <c r="T615" s="81"/>
      <c r="U615" s="81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81"/>
      <c r="S616" s="81"/>
      <c r="T616" s="81"/>
      <c r="U616" s="81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81"/>
      <c r="S617" s="81"/>
      <c r="T617" s="81"/>
      <c r="U617" s="81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81"/>
      <c r="S618" s="81"/>
      <c r="T618" s="81"/>
      <c r="U618" s="81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81"/>
      <c r="S619" s="81"/>
      <c r="T619" s="81"/>
      <c r="U619" s="81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81"/>
      <c r="S620" s="81"/>
      <c r="T620" s="81"/>
      <c r="U620" s="81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81"/>
      <c r="S621" s="81"/>
      <c r="T621" s="81"/>
      <c r="U621" s="81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81"/>
      <c r="S622" s="81"/>
      <c r="T622" s="81"/>
      <c r="U622" s="81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81"/>
      <c r="S623" s="81"/>
      <c r="T623" s="81"/>
      <c r="U623" s="81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81"/>
      <c r="S624" s="81"/>
      <c r="T624" s="81"/>
      <c r="U624" s="81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81"/>
      <c r="S625" s="81"/>
      <c r="T625" s="81"/>
      <c r="U625" s="81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81"/>
      <c r="S626" s="81"/>
      <c r="T626" s="81"/>
      <c r="U626" s="81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81"/>
      <c r="S627" s="81"/>
      <c r="T627" s="81"/>
      <c r="U627" s="81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81"/>
      <c r="S628" s="81"/>
      <c r="T628" s="81"/>
      <c r="U628" s="81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81"/>
      <c r="S629" s="81"/>
      <c r="T629" s="81"/>
      <c r="U629" s="81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81"/>
      <c r="S630" s="81"/>
      <c r="T630" s="81"/>
      <c r="U630" s="81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81"/>
      <c r="S631" s="81"/>
      <c r="T631" s="81"/>
      <c r="U631" s="81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81"/>
      <c r="S632" s="81"/>
      <c r="T632" s="81"/>
      <c r="U632" s="81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81"/>
      <c r="S633" s="81"/>
      <c r="T633" s="81"/>
      <c r="U633" s="81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81"/>
      <c r="S634" s="81"/>
      <c r="T634" s="81"/>
      <c r="U634" s="81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81"/>
      <c r="S635" s="81"/>
      <c r="T635" s="81"/>
      <c r="U635" s="81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81"/>
      <c r="S636" s="81"/>
      <c r="T636" s="81"/>
      <c r="U636" s="81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81"/>
      <c r="S637" s="81"/>
      <c r="T637" s="81"/>
      <c r="U637" s="81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81"/>
      <c r="S638" s="81"/>
      <c r="T638" s="81"/>
      <c r="U638" s="81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81"/>
      <c r="S639" s="81"/>
      <c r="T639" s="81"/>
      <c r="U639" s="81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81"/>
      <c r="S640" s="81"/>
      <c r="T640" s="81"/>
      <c r="U640" s="81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81"/>
      <c r="S641" s="81"/>
      <c r="T641" s="81"/>
      <c r="U641" s="81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81"/>
      <c r="S642" s="81"/>
      <c r="T642" s="81"/>
      <c r="U642" s="81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81"/>
      <c r="S643" s="81"/>
      <c r="T643" s="81"/>
      <c r="U643" s="81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81"/>
      <c r="S644" s="81"/>
      <c r="T644" s="81"/>
      <c r="U644" s="81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81"/>
      <c r="S645" s="81"/>
      <c r="T645" s="81"/>
      <c r="U645" s="81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81"/>
      <c r="S646" s="81"/>
      <c r="T646" s="81"/>
      <c r="U646" s="81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81"/>
      <c r="S647" s="81"/>
      <c r="T647" s="81"/>
      <c r="U647" s="81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81"/>
      <c r="S648" s="81"/>
      <c r="T648" s="81"/>
      <c r="U648" s="81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81"/>
      <c r="S649" s="81"/>
      <c r="T649" s="81"/>
      <c r="U649" s="81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81"/>
      <c r="S650" s="81"/>
      <c r="T650" s="81"/>
      <c r="U650" s="81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81"/>
      <c r="S651" s="81"/>
      <c r="T651" s="81"/>
      <c r="U651" s="81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81"/>
      <c r="S652" s="81"/>
      <c r="T652" s="81"/>
      <c r="U652" s="81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81"/>
      <c r="S653" s="81"/>
      <c r="T653" s="81"/>
      <c r="U653" s="81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81"/>
      <c r="S654" s="81"/>
      <c r="T654" s="81"/>
      <c r="U654" s="81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81"/>
      <c r="S655" s="81"/>
      <c r="T655" s="81"/>
      <c r="U655" s="81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81"/>
      <c r="S656" s="81"/>
      <c r="T656" s="81"/>
      <c r="U656" s="81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81"/>
      <c r="S657" s="81"/>
      <c r="T657" s="81"/>
      <c r="U657" s="81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81"/>
      <c r="S658" s="81"/>
      <c r="T658" s="81"/>
      <c r="U658" s="81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81"/>
      <c r="S659" s="81"/>
      <c r="T659" s="81"/>
      <c r="U659" s="81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81"/>
      <c r="S660" s="81"/>
      <c r="T660" s="81"/>
      <c r="U660" s="81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81"/>
      <c r="S661" s="81"/>
      <c r="T661" s="81"/>
      <c r="U661" s="81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81"/>
      <c r="S662" s="81"/>
      <c r="T662" s="81"/>
      <c r="U662" s="81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81"/>
      <c r="S663" s="81"/>
      <c r="T663" s="81"/>
      <c r="U663" s="81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81"/>
      <c r="S664" s="81"/>
      <c r="T664" s="81"/>
      <c r="U664" s="81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81"/>
      <c r="S665" s="81"/>
      <c r="T665" s="81"/>
      <c r="U665" s="81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81"/>
      <c r="S666" s="81"/>
      <c r="T666" s="81"/>
      <c r="U666" s="81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81"/>
      <c r="S667" s="81"/>
      <c r="T667" s="81"/>
      <c r="U667" s="81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81"/>
      <c r="S668" s="81"/>
      <c r="T668" s="81"/>
      <c r="U668" s="81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81"/>
      <c r="S669" s="81"/>
      <c r="T669" s="81"/>
      <c r="U669" s="81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81"/>
      <c r="S670" s="81"/>
      <c r="T670" s="81"/>
      <c r="U670" s="81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81"/>
      <c r="S671" s="81"/>
      <c r="T671" s="81"/>
      <c r="U671" s="81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81"/>
      <c r="S672" s="81"/>
      <c r="T672" s="81"/>
      <c r="U672" s="81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81"/>
      <c r="S673" s="81"/>
      <c r="T673" s="81"/>
      <c r="U673" s="81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81"/>
      <c r="S674" s="81"/>
      <c r="T674" s="81"/>
      <c r="U674" s="81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81"/>
      <c r="S675" s="81"/>
      <c r="T675" s="81"/>
      <c r="U675" s="81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81"/>
      <c r="S676" s="81"/>
      <c r="T676" s="81"/>
      <c r="U676" s="81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81"/>
      <c r="S677" s="81"/>
      <c r="T677" s="81"/>
      <c r="U677" s="81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81"/>
      <c r="S678" s="81"/>
      <c r="T678" s="81"/>
      <c r="U678" s="81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81"/>
      <c r="S679" s="81"/>
      <c r="T679" s="81"/>
      <c r="U679" s="81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81"/>
      <c r="S680" s="81"/>
      <c r="T680" s="81"/>
      <c r="U680" s="81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81"/>
      <c r="S681" s="81"/>
      <c r="T681" s="81"/>
      <c r="U681" s="81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81"/>
      <c r="S682" s="81"/>
      <c r="T682" s="81"/>
      <c r="U682" s="81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81"/>
      <c r="S683" s="81"/>
      <c r="T683" s="81"/>
      <c r="U683" s="81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81"/>
      <c r="S684" s="81"/>
      <c r="T684" s="81"/>
      <c r="U684" s="81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81"/>
      <c r="S685" s="81"/>
      <c r="T685" s="81"/>
      <c r="U685" s="81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81"/>
      <c r="S686" s="81"/>
      <c r="T686" s="81"/>
      <c r="U686" s="81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81"/>
      <c r="S687" s="81"/>
      <c r="T687" s="81"/>
      <c r="U687" s="81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81"/>
      <c r="S688" s="81"/>
      <c r="T688" s="81"/>
      <c r="U688" s="81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81"/>
      <c r="S689" s="81"/>
      <c r="T689" s="81"/>
      <c r="U689" s="81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81"/>
      <c r="S690" s="81"/>
      <c r="T690" s="81"/>
      <c r="U690" s="81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81"/>
      <c r="S691" s="81"/>
      <c r="T691" s="81"/>
      <c r="U691" s="81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81"/>
      <c r="S692" s="81"/>
      <c r="T692" s="81"/>
      <c r="U692" s="81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81"/>
      <c r="S693" s="81"/>
      <c r="T693" s="81"/>
      <c r="U693" s="81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81"/>
      <c r="S694" s="81"/>
      <c r="T694" s="81"/>
      <c r="U694" s="81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81"/>
      <c r="S695" s="81"/>
      <c r="T695" s="81"/>
      <c r="U695" s="81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81"/>
      <c r="S696" s="81"/>
      <c r="T696" s="81"/>
      <c r="U696" s="81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81"/>
      <c r="S697" s="81"/>
      <c r="T697" s="81"/>
      <c r="U697" s="81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81"/>
      <c r="S698" s="81"/>
      <c r="T698" s="81"/>
      <c r="U698" s="81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81"/>
      <c r="S699" s="81"/>
      <c r="T699" s="81"/>
      <c r="U699" s="81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81"/>
      <c r="S700" s="81"/>
      <c r="T700" s="81"/>
      <c r="U700" s="81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81"/>
      <c r="S701" s="81"/>
      <c r="T701" s="81"/>
      <c r="U701" s="81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81"/>
      <c r="S702" s="81"/>
      <c r="T702" s="81"/>
      <c r="U702" s="81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81"/>
      <c r="S703" s="81"/>
      <c r="T703" s="81"/>
      <c r="U703" s="81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81"/>
      <c r="S704" s="81"/>
      <c r="T704" s="81"/>
      <c r="U704" s="81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81"/>
      <c r="S705" s="81"/>
      <c r="T705" s="81"/>
      <c r="U705" s="81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81"/>
      <c r="S706" s="81"/>
      <c r="T706" s="81"/>
      <c r="U706" s="81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81"/>
      <c r="S707" s="81"/>
      <c r="T707" s="81"/>
      <c r="U707" s="81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81"/>
      <c r="S708" s="81"/>
      <c r="T708" s="81"/>
      <c r="U708" s="81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81"/>
      <c r="S709" s="81"/>
      <c r="T709" s="81"/>
      <c r="U709" s="81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81"/>
      <c r="S710" s="81"/>
      <c r="T710" s="81"/>
      <c r="U710" s="81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81"/>
      <c r="S711" s="81"/>
      <c r="T711" s="81"/>
      <c r="U711" s="81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81"/>
      <c r="S712" s="81"/>
      <c r="T712" s="81"/>
      <c r="U712" s="81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81"/>
      <c r="S713" s="81"/>
      <c r="T713" s="81"/>
      <c r="U713" s="81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81"/>
      <c r="S714" s="81"/>
      <c r="T714" s="81"/>
      <c r="U714" s="81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81"/>
      <c r="S715" s="81"/>
      <c r="T715" s="81"/>
      <c r="U715" s="81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81"/>
      <c r="S716" s="81"/>
      <c r="T716" s="81"/>
      <c r="U716" s="81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81"/>
      <c r="S717" s="81"/>
      <c r="T717" s="81"/>
      <c r="U717" s="81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81"/>
      <c r="S718" s="81"/>
      <c r="T718" s="81"/>
      <c r="U718" s="81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81"/>
      <c r="S719" s="81"/>
      <c r="T719" s="81"/>
      <c r="U719" s="81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81"/>
      <c r="S720" s="81"/>
      <c r="T720" s="81"/>
      <c r="U720" s="81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81"/>
      <c r="S721" s="81"/>
      <c r="T721" s="81"/>
      <c r="U721" s="81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81"/>
      <c r="S722" s="81"/>
      <c r="T722" s="81"/>
      <c r="U722" s="81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81"/>
      <c r="S723" s="81"/>
      <c r="T723" s="81"/>
      <c r="U723" s="81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81"/>
      <c r="S724" s="81"/>
      <c r="T724" s="81"/>
      <c r="U724" s="81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81"/>
      <c r="S725" s="81"/>
      <c r="T725" s="81"/>
      <c r="U725" s="81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81"/>
      <c r="S726" s="81"/>
      <c r="T726" s="81"/>
      <c r="U726" s="81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81"/>
      <c r="S727" s="81"/>
      <c r="T727" s="81"/>
      <c r="U727" s="81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81"/>
      <c r="S728" s="81"/>
      <c r="T728" s="81"/>
      <c r="U728" s="81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81"/>
      <c r="S729" s="81"/>
      <c r="T729" s="81"/>
      <c r="U729" s="81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81"/>
      <c r="S730" s="81"/>
      <c r="T730" s="81"/>
      <c r="U730" s="81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81"/>
      <c r="S731" s="81"/>
      <c r="T731" s="81"/>
      <c r="U731" s="81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81"/>
      <c r="S732" s="81"/>
      <c r="T732" s="81"/>
      <c r="U732" s="81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81"/>
      <c r="S733" s="81"/>
      <c r="T733" s="81"/>
      <c r="U733" s="81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81"/>
      <c r="S734" s="81"/>
      <c r="T734" s="81"/>
      <c r="U734" s="81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81"/>
      <c r="S735" s="81"/>
      <c r="T735" s="81"/>
      <c r="U735" s="81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81"/>
      <c r="S736" s="81"/>
      <c r="T736" s="81"/>
      <c r="U736" s="81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81"/>
      <c r="S737" s="81"/>
      <c r="T737" s="81"/>
      <c r="U737" s="81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81"/>
      <c r="S738" s="81"/>
      <c r="T738" s="81"/>
      <c r="U738" s="81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81"/>
      <c r="S739" s="81"/>
      <c r="T739" s="81"/>
      <c r="U739" s="81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81"/>
      <c r="S740" s="81"/>
      <c r="T740" s="81"/>
      <c r="U740" s="81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81"/>
      <c r="S741" s="81"/>
      <c r="T741" s="81"/>
      <c r="U741" s="81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81"/>
      <c r="S742" s="81"/>
      <c r="T742" s="81"/>
      <c r="U742" s="81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81"/>
      <c r="S743" s="81"/>
      <c r="T743" s="81"/>
      <c r="U743" s="81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81"/>
      <c r="S744" s="81"/>
      <c r="T744" s="81"/>
      <c r="U744" s="81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81"/>
      <c r="S745" s="81"/>
      <c r="T745" s="81"/>
      <c r="U745" s="81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81"/>
      <c r="S746" s="81"/>
      <c r="T746" s="81"/>
      <c r="U746" s="81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81"/>
      <c r="S747" s="81"/>
      <c r="T747" s="81"/>
      <c r="U747" s="81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81"/>
      <c r="S748" s="81"/>
      <c r="T748" s="81"/>
      <c r="U748" s="81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81"/>
      <c r="S749" s="81"/>
      <c r="T749" s="81"/>
      <c r="U749" s="81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81"/>
      <c r="S750" s="81"/>
      <c r="T750" s="81"/>
      <c r="U750" s="81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81"/>
      <c r="S751" s="81"/>
      <c r="T751" s="81"/>
      <c r="U751" s="81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81"/>
      <c r="S752" s="81"/>
      <c r="T752" s="81"/>
      <c r="U752" s="81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81"/>
      <c r="S753" s="81"/>
      <c r="T753" s="81"/>
      <c r="U753" s="81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81"/>
      <c r="S754" s="81"/>
      <c r="T754" s="81"/>
      <c r="U754" s="81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81"/>
      <c r="S755" s="81"/>
      <c r="T755" s="81"/>
      <c r="U755" s="81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81"/>
      <c r="S756" s="81"/>
      <c r="T756" s="81"/>
      <c r="U756" s="81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81"/>
      <c r="S757" s="81"/>
      <c r="T757" s="81"/>
      <c r="U757" s="81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81"/>
      <c r="S758" s="81"/>
      <c r="T758" s="81"/>
      <c r="U758" s="81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81"/>
      <c r="S759" s="81"/>
      <c r="T759" s="81"/>
      <c r="U759" s="81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81"/>
      <c r="S760" s="81"/>
      <c r="T760" s="81"/>
      <c r="U760" s="81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81"/>
      <c r="S761" s="81"/>
      <c r="T761" s="81"/>
      <c r="U761" s="81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81"/>
      <c r="S762" s="81"/>
      <c r="T762" s="81"/>
      <c r="U762" s="81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81"/>
      <c r="S763" s="81"/>
      <c r="T763" s="81"/>
      <c r="U763" s="81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81"/>
      <c r="S764" s="81"/>
      <c r="T764" s="81"/>
      <c r="U764" s="81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81"/>
      <c r="S765" s="81"/>
      <c r="T765" s="81"/>
      <c r="U765" s="81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81"/>
      <c r="S766" s="81"/>
      <c r="T766" s="81"/>
      <c r="U766" s="81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81"/>
      <c r="S767" s="81"/>
      <c r="T767" s="81"/>
      <c r="U767" s="81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81"/>
      <c r="S768" s="81"/>
      <c r="T768" s="81"/>
      <c r="U768" s="81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81"/>
      <c r="S769" s="81"/>
      <c r="T769" s="81"/>
      <c r="U769" s="81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81"/>
      <c r="S770" s="81"/>
      <c r="T770" s="81"/>
      <c r="U770" s="81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81"/>
      <c r="S771" s="81"/>
      <c r="T771" s="81"/>
      <c r="U771" s="81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81"/>
      <c r="S772" s="81"/>
      <c r="T772" s="81"/>
      <c r="U772" s="81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81"/>
      <c r="S773" s="81"/>
      <c r="T773" s="81"/>
      <c r="U773" s="81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81"/>
      <c r="S774" s="81"/>
      <c r="T774" s="81"/>
      <c r="U774" s="81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81"/>
      <c r="S775" s="81"/>
      <c r="T775" s="81"/>
      <c r="U775" s="81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81"/>
      <c r="S776" s="81"/>
      <c r="T776" s="81"/>
      <c r="U776" s="81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81"/>
      <c r="S777" s="81"/>
      <c r="T777" s="81"/>
      <c r="U777" s="81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81"/>
      <c r="S778" s="81"/>
      <c r="T778" s="81"/>
      <c r="U778" s="81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81"/>
      <c r="S779" s="81"/>
      <c r="T779" s="81"/>
      <c r="U779" s="81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81"/>
      <c r="S780" s="81"/>
      <c r="T780" s="81"/>
      <c r="U780" s="81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81"/>
      <c r="S781" s="81"/>
      <c r="T781" s="81"/>
      <c r="U781" s="81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81"/>
      <c r="S782" s="81"/>
      <c r="T782" s="81"/>
      <c r="U782" s="81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81"/>
      <c r="S783" s="81"/>
      <c r="T783" s="81"/>
      <c r="U783" s="81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81"/>
      <c r="S784" s="81"/>
      <c r="T784" s="81"/>
      <c r="U784" s="81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81"/>
      <c r="S785" s="81"/>
      <c r="T785" s="81"/>
      <c r="U785" s="81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81"/>
      <c r="S786" s="81"/>
      <c r="T786" s="81"/>
      <c r="U786" s="81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81"/>
      <c r="S787" s="81"/>
      <c r="T787" s="81"/>
      <c r="U787" s="81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81"/>
      <c r="S788" s="81"/>
      <c r="T788" s="81"/>
      <c r="U788" s="81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81"/>
      <c r="S789" s="81"/>
      <c r="T789" s="81"/>
      <c r="U789" s="81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81"/>
      <c r="S790" s="81"/>
      <c r="T790" s="81"/>
      <c r="U790" s="81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81"/>
      <c r="S791" s="81"/>
      <c r="T791" s="81"/>
      <c r="U791" s="81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81"/>
      <c r="S792" s="81"/>
      <c r="T792" s="81"/>
      <c r="U792" s="81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81"/>
      <c r="S793" s="81"/>
      <c r="T793" s="81"/>
      <c r="U793" s="81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81"/>
      <c r="S794" s="81"/>
      <c r="T794" s="81"/>
      <c r="U794" s="81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81"/>
      <c r="S795" s="81"/>
      <c r="T795" s="81"/>
      <c r="U795" s="81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81"/>
      <c r="S796" s="81"/>
      <c r="T796" s="81"/>
      <c r="U796" s="81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81"/>
      <c r="S797" s="81"/>
      <c r="T797" s="81"/>
      <c r="U797" s="81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81"/>
      <c r="S798" s="81"/>
      <c r="T798" s="81"/>
      <c r="U798" s="81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81"/>
      <c r="S799" s="81"/>
      <c r="T799" s="81"/>
      <c r="U799" s="81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81"/>
      <c r="S800" s="81"/>
      <c r="T800" s="81"/>
      <c r="U800" s="81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81"/>
      <c r="S801" s="81"/>
      <c r="T801" s="81"/>
      <c r="U801" s="81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81"/>
      <c r="S802" s="81"/>
      <c r="T802" s="81"/>
      <c r="U802" s="81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81"/>
      <c r="S803" s="81"/>
      <c r="T803" s="81"/>
      <c r="U803" s="81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81"/>
      <c r="S804" s="81"/>
      <c r="T804" s="81"/>
      <c r="U804" s="81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81"/>
      <c r="S805" s="81"/>
      <c r="T805" s="81"/>
      <c r="U805" s="81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81"/>
      <c r="S806" s="81"/>
      <c r="T806" s="81"/>
      <c r="U806" s="81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81"/>
      <c r="S807" s="81"/>
      <c r="T807" s="81"/>
      <c r="U807" s="81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81"/>
      <c r="S808" s="81"/>
      <c r="T808" s="81"/>
      <c r="U808" s="81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81"/>
      <c r="S809" s="81"/>
      <c r="T809" s="81"/>
      <c r="U809" s="81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81"/>
      <c r="S810" s="81"/>
      <c r="T810" s="81"/>
      <c r="U810" s="81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81"/>
      <c r="S811" s="81"/>
      <c r="T811" s="81"/>
      <c r="U811" s="81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81"/>
      <c r="S812" s="81"/>
      <c r="T812" s="81"/>
      <c r="U812" s="81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81"/>
      <c r="S813" s="81"/>
      <c r="T813" s="81"/>
      <c r="U813" s="81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81"/>
      <c r="S814" s="81"/>
      <c r="T814" s="81"/>
      <c r="U814" s="81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81"/>
      <c r="S815" s="81"/>
      <c r="T815" s="81"/>
      <c r="U815" s="81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81"/>
      <c r="S816" s="81"/>
      <c r="T816" s="81"/>
      <c r="U816" s="81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81"/>
      <c r="S817" s="81"/>
      <c r="T817" s="81"/>
      <c r="U817" s="81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81"/>
      <c r="S818" s="81"/>
      <c r="T818" s="81"/>
      <c r="U818" s="81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81"/>
      <c r="S819" s="81"/>
      <c r="T819" s="81"/>
      <c r="U819" s="81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81"/>
      <c r="S820" s="81"/>
      <c r="T820" s="81"/>
      <c r="U820" s="81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81"/>
      <c r="S821" s="81"/>
      <c r="T821" s="81"/>
      <c r="U821" s="81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81"/>
      <c r="S822" s="81"/>
      <c r="T822" s="81"/>
      <c r="U822" s="81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81"/>
      <c r="S823" s="81"/>
      <c r="T823" s="81"/>
      <c r="U823" s="81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81"/>
      <c r="S824" s="81"/>
      <c r="T824" s="81"/>
      <c r="U824" s="81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81"/>
      <c r="S825" s="81"/>
      <c r="T825" s="81"/>
      <c r="U825" s="81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81"/>
      <c r="S826" s="81"/>
      <c r="T826" s="81"/>
      <c r="U826" s="81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81"/>
      <c r="S827" s="81"/>
      <c r="T827" s="81"/>
      <c r="U827" s="81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81"/>
      <c r="S828" s="81"/>
      <c r="T828" s="81"/>
      <c r="U828" s="81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81"/>
      <c r="S829" s="81"/>
      <c r="T829" s="81"/>
      <c r="U829" s="81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81"/>
      <c r="S830" s="81"/>
      <c r="T830" s="81"/>
      <c r="U830" s="81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81"/>
      <c r="S831" s="81"/>
      <c r="T831" s="81"/>
      <c r="U831" s="81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81"/>
      <c r="S832" s="81"/>
      <c r="T832" s="81"/>
      <c r="U832" s="81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81"/>
      <c r="S833" s="81"/>
      <c r="T833" s="81"/>
      <c r="U833" s="81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81"/>
      <c r="S834" s="81"/>
      <c r="T834" s="81"/>
      <c r="U834" s="81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81"/>
      <c r="S835" s="81"/>
      <c r="T835" s="81"/>
      <c r="U835" s="81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81"/>
      <c r="S836" s="81"/>
      <c r="T836" s="81"/>
      <c r="U836" s="81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81"/>
      <c r="S837" s="81"/>
      <c r="T837" s="81"/>
      <c r="U837" s="81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81"/>
      <c r="S838" s="81"/>
      <c r="T838" s="81"/>
      <c r="U838" s="81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81"/>
      <c r="S839" s="81"/>
      <c r="T839" s="81"/>
      <c r="U839" s="81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81"/>
      <c r="S840" s="81"/>
      <c r="T840" s="81"/>
      <c r="U840" s="81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81"/>
      <c r="S841" s="81"/>
      <c r="T841" s="81"/>
      <c r="U841" s="81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81"/>
      <c r="S842" s="81"/>
      <c r="T842" s="81"/>
      <c r="U842" s="81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81"/>
      <c r="S843" s="81"/>
      <c r="T843" s="81"/>
      <c r="U843" s="81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81"/>
      <c r="S844" s="81"/>
      <c r="T844" s="81"/>
      <c r="U844" s="81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81"/>
      <c r="S845" s="81"/>
      <c r="T845" s="81"/>
      <c r="U845" s="81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81"/>
      <c r="S846" s="81"/>
      <c r="T846" s="81"/>
      <c r="U846" s="81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81"/>
      <c r="S847" s="81"/>
      <c r="T847" s="81"/>
      <c r="U847" s="81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81"/>
      <c r="S848" s="81"/>
      <c r="T848" s="81"/>
      <c r="U848" s="81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81"/>
      <c r="S849" s="81"/>
      <c r="T849" s="81"/>
      <c r="U849" s="81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81"/>
      <c r="S850" s="81"/>
      <c r="T850" s="81"/>
      <c r="U850" s="81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81"/>
      <c r="S851" s="81"/>
      <c r="T851" s="81"/>
      <c r="U851" s="81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81"/>
      <c r="S852" s="81"/>
      <c r="T852" s="81"/>
      <c r="U852" s="81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81"/>
      <c r="S853" s="81"/>
      <c r="T853" s="81"/>
      <c r="U853" s="81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81"/>
      <c r="S854" s="81"/>
      <c r="T854" s="81"/>
      <c r="U854" s="81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81"/>
      <c r="S855" s="81"/>
      <c r="T855" s="81"/>
      <c r="U855" s="81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81"/>
      <c r="S856" s="81"/>
      <c r="T856" s="81"/>
      <c r="U856" s="81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81"/>
      <c r="S857" s="81"/>
      <c r="T857" s="81"/>
      <c r="U857" s="81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81"/>
      <c r="S858" s="81"/>
      <c r="T858" s="81"/>
      <c r="U858" s="81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81"/>
      <c r="S859" s="81"/>
      <c r="T859" s="81"/>
      <c r="U859" s="81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81"/>
      <c r="S860" s="81"/>
      <c r="T860" s="81"/>
      <c r="U860" s="81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81"/>
      <c r="S861" s="81"/>
      <c r="T861" s="81"/>
      <c r="U861" s="81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81"/>
      <c r="S862" s="81"/>
      <c r="T862" s="81"/>
      <c r="U862" s="81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81"/>
      <c r="S863" s="81"/>
      <c r="T863" s="81"/>
      <c r="U863" s="81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81"/>
      <c r="S864" s="81"/>
      <c r="T864" s="81"/>
      <c r="U864" s="81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81"/>
      <c r="S865" s="81"/>
      <c r="T865" s="81"/>
      <c r="U865" s="81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81"/>
      <c r="S866" s="81"/>
      <c r="T866" s="81"/>
      <c r="U866" s="81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81"/>
      <c r="S867" s="81"/>
      <c r="T867" s="81"/>
      <c r="U867" s="81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81"/>
      <c r="S868" s="81"/>
      <c r="T868" s="81"/>
      <c r="U868" s="81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81"/>
      <c r="S869" s="81"/>
      <c r="T869" s="81"/>
      <c r="U869" s="81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81"/>
      <c r="S870" s="81"/>
      <c r="T870" s="81"/>
      <c r="U870" s="81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81"/>
      <c r="S871" s="81"/>
      <c r="T871" s="81"/>
      <c r="U871" s="81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81"/>
      <c r="S872" s="81"/>
      <c r="T872" s="81"/>
      <c r="U872" s="81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81"/>
      <c r="S873" s="81"/>
      <c r="T873" s="81"/>
      <c r="U873" s="81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81"/>
      <c r="S874" s="81"/>
      <c r="T874" s="81"/>
      <c r="U874" s="81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81"/>
      <c r="S875" s="81"/>
      <c r="T875" s="81"/>
      <c r="U875" s="81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81"/>
      <c r="S876" s="81"/>
      <c r="T876" s="81"/>
      <c r="U876" s="81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81"/>
      <c r="S877" s="81"/>
      <c r="T877" s="81"/>
      <c r="U877" s="81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81"/>
      <c r="S878" s="81"/>
      <c r="T878" s="81"/>
      <c r="U878" s="81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81"/>
      <c r="S879" s="81"/>
      <c r="T879" s="81"/>
      <c r="U879" s="81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81"/>
      <c r="S880" s="81"/>
      <c r="T880" s="81"/>
      <c r="U880" s="81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81"/>
      <c r="S881" s="81"/>
      <c r="T881" s="81"/>
      <c r="U881" s="81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81"/>
      <c r="S882" s="81"/>
      <c r="T882" s="81"/>
      <c r="U882" s="81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81"/>
      <c r="S883" s="81"/>
      <c r="T883" s="81"/>
      <c r="U883" s="81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81"/>
      <c r="S884" s="81"/>
      <c r="T884" s="81"/>
      <c r="U884" s="81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81"/>
      <c r="S885" s="81"/>
      <c r="T885" s="81"/>
      <c r="U885" s="81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81"/>
      <c r="S886" s="81"/>
      <c r="T886" s="81"/>
      <c r="U886" s="81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81"/>
      <c r="S887" s="81"/>
      <c r="T887" s="81"/>
      <c r="U887" s="81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81"/>
      <c r="S888" s="81"/>
      <c r="T888" s="81"/>
      <c r="U888" s="81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81"/>
      <c r="S889" s="81"/>
      <c r="T889" s="81"/>
      <c r="U889" s="81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81"/>
      <c r="S890" s="81"/>
      <c r="T890" s="81"/>
      <c r="U890" s="81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81"/>
      <c r="S891" s="81"/>
      <c r="T891" s="81"/>
      <c r="U891" s="81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81"/>
      <c r="S892" s="81"/>
      <c r="T892" s="81"/>
      <c r="U892" s="81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81"/>
      <c r="S893" s="81"/>
      <c r="T893" s="81"/>
      <c r="U893" s="81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81"/>
      <c r="S894" s="81"/>
      <c r="T894" s="81"/>
      <c r="U894" s="81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81"/>
      <c r="S895" s="81"/>
      <c r="T895" s="81"/>
      <c r="U895" s="81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81"/>
      <c r="S896" s="81"/>
      <c r="T896" s="81"/>
      <c r="U896" s="81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81"/>
      <c r="S897" s="81"/>
      <c r="T897" s="81"/>
      <c r="U897" s="81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81"/>
      <c r="S898" s="81"/>
      <c r="T898" s="81"/>
      <c r="U898" s="81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81"/>
      <c r="S899" s="81"/>
      <c r="T899" s="81"/>
      <c r="U899" s="81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81"/>
      <c r="S900" s="81"/>
      <c r="T900" s="81"/>
      <c r="U900" s="81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81"/>
      <c r="S901" s="81"/>
      <c r="T901" s="81"/>
      <c r="U901" s="81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81"/>
      <c r="S902" s="81"/>
      <c r="T902" s="81"/>
      <c r="U902" s="81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81"/>
      <c r="S903" s="81"/>
      <c r="T903" s="81"/>
      <c r="U903" s="81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81"/>
      <c r="S904" s="81"/>
      <c r="T904" s="81"/>
      <c r="U904" s="81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81"/>
      <c r="S905" s="81"/>
      <c r="T905" s="81"/>
      <c r="U905" s="81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81"/>
      <c r="S906" s="81"/>
      <c r="T906" s="81"/>
      <c r="U906" s="81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81"/>
      <c r="S907" s="81"/>
      <c r="T907" s="81"/>
      <c r="U907" s="81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81"/>
      <c r="S908" s="81"/>
      <c r="T908" s="81"/>
      <c r="U908" s="81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81"/>
      <c r="S909" s="81"/>
      <c r="T909" s="81"/>
      <c r="U909" s="81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81"/>
      <c r="S910" s="81"/>
      <c r="T910" s="81"/>
      <c r="U910" s="81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81"/>
      <c r="S911" s="81"/>
      <c r="T911" s="81"/>
      <c r="U911" s="81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81"/>
      <c r="S912" s="81"/>
      <c r="T912" s="81"/>
      <c r="U912" s="81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81"/>
      <c r="S913" s="81"/>
      <c r="T913" s="81"/>
      <c r="U913" s="81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81"/>
      <c r="S914" s="81"/>
      <c r="T914" s="81"/>
      <c r="U914" s="81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81"/>
      <c r="S915" s="81"/>
      <c r="T915" s="81"/>
      <c r="U915" s="81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81"/>
      <c r="S916" s="81"/>
      <c r="T916" s="81"/>
      <c r="U916" s="81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81"/>
      <c r="S917" s="81"/>
      <c r="T917" s="81"/>
      <c r="U917" s="81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81"/>
      <c r="S918" s="81"/>
      <c r="T918" s="81"/>
      <c r="U918" s="81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81"/>
      <c r="S919" s="81"/>
      <c r="T919" s="81"/>
      <c r="U919" s="81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81"/>
      <c r="S920" s="81"/>
      <c r="T920" s="81"/>
      <c r="U920" s="81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81"/>
      <c r="S921" s="81"/>
      <c r="T921" s="81"/>
      <c r="U921" s="81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81"/>
      <c r="S922" s="81"/>
      <c r="T922" s="81"/>
      <c r="U922" s="81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81"/>
      <c r="S923" s="81"/>
      <c r="T923" s="81"/>
      <c r="U923" s="81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81"/>
      <c r="S924" s="81"/>
      <c r="T924" s="81"/>
      <c r="U924" s="81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81"/>
      <c r="S925" s="81"/>
      <c r="T925" s="81"/>
      <c r="U925" s="81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81"/>
      <c r="S926" s="81"/>
      <c r="T926" s="81"/>
      <c r="U926" s="81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81"/>
      <c r="S927" s="81"/>
      <c r="T927" s="81"/>
      <c r="U927" s="81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81"/>
      <c r="S928" s="81"/>
      <c r="T928" s="81"/>
      <c r="U928" s="81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81"/>
      <c r="S929" s="81"/>
      <c r="T929" s="81"/>
      <c r="U929" s="81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81"/>
      <c r="S930" s="81"/>
      <c r="T930" s="81"/>
      <c r="U930" s="81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81"/>
      <c r="S931" s="81"/>
      <c r="T931" s="81"/>
      <c r="U931" s="81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81"/>
      <c r="S932" s="81"/>
      <c r="T932" s="81"/>
      <c r="U932" s="81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81"/>
      <c r="S933" s="81"/>
      <c r="T933" s="81"/>
      <c r="U933" s="81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81"/>
      <c r="S934" s="81"/>
      <c r="T934" s="81"/>
      <c r="U934" s="81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</row>
    <row r="935">
      <c r="R935" s="191"/>
      <c r="S935" s="191"/>
      <c r="T935" s="191"/>
      <c r="U935" s="191"/>
    </row>
    <row r="936">
      <c r="R936" s="191"/>
      <c r="S936" s="191"/>
      <c r="T936" s="191"/>
      <c r="U936" s="191"/>
    </row>
    <row r="937">
      <c r="R937" s="191"/>
      <c r="S937" s="191"/>
      <c r="T937" s="191"/>
      <c r="U937" s="191"/>
    </row>
    <row r="938">
      <c r="R938" s="191"/>
      <c r="S938" s="191"/>
      <c r="T938" s="191"/>
      <c r="U938" s="191"/>
    </row>
    <row r="939">
      <c r="R939" s="191"/>
      <c r="S939" s="191"/>
      <c r="T939" s="191"/>
      <c r="U939" s="191"/>
    </row>
    <row r="940">
      <c r="R940" s="191"/>
      <c r="S940" s="191"/>
      <c r="T940" s="191"/>
      <c r="U940" s="191"/>
    </row>
    <row r="941">
      <c r="R941" s="191"/>
      <c r="S941" s="191"/>
      <c r="T941" s="191"/>
      <c r="U941" s="191"/>
    </row>
    <row r="942">
      <c r="R942" s="191"/>
      <c r="S942" s="191"/>
      <c r="T942" s="191"/>
      <c r="U942" s="191"/>
    </row>
    <row r="943">
      <c r="R943" s="191"/>
      <c r="S943" s="191"/>
      <c r="T943" s="191"/>
      <c r="U943" s="191"/>
    </row>
    <row r="944">
      <c r="R944" s="191"/>
      <c r="S944" s="191"/>
      <c r="T944" s="191"/>
      <c r="U944" s="191"/>
    </row>
    <row r="945">
      <c r="R945" s="191"/>
      <c r="S945" s="191"/>
      <c r="T945" s="191"/>
      <c r="U945" s="191"/>
    </row>
    <row r="946">
      <c r="R946" s="191"/>
      <c r="S946" s="191"/>
      <c r="T946" s="191"/>
      <c r="U946" s="191"/>
    </row>
    <row r="947">
      <c r="R947" s="191"/>
      <c r="S947" s="191"/>
      <c r="T947" s="191"/>
      <c r="U947" s="191"/>
    </row>
    <row r="948">
      <c r="R948" s="191"/>
      <c r="S948" s="191"/>
      <c r="T948" s="191"/>
      <c r="U948" s="191"/>
    </row>
    <row r="949">
      <c r="R949" s="191"/>
      <c r="S949" s="191"/>
      <c r="T949" s="191"/>
      <c r="U949" s="191"/>
    </row>
    <row r="950">
      <c r="R950" s="191"/>
      <c r="S950" s="191"/>
      <c r="T950" s="191"/>
      <c r="U950" s="191"/>
    </row>
    <row r="951">
      <c r="R951" s="191"/>
      <c r="S951" s="191"/>
      <c r="T951" s="191"/>
      <c r="U951" s="191"/>
    </row>
    <row r="952">
      <c r="R952" s="191"/>
      <c r="S952" s="191"/>
      <c r="T952" s="191"/>
      <c r="U952" s="191"/>
    </row>
    <row r="953">
      <c r="R953" s="191"/>
      <c r="S953" s="191"/>
      <c r="T953" s="191"/>
      <c r="U953" s="191"/>
    </row>
    <row r="954">
      <c r="R954" s="191"/>
      <c r="S954" s="191"/>
      <c r="T954" s="191"/>
      <c r="U954" s="191"/>
    </row>
    <row r="955">
      <c r="R955" s="191"/>
      <c r="S955" s="191"/>
      <c r="T955" s="191"/>
      <c r="U955" s="191"/>
    </row>
    <row r="956">
      <c r="R956" s="191"/>
      <c r="S956" s="191"/>
      <c r="T956" s="191"/>
      <c r="U956" s="191"/>
    </row>
    <row r="957">
      <c r="R957" s="191"/>
      <c r="S957" s="191"/>
      <c r="T957" s="191"/>
      <c r="U957" s="191"/>
    </row>
    <row r="958">
      <c r="R958" s="191"/>
      <c r="S958" s="191"/>
      <c r="T958" s="191"/>
      <c r="U958" s="191"/>
    </row>
    <row r="959">
      <c r="R959" s="191"/>
      <c r="S959" s="191"/>
      <c r="T959" s="191"/>
      <c r="U959" s="191"/>
    </row>
    <row r="960">
      <c r="R960" s="191"/>
      <c r="S960" s="191"/>
      <c r="T960" s="191"/>
      <c r="U960" s="191"/>
    </row>
    <row r="961">
      <c r="R961" s="191"/>
      <c r="S961" s="191"/>
      <c r="T961" s="191"/>
      <c r="U961" s="191"/>
    </row>
    <row r="962">
      <c r="R962" s="191"/>
      <c r="S962" s="191"/>
      <c r="T962" s="191"/>
      <c r="U962" s="191"/>
    </row>
    <row r="963">
      <c r="R963" s="191"/>
      <c r="S963" s="191"/>
      <c r="T963" s="191"/>
      <c r="U963" s="191"/>
    </row>
    <row r="964">
      <c r="R964" s="191"/>
      <c r="S964" s="191"/>
      <c r="T964" s="191"/>
      <c r="U964" s="191"/>
    </row>
    <row r="965">
      <c r="R965" s="191"/>
      <c r="S965" s="191"/>
      <c r="T965" s="191"/>
      <c r="U965" s="191"/>
    </row>
    <row r="966">
      <c r="R966" s="191"/>
      <c r="S966" s="191"/>
      <c r="T966" s="191"/>
      <c r="U966" s="191"/>
    </row>
    <row r="967">
      <c r="R967" s="191"/>
      <c r="S967" s="191"/>
      <c r="T967" s="191"/>
      <c r="U967" s="191"/>
    </row>
    <row r="968">
      <c r="R968" s="191"/>
      <c r="S968" s="191"/>
      <c r="T968" s="191"/>
      <c r="U968" s="191"/>
    </row>
    <row r="969">
      <c r="R969" s="191"/>
      <c r="S969" s="191"/>
      <c r="T969" s="191"/>
      <c r="U969" s="191"/>
    </row>
    <row r="970">
      <c r="R970" s="191"/>
      <c r="S970" s="191"/>
      <c r="T970" s="191"/>
      <c r="U970" s="191"/>
    </row>
    <row r="971">
      <c r="R971" s="191"/>
      <c r="S971" s="191"/>
      <c r="T971" s="191"/>
      <c r="U971" s="191"/>
    </row>
    <row r="972">
      <c r="R972" s="191"/>
      <c r="S972" s="191"/>
      <c r="T972" s="191"/>
      <c r="U972" s="191"/>
    </row>
    <row r="973">
      <c r="R973" s="191"/>
      <c r="S973" s="191"/>
      <c r="T973" s="191"/>
      <c r="U973" s="191"/>
    </row>
    <row r="974">
      <c r="R974" s="191"/>
      <c r="S974" s="191"/>
      <c r="T974" s="191"/>
      <c r="U974" s="191"/>
    </row>
    <row r="975">
      <c r="R975" s="191"/>
      <c r="S975" s="191"/>
      <c r="T975" s="191"/>
      <c r="U975" s="191"/>
    </row>
  </sheetData>
  <autoFilter ref="$A$1:$AF$147">
    <filterColumn colId="22">
      <filters>
        <filter val="NO PAGADO"/>
        <filter val="PAGADO"/>
      </filters>
    </filterColumn>
  </autoFilter>
  <customSheetViews>
    <customSheetView guid="{3759F562-D616-46FC-A05A-B38854AAE1CB}" filter="1" showAutoFilter="1">
      <autoFilter ref="$A$1:$AE$147"/>
    </customSheetView>
  </customSheetViews>
  <dataValidations>
    <dataValidation type="list" allowBlank="1" showErrorMessage="1" sqref="W2:W934">
      <formula1>"1RA FACTURA,FREE,NO PAGADO,PAGADO,SERVICIO SUSPENDIDO,TERMINO DE GIRO,DE BAJA,PAGO INCOMPLETO,PRORROGA,VERIFICACIÓN PENDIENTE"</formula1>
    </dataValidation>
    <dataValidation type="list" allowBlank="1" showErrorMessage="1" sqref="AB2:AB934">
      <formula1>"PENDIENTE,FIRMADO,ENVIADO,NO HACER CONTRATO,VERIFICACION PENDIENTE"</formula1>
    </dataValidation>
    <dataValidation type="list" allowBlank="1" showErrorMessage="1" sqref="E60">
      <formula1>"EMPRENDEDOR,GO,EXECUTIVE,FULL EMPRENDEDOR,TERMINO DE GIRO,FREE,BAJA,CONGELADO"</formula1>
    </dataValidation>
    <dataValidation type="list" allowBlank="1" showErrorMessage="1" sqref="V2:V42 S43:V43 Y132 Y134:Y138 V44:V140 S141:V142 V143:V934 Y140:Y934">
      <formula1>"DECLARADO,PENDIENTE,IMPUGNADO,POSTERGADO,NOTIFICADO,NO DECLARAR,REVISAR,F29 GUARDADO,POSTERGADO"</formula1>
    </dataValidation>
    <dataValidation type="list" allowBlank="1" showErrorMessage="1" sqref="C2:D8 C12:D29 C31 C32:D34 C36:D36 C38:D47 C48 C49:D55 C56 C57:D61 C72:D77 C80:D83 C85:D101 C103:D103 C105:D108 C110:D113 C114 C115:D115 C116:C120 C121:D121 C122:C123 C124:D124 C125 C126:D126 C128:D128 C129 Y2:Y131 C130:D133 Y133 C134:C135 C136:D136 C137 C138:D139 C140 C141:D142 C144:D146">
      <formula1>"SI,NO,no contratará"</formula1>
    </dataValidation>
    <dataValidation type="list" allowBlank="1" showErrorMessage="1" sqref="E2:E59 E61:E934">
      <formula1>"EMPRENDEDOR,GO,EXECUTIVE,FULL EMPRENDEDOR,TERMINO DE GIRO,FREE,OFV,DE BAJA,CAMBIAR PLAN"</formula1>
    </dataValidation>
  </dataValidations>
  <hyperlinks>
    <hyperlink r:id="rId1" ref="O58"/>
    <hyperlink r:id="rId2" ref="O91"/>
    <hyperlink r:id="rId3" ref="O102"/>
    <hyperlink r:id="rId4" ref="O129"/>
    <hyperlink r:id="rId5" ref="O135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24.0"/>
    <col customWidth="1" min="3" max="3" width="13.75"/>
    <col customWidth="1" min="4" max="4" width="11.13"/>
    <col customWidth="1" min="6" max="6" width="6.13"/>
    <col customWidth="1" min="7" max="7" width="7.13"/>
    <col customWidth="1" min="11" max="11" width="7.63"/>
    <col customWidth="1" min="12" max="12" width="22.38"/>
    <col customWidth="1" min="15" max="15" width="38.25"/>
    <col customWidth="1" min="18" max="18" width="10.13"/>
    <col customWidth="1" min="23" max="23" width="15.0"/>
    <col customWidth="1" min="26" max="26" width="36.13"/>
  </cols>
  <sheetData>
    <row r="1">
      <c r="A1" s="112"/>
      <c r="B1" s="22" t="s">
        <v>786</v>
      </c>
      <c r="C1" s="23" t="s">
        <v>1334</v>
      </c>
      <c r="D1" s="23" t="s">
        <v>1335</v>
      </c>
      <c r="E1" s="22" t="s">
        <v>1336</v>
      </c>
      <c r="F1" s="113" t="s">
        <v>1337</v>
      </c>
      <c r="G1" s="22" t="s">
        <v>1338</v>
      </c>
      <c r="H1" s="114" t="s">
        <v>1339</v>
      </c>
      <c r="I1" s="113" t="s">
        <v>1340</v>
      </c>
      <c r="J1" s="22" t="s">
        <v>1341</v>
      </c>
      <c r="K1" s="113" t="s">
        <v>1342</v>
      </c>
      <c r="L1" s="22" t="s">
        <v>1343</v>
      </c>
      <c r="M1" s="22" t="s">
        <v>787</v>
      </c>
      <c r="N1" s="22" t="s">
        <v>788</v>
      </c>
      <c r="O1" s="22" t="s">
        <v>789</v>
      </c>
      <c r="P1" s="22" t="s">
        <v>790</v>
      </c>
      <c r="Q1" s="115" t="s">
        <v>1344</v>
      </c>
      <c r="R1" s="23" t="s">
        <v>1345</v>
      </c>
      <c r="S1" s="23" t="s">
        <v>1346</v>
      </c>
      <c r="T1" s="23" t="s">
        <v>1347</v>
      </c>
      <c r="U1" s="22" t="s">
        <v>792</v>
      </c>
      <c r="V1" s="22" t="s">
        <v>1348</v>
      </c>
      <c r="W1" s="22" t="s">
        <v>1349</v>
      </c>
      <c r="X1" s="22" t="s">
        <v>1350</v>
      </c>
      <c r="Y1" s="22" t="s">
        <v>1345</v>
      </c>
      <c r="Z1" s="22" t="s">
        <v>805</v>
      </c>
      <c r="AA1" s="22" t="s">
        <v>791</v>
      </c>
      <c r="AB1" s="22" t="s">
        <v>1351</v>
      </c>
      <c r="AC1" s="22" t="s">
        <v>1352</v>
      </c>
      <c r="AD1" s="22" t="s">
        <v>1353</v>
      </c>
      <c r="AE1" s="116" t="s">
        <v>1354</v>
      </c>
      <c r="AF1" s="117" t="s">
        <v>1355</v>
      </c>
      <c r="AG1" s="117" t="s">
        <v>1356</v>
      </c>
      <c r="AH1" s="117" t="s">
        <v>1357</v>
      </c>
      <c r="AI1" s="117" t="s">
        <v>1358</v>
      </c>
      <c r="AJ1" s="117" t="s">
        <v>1359</v>
      </c>
      <c r="AK1" s="117" t="s">
        <v>1360</v>
      </c>
    </row>
    <row r="2" hidden="1">
      <c r="A2" s="79" t="s">
        <v>1361</v>
      </c>
      <c r="B2" s="25" t="s">
        <v>553</v>
      </c>
      <c r="C2" s="30" t="s">
        <v>38</v>
      </c>
      <c r="D2" s="30" t="s">
        <v>38</v>
      </c>
      <c r="E2" s="28" t="s">
        <v>1362</v>
      </c>
      <c r="F2" s="118"/>
      <c r="G2" s="66"/>
      <c r="H2" s="88">
        <v>25210.0</v>
      </c>
      <c r="I2" s="88">
        <f t="shared" ref="I2:I112" si="1">H2*1.19</f>
        <v>29999.9</v>
      </c>
      <c r="J2" s="30">
        <v>487.0</v>
      </c>
      <c r="K2" s="104"/>
      <c r="L2" s="119"/>
      <c r="M2" s="26" t="s">
        <v>554</v>
      </c>
      <c r="N2" s="27" t="s">
        <v>807</v>
      </c>
      <c r="O2" s="28" t="s">
        <v>552</v>
      </c>
      <c r="P2" s="28" t="s">
        <v>808</v>
      </c>
      <c r="Q2" s="120" t="s">
        <v>1363</v>
      </c>
      <c r="R2" s="29"/>
      <c r="S2" s="29">
        <v>1.2825555E7</v>
      </c>
      <c r="T2" s="29">
        <v>1.755588E7</v>
      </c>
      <c r="U2" s="29">
        <v>830554.0</v>
      </c>
      <c r="V2" s="30" t="s">
        <v>1672</v>
      </c>
      <c r="W2" s="30" t="s">
        <v>1411</v>
      </c>
      <c r="X2" s="71"/>
      <c r="Y2" s="28" t="s">
        <v>50</v>
      </c>
      <c r="Z2" s="28" t="s">
        <v>812</v>
      </c>
      <c r="AA2" s="28" t="s">
        <v>809</v>
      </c>
      <c r="AB2" s="66"/>
      <c r="AC2" s="66"/>
      <c r="AD2" s="66"/>
      <c r="AE2" s="81"/>
      <c r="AF2" s="121" t="str">
        <f>IFERROR(__xludf.DUMMYFUNCTION("HYPERLINK(
""https://wa.me/""&amp;REGEXREPLACE(Q2,""[^0-9]"","""")&amp;
""?text=""&amp;
ENCODEURL(
""Buenas tardes *""&amp;B2&amp;""*.
Te recordamos que tu plan """"""&amp;E2&amp;"""""" no incluye la declaración de renta. Te enviamos varios correos informando sobre este proceso. Es"&amp;"ta semana vencen las primeras declaraciones juradas, lo que generará multas
Valor: *$""&amp;AG2&amp;""* + IVA = *$""&amp;AH2&amp;""*
El pago puedes hacerlo vía transferencia en la siguiente cuenta:
*CUENTA BANCARIA*
VOLLAIRE &amp; OLIVOS SIMPLE PYME LTDA
Banco BCI
Cuenta "&amp;"corriente
RUT 78.306.207-0
Número de cuenta: 70809538
MATIAS.OLIVOS@VSVCONSULTORES.COM
También puedes pagar con tarjeta de débito o crédito en el siguiente link:
https://www.flow.cl/btn.php?token=xe78c9acb73c3eff5e917d5c932a4a2f7f971abe
Simple Pyme""
)"&amp;",
""Enviar WhatsApp""
)"),"Enviar WhatsApp")</f>
        <v>Enviar WhatsApp</v>
      </c>
      <c r="AG2" s="122">
        <v>125000.0</v>
      </c>
      <c r="AH2" s="123">
        <f>AG2*1.19</f>
        <v>148750</v>
      </c>
      <c r="AI2" s="81"/>
      <c r="AJ2" s="81"/>
      <c r="AK2" s="81"/>
    </row>
    <row r="3" hidden="1">
      <c r="A3" s="79" t="s">
        <v>1361</v>
      </c>
      <c r="B3" s="25" t="s">
        <v>1365</v>
      </c>
      <c r="C3" s="28" t="s">
        <v>50</v>
      </c>
      <c r="D3" s="28"/>
      <c r="E3" s="28" t="s">
        <v>1362</v>
      </c>
      <c r="F3" s="118"/>
      <c r="G3" s="66"/>
      <c r="H3" s="124">
        <v>25210.0</v>
      </c>
      <c r="I3" s="88">
        <f t="shared" si="1"/>
        <v>29999.9</v>
      </c>
      <c r="J3" s="30">
        <v>489.0</v>
      </c>
      <c r="K3" s="104"/>
      <c r="L3" s="66"/>
      <c r="M3" s="26" t="s">
        <v>1366</v>
      </c>
      <c r="N3" s="26" t="s">
        <v>1367</v>
      </c>
      <c r="O3" s="28" t="s">
        <v>1368</v>
      </c>
      <c r="P3" s="28"/>
      <c r="Q3" s="120" t="s">
        <v>1369</v>
      </c>
      <c r="R3" s="29"/>
      <c r="S3" s="29">
        <v>5806162.0</v>
      </c>
      <c r="T3" s="29">
        <v>1.0029662E7</v>
      </c>
      <c r="U3" s="29">
        <v>734821.0</v>
      </c>
      <c r="V3" s="30" t="s">
        <v>1672</v>
      </c>
      <c r="W3" s="30" t="s">
        <v>1411</v>
      </c>
      <c r="X3" s="125"/>
      <c r="Y3" s="28" t="s">
        <v>50</v>
      </c>
      <c r="Z3" s="28" t="s">
        <v>1370</v>
      </c>
      <c r="AA3" s="28" t="s">
        <v>809</v>
      </c>
      <c r="AB3" s="66"/>
      <c r="AC3" s="66"/>
      <c r="AD3" s="66"/>
      <c r="AE3" s="81"/>
      <c r="AF3" s="121" t="str">
        <f>IFERROR(__xludf.DUMMYFUNCTION("HYPERLINK(
""https://wa.me/""&amp;REGEXREPLACE(Q3,""[^0-9]"","""")&amp;
""?text=""&amp;
ENCODEURL(
""Buenas tardes *""&amp;B3&amp;""*.
Te recordamos que la operación renta ya comenzó y vencieron las primeras declaracione juradas *EVITA MÁS MULTAS*,  tu plan """"""&amp;E3&amp;"""""""&amp;" no incluye la declaración de renta. Te enviamos varios correos informando sobre este proceso. 
Valor del servicio: *$""&amp;AG3&amp;""* + IVA = *$""&amp;AH3&amp;""*
El pago puedes hacerlo vía transferencia en la siguiente *EN HASTA DOS CUOTAS*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3" s="123">
        <v>187500.0</v>
      </c>
      <c r="AH3" s="123">
        <v>223125.0</v>
      </c>
      <c r="AI3" s="123"/>
      <c r="AJ3" s="123"/>
      <c r="AK3" s="123"/>
    </row>
    <row r="4" hidden="1">
      <c r="A4" s="126" t="s">
        <v>1361</v>
      </c>
      <c r="B4" s="25" t="s">
        <v>814</v>
      </c>
      <c r="C4" s="30" t="s">
        <v>38</v>
      </c>
      <c r="D4" s="30" t="s">
        <v>38</v>
      </c>
      <c r="E4" s="48" t="s">
        <v>1362</v>
      </c>
      <c r="F4" s="118"/>
      <c r="G4" s="66"/>
      <c r="H4" s="88">
        <v>40000.0</v>
      </c>
      <c r="I4" s="88">
        <f t="shared" si="1"/>
        <v>47600</v>
      </c>
      <c r="J4" s="30">
        <v>496.0</v>
      </c>
      <c r="K4" s="104"/>
      <c r="L4" s="71"/>
      <c r="M4" s="26" t="s">
        <v>154</v>
      </c>
      <c r="N4" s="26" t="s">
        <v>815</v>
      </c>
      <c r="O4" s="28" t="s">
        <v>160</v>
      </c>
      <c r="P4" s="28" t="s">
        <v>816</v>
      </c>
      <c r="Q4" s="30" t="s">
        <v>1371</v>
      </c>
      <c r="R4" s="29"/>
      <c r="S4" s="29">
        <v>47600.0</v>
      </c>
      <c r="T4" s="29">
        <v>571676.0</v>
      </c>
      <c r="U4" s="29">
        <v>84277.0</v>
      </c>
      <c r="V4" s="30" t="s">
        <v>810</v>
      </c>
      <c r="W4" s="30" t="s">
        <v>1411</v>
      </c>
      <c r="X4" s="127">
        <v>46093.0</v>
      </c>
      <c r="Y4" s="48" t="s">
        <v>50</v>
      </c>
      <c r="Z4" s="28" t="s">
        <v>817</v>
      </c>
      <c r="AA4" s="28" t="s">
        <v>809</v>
      </c>
      <c r="AB4" s="106"/>
      <c r="AC4" s="66"/>
      <c r="AD4" s="66"/>
      <c r="AE4" s="81"/>
      <c r="AF4" s="121" t="str">
        <f>IFERROR(__xludf.DUMMYFUNCTION("HYPERLINK(
""https://wa.me/""&amp;REGEXREPLACE(Q4,""[^0-9]"","""")&amp;
""?text=""&amp;
ENCODEURL(
""Hola *""&amp;B4&amp;""*.
Te recordamos que la factura Nº *""&amp;J4&amp;""* por el plan """"""&amp;E4&amp;"""""" se encuentra disponible para pago y vence hoy.
Monto: *$""&amp;I4&amp;""*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" s="81"/>
      <c r="AH4" s="81">
        <f>AG4*1.19</f>
        <v>0</v>
      </c>
      <c r="AI4" s="81"/>
      <c r="AJ4" s="81"/>
      <c r="AK4" s="81"/>
    </row>
    <row r="5" hidden="1">
      <c r="A5" s="126" t="s">
        <v>1361</v>
      </c>
      <c r="B5" s="25" t="s">
        <v>819</v>
      </c>
      <c r="C5" s="30" t="s">
        <v>38</v>
      </c>
      <c r="D5" s="30" t="s">
        <v>38</v>
      </c>
      <c r="E5" s="48" t="s">
        <v>1372</v>
      </c>
      <c r="F5" s="118"/>
      <c r="G5" s="66"/>
      <c r="H5" s="124">
        <v>50000.0</v>
      </c>
      <c r="I5" s="88">
        <f t="shared" si="1"/>
        <v>59500</v>
      </c>
      <c r="J5" s="30">
        <v>492.0</v>
      </c>
      <c r="K5" s="97" t="s">
        <v>1373</v>
      </c>
      <c r="L5" s="71" t="s">
        <v>1673</v>
      </c>
      <c r="M5" s="26" t="s">
        <v>725</v>
      </c>
      <c r="N5" s="26" t="s">
        <v>726</v>
      </c>
      <c r="O5" s="28" t="s">
        <v>723</v>
      </c>
      <c r="P5" s="28" t="s">
        <v>820</v>
      </c>
      <c r="Q5" s="120" t="s">
        <v>1374</v>
      </c>
      <c r="R5" s="29"/>
      <c r="S5" s="29">
        <v>59500.0</v>
      </c>
      <c r="T5" s="29">
        <v>0.0</v>
      </c>
      <c r="U5" s="29">
        <v>0.0</v>
      </c>
      <c r="V5" s="30" t="s">
        <v>810</v>
      </c>
      <c r="W5" s="30" t="s">
        <v>1411</v>
      </c>
      <c r="X5" s="128">
        <v>46090.0</v>
      </c>
      <c r="Y5" s="48" t="s">
        <v>50</v>
      </c>
      <c r="Z5" s="28" t="s">
        <v>821</v>
      </c>
      <c r="AA5" s="28" t="s">
        <v>728</v>
      </c>
      <c r="AB5" s="48" t="s">
        <v>811</v>
      </c>
      <c r="AC5" s="66"/>
      <c r="AD5" s="66"/>
      <c r="AE5" s="81"/>
      <c r="AF5" s="121" t="str">
        <f>IFERROR(__xludf.DUMMYFUNCTION("HYPERLINK(
""https://wa.me/""&amp;REGEXREPLACE(Q5,""[^0-9]"","""")&amp;
""?text=""&amp;
ENCODEURL(
""Buenas tardes *""&amp;B5&amp;""*.
Te recordamos que tu plan """"""&amp;E5&amp;"""""" no incluye la declaración de renta. Te enviamos varios correos informando sobre este proceso. Es"&amp;"ta semana vencen las primeras declaraciones juradas, lo que generará multas
Valor: *$""&amp;AG5&amp;""* + IVA = *$""&amp;AH5&amp;""*
El pago puedes hacerlo vía transferencia en la siguiente *EN HASTA DOS CUOTAS* cuenta:
*CUENTA BANCARIA*
VOLLAIRE &amp; OLIVOS SIMPLE PYME "&amp;"LTDA
Banco BCI
Cuenta corriente
RUT 78.306.207-0
Número de cuenta: 70809538
MATIAS.OLIVOS@VSVCONSULTORES.COM
También puedes pagar con tarjeta de débito o crédito en el siguiente link:
https://www.flow.cl/btn.php?token=xe78c9acb73c3eff5e917d5c932a4a2f7f97"&amp;"1abe
Simple Pyme""
),
""Enviar WhatsApp""
)"),"Enviar WhatsApp")</f>
        <v>Enviar WhatsApp</v>
      </c>
      <c r="AG5" s="123">
        <v>156250.0</v>
      </c>
      <c r="AH5" s="123">
        <v>185937.5</v>
      </c>
      <c r="AI5" s="123"/>
      <c r="AJ5" s="123"/>
      <c r="AK5" s="123"/>
    </row>
    <row r="6" hidden="1">
      <c r="A6" s="126" t="s">
        <v>1361</v>
      </c>
      <c r="B6" s="25" t="s">
        <v>823</v>
      </c>
      <c r="C6" s="30" t="s">
        <v>38</v>
      </c>
      <c r="D6" s="30" t="s">
        <v>38</v>
      </c>
      <c r="E6" s="48" t="s">
        <v>1375</v>
      </c>
      <c r="F6" s="118"/>
      <c r="G6" s="28" t="s">
        <v>50</v>
      </c>
      <c r="H6" s="54">
        <v>0.0</v>
      </c>
      <c r="I6" s="88">
        <f t="shared" si="1"/>
        <v>0</v>
      </c>
      <c r="J6" s="129" t="s">
        <v>1376</v>
      </c>
      <c r="K6" s="104"/>
      <c r="L6" s="30" t="s">
        <v>1377</v>
      </c>
      <c r="M6" s="26" t="s">
        <v>461</v>
      </c>
      <c r="N6" s="26" t="s">
        <v>462</v>
      </c>
      <c r="O6" s="28" t="s">
        <v>459</v>
      </c>
      <c r="P6" s="28" t="s">
        <v>461</v>
      </c>
      <c r="Q6" s="120">
        <v>9.86455813E8</v>
      </c>
      <c r="R6" s="29"/>
      <c r="S6" s="29">
        <v>0.0</v>
      </c>
      <c r="T6" s="29">
        <v>881538.0</v>
      </c>
      <c r="U6" s="29" t="s">
        <v>1674</v>
      </c>
      <c r="V6" s="30" t="s">
        <v>810</v>
      </c>
      <c r="W6" s="48" t="s">
        <v>1375</v>
      </c>
      <c r="X6" s="66"/>
      <c r="Y6" s="48" t="s">
        <v>50</v>
      </c>
      <c r="Z6" s="28" t="s">
        <v>823</v>
      </c>
      <c r="AA6" s="28" t="s">
        <v>824</v>
      </c>
      <c r="AB6" s="106"/>
      <c r="AC6" s="66"/>
      <c r="AD6" s="66"/>
      <c r="AE6" s="81"/>
      <c r="AF6" s="81" t="str">
        <f>IFERROR(__xludf.DUMMYFUNCTION("HYPERLINK(
""https://wa.me/""&amp;REGEXREPLACE(Q6,""[^0-9]"","""")&amp;
""?text=""&amp;
ENCODEURL(
""Hola *""&amp;B6&amp;""*.
Te recordamos que la factura Nº *""&amp;J6&amp;""* por el plan """"""&amp;E6&amp;"""""" se encuentra disponible para pago y vence hoy.
Monto: *$""&amp;I6&amp;""*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*$""&amp;AG6&amp;""*
Valor total febrero (con IVA): *$""&amp;AH6&amp;""*
A partir de mañana el valor aumenta un 25"&amp;"%, correspondiente al valor de diciembre.
Simple Pyme""
),
""Enviar WhatsApp""
)"),"Enviar WhatsApp")</f>
        <v>Enviar WhatsApp</v>
      </c>
      <c r="AG6" s="81"/>
      <c r="AH6" s="81"/>
      <c r="AI6" s="81"/>
      <c r="AJ6" s="81"/>
      <c r="AK6" s="81"/>
    </row>
    <row r="7" hidden="1">
      <c r="A7" s="126" t="s">
        <v>1361</v>
      </c>
      <c r="B7" s="25" t="s">
        <v>88</v>
      </c>
      <c r="C7" s="30" t="s">
        <v>38</v>
      </c>
      <c r="D7" s="30" t="s">
        <v>38</v>
      </c>
      <c r="E7" s="48" t="s">
        <v>1362</v>
      </c>
      <c r="F7" s="118"/>
      <c r="G7" s="66"/>
      <c r="H7" s="88">
        <v>30000.0</v>
      </c>
      <c r="I7" s="88">
        <f t="shared" si="1"/>
        <v>35700</v>
      </c>
      <c r="J7" s="30">
        <v>493.0</v>
      </c>
      <c r="K7" s="104"/>
      <c r="L7" s="71"/>
      <c r="M7" s="26" t="s">
        <v>89</v>
      </c>
      <c r="N7" s="26" t="s">
        <v>90</v>
      </c>
      <c r="O7" s="28" t="s">
        <v>93</v>
      </c>
      <c r="P7" s="28" t="s">
        <v>825</v>
      </c>
      <c r="Q7" s="120" t="s">
        <v>1378</v>
      </c>
      <c r="R7" s="29"/>
      <c r="S7" s="29">
        <v>474978.0</v>
      </c>
      <c r="T7" s="29">
        <v>1286020.0</v>
      </c>
      <c r="U7" s="29">
        <v>111691.0</v>
      </c>
      <c r="V7" s="30" t="s">
        <v>810</v>
      </c>
      <c r="W7" s="30" t="s">
        <v>1411</v>
      </c>
      <c r="X7" s="130"/>
      <c r="Y7" s="48" t="s">
        <v>50</v>
      </c>
      <c r="Z7" s="28" t="s">
        <v>826</v>
      </c>
      <c r="AA7" s="28" t="s">
        <v>92</v>
      </c>
      <c r="AB7" s="106"/>
      <c r="AC7" s="66"/>
      <c r="AD7" s="66"/>
      <c r="AE7" s="81"/>
      <c r="AF7" s="121" t="str">
        <f>IFERROR(__xludf.DUMMYFUNCTION("HYPERLINK(
""https://wa.me/""&amp;REGEXREPLACE(Q7,""[^0-9]"","""")&amp;
""?text=""&amp;
ENCODEURL(
""Hola *""&amp;B7&amp;""*.
Te recordamos que la factura Nº *""&amp;J7&amp;""* por el plan """"""&amp;E7&amp;"""""" se encuentra disponible para pago y vence hoy.
Monto: *$""&amp;I7&amp;""*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7" s="81"/>
      <c r="AH7" s="81">
        <f t="shared" ref="AH7:AH8" si="2">AG7*1.19</f>
        <v>0</v>
      </c>
      <c r="AI7" s="81"/>
      <c r="AJ7" s="81"/>
      <c r="AK7" s="81"/>
    </row>
    <row r="8" hidden="1">
      <c r="A8" s="126" t="s">
        <v>1361</v>
      </c>
      <c r="B8" s="25" t="s">
        <v>827</v>
      </c>
      <c r="C8" s="30" t="s">
        <v>38</v>
      </c>
      <c r="D8" s="30" t="s">
        <v>38</v>
      </c>
      <c r="E8" s="48" t="s">
        <v>1372</v>
      </c>
      <c r="F8" s="118"/>
      <c r="G8" s="66"/>
      <c r="H8" s="88">
        <v>50000.0</v>
      </c>
      <c r="I8" s="88">
        <f t="shared" si="1"/>
        <v>59500</v>
      </c>
      <c r="J8" s="30">
        <v>495.0</v>
      </c>
      <c r="K8" s="88">
        <v>119000.0</v>
      </c>
      <c r="L8" s="71"/>
      <c r="M8" s="26" t="s">
        <v>828</v>
      </c>
      <c r="N8" s="26" t="s">
        <v>829</v>
      </c>
      <c r="O8" s="28" t="s">
        <v>319</v>
      </c>
      <c r="P8" s="28" t="s">
        <v>830</v>
      </c>
      <c r="Q8" s="30" t="s">
        <v>1379</v>
      </c>
      <c r="R8" s="29"/>
      <c r="S8" s="29">
        <v>117333.0</v>
      </c>
      <c r="T8" s="29">
        <v>0.0</v>
      </c>
      <c r="U8" s="29">
        <v>0.0</v>
      </c>
      <c r="V8" s="30" t="s">
        <v>810</v>
      </c>
      <c r="W8" s="30" t="s">
        <v>1411</v>
      </c>
      <c r="X8" s="127">
        <v>46086.0</v>
      </c>
      <c r="Y8" s="48" t="s">
        <v>50</v>
      </c>
      <c r="Z8" s="28" t="s">
        <v>831</v>
      </c>
      <c r="AA8" s="28" t="s">
        <v>325</v>
      </c>
      <c r="AB8" s="106"/>
      <c r="AC8" s="66"/>
      <c r="AD8" s="66"/>
      <c r="AE8" s="81"/>
      <c r="AF8" s="121" t="str">
        <f>IFERROR(__xludf.DUMMYFUNCTION("HYPERLINK(
""https://wa.me/""&amp;REGEXREPLACE(Q8,""[^0-9]"","""")&amp;
""?text=""&amp;
ENCODEURL(
""Hola *""&amp;B8&amp;""*.
Te recordamos que la factura Nº *""&amp;J8&amp;""* por el plan """"""&amp;E8&amp;"""""" se encuentra disponible para pago y vence hoy.
Monto: *$""&amp;I8&amp;""*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*$""&amp;AG8&amp;""*
Valor total febrero (con IVA): *$""&amp;AH8&amp;""*
A partir de mañana el valor aumenta un 25"&amp;"%, correspondiente al valor de diciembre.
Simple Pyme""
),
""Enviar WhatsApp""
)"),"Enviar WhatsApp")</f>
        <v>Enviar WhatsApp</v>
      </c>
      <c r="AG8" s="81"/>
      <c r="AH8" s="81">
        <f t="shared" si="2"/>
        <v>0</v>
      </c>
      <c r="AI8" s="81"/>
      <c r="AJ8" s="81"/>
      <c r="AK8" s="81"/>
    </row>
    <row r="9" hidden="1">
      <c r="A9" s="126" t="s">
        <v>1361</v>
      </c>
      <c r="B9" s="25" t="s">
        <v>832</v>
      </c>
      <c r="C9" s="66"/>
      <c r="D9" s="66"/>
      <c r="E9" s="48" t="s">
        <v>1380</v>
      </c>
      <c r="F9" s="118"/>
      <c r="G9" s="66"/>
      <c r="H9" s="88" t="s">
        <v>1381</v>
      </c>
      <c r="I9" s="88">
        <f t="shared" si="1"/>
        <v>0</v>
      </c>
      <c r="J9" s="129" t="s">
        <v>1376</v>
      </c>
      <c r="K9" s="104"/>
      <c r="L9" s="66"/>
      <c r="M9" s="26" t="s">
        <v>833</v>
      </c>
      <c r="N9" s="26" t="s">
        <v>834</v>
      </c>
      <c r="O9" s="28" t="s">
        <v>277</v>
      </c>
      <c r="P9" s="28" t="s">
        <v>835</v>
      </c>
      <c r="Q9" s="30" t="s">
        <v>1382</v>
      </c>
      <c r="R9" s="47"/>
      <c r="S9" s="47">
        <v>0.0</v>
      </c>
      <c r="T9" s="47">
        <v>0.0</v>
      </c>
      <c r="U9" s="47">
        <v>0.0</v>
      </c>
      <c r="V9" s="30" t="s">
        <v>810</v>
      </c>
      <c r="W9" s="48" t="s">
        <v>1380</v>
      </c>
      <c r="X9" s="66"/>
      <c r="Y9" s="48" t="s">
        <v>50</v>
      </c>
      <c r="Z9" s="28" t="s">
        <v>837</v>
      </c>
      <c r="AA9" s="28" t="s">
        <v>836</v>
      </c>
      <c r="AB9" s="106"/>
      <c r="AC9" s="66"/>
      <c r="AD9" s="66"/>
      <c r="AE9" s="81"/>
      <c r="AF9" s="121" t="str">
        <f>IFERROR(__xludf.DUMMYFUNCTION("HYPERLINK(
""https://wa.me/""&amp;REGEXREPLACE(Q9,""[^0-9]"","""")&amp;
""?text=""&amp;
ENCODEURL(
""Hola *""&amp;B9&amp;""*.
Te recordamos que la factura Nº *""&amp;J9&amp;""* por el plan """"""&amp;E9&amp;"""""" se encuentra disponible para pago y vence hoy.
Monto: *$""&amp;I9&amp;""*
El pago "&amp;"puedes hacerlo vía transferencia en la siguiente cuenta:
*CUENTA BANCARIA*
VOLLAIRE &amp; OLIVOS SIMPLE PYME LTDA
Banco BCI
Cuenta corriente
RUT 78.306.207-0
Número de cuenta: 70809538
MATIAS.OLIVOS@VSVCONSULTORES.COM
También puedes pagar con tarjeta de déb"&amp;"ito o crédito en el siguiente link:
https://www.flow.cl/btn.php?token=xe78c9acb73c3eff5e917d5c932a4a2f7f971abe
Agradecemos realizar el pago dentro del plazo para evitar la suspensión del servicio.
También te recordamos que tu servicio contable no incluy"&amp;"e la Operación Renta. Te enviamos correos informando sobre este proceso. Si pagas el servicio hoy, puedo mantener el valor de febrero:
Valor neto febrero: *$""&amp;AG9&amp;""*
Valor total febrero (con IVA): *$""&amp;AH9&amp;""*
A partir de mañana el valor aumenta un 25"&amp;"%, correspondiente al valor de diciembre.
Simple Pyme""
),
""Enviar WhatsApp""
)"),"Enviar WhatsApp")</f>
        <v>Enviar WhatsApp</v>
      </c>
      <c r="AG9" s="81"/>
      <c r="AH9" s="81"/>
      <c r="AI9" s="81"/>
      <c r="AJ9" s="81"/>
      <c r="AK9" s="81"/>
    </row>
    <row r="10" hidden="1">
      <c r="A10" s="126" t="s">
        <v>1361</v>
      </c>
      <c r="B10" s="25" t="s">
        <v>838</v>
      </c>
      <c r="C10" s="66"/>
      <c r="D10" s="66"/>
      <c r="E10" s="48" t="s">
        <v>1380</v>
      </c>
      <c r="F10" s="118"/>
      <c r="G10" s="66"/>
      <c r="H10" s="88" t="s">
        <v>1381</v>
      </c>
      <c r="I10" s="88">
        <f t="shared" si="1"/>
        <v>0</v>
      </c>
      <c r="J10" s="129" t="s">
        <v>1376</v>
      </c>
      <c r="K10" s="104"/>
      <c r="L10" s="66"/>
      <c r="M10" s="26" t="s">
        <v>839</v>
      </c>
      <c r="N10" s="26" t="s">
        <v>840</v>
      </c>
      <c r="O10" s="28" t="s">
        <v>96</v>
      </c>
      <c r="P10" s="28" t="s">
        <v>841</v>
      </c>
      <c r="Q10" s="30" t="s">
        <v>1383</v>
      </c>
      <c r="R10" s="29"/>
      <c r="S10" s="29">
        <v>0.0</v>
      </c>
      <c r="T10" s="29">
        <v>0.0</v>
      </c>
      <c r="U10" s="29">
        <v>0.0</v>
      </c>
      <c r="V10" s="30" t="s">
        <v>810</v>
      </c>
      <c r="W10" s="48" t="s">
        <v>1380</v>
      </c>
      <c r="X10" s="66"/>
      <c r="Y10" s="48" t="s">
        <v>50</v>
      </c>
      <c r="Z10" s="28" t="s">
        <v>843</v>
      </c>
      <c r="AA10" s="28" t="s">
        <v>842</v>
      </c>
      <c r="AB10" s="106"/>
      <c r="AC10" s="66"/>
      <c r="AD10" s="66"/>
      <c r="AE10" s="81"/>
      <c r="AF10" s="121" t="str">
        <f>IFERROR(__xludf.DUMMYFUNCTION("HYPERLINK(
""https://wa.me/""&amp;REGEXREPLACE(Q10,""[^0-9]"","""")&amp;
""?text=""&amp;
ENCODEURL(
""Hola *""&amp;B10&amp;""*.
Te recordamos que la factura Nº *""&amp;J10&amp;""* por el plan """"""&amp;E10&amp;"""""" se encuentra disponible para pago y vence hoy.
Monto: *$""&amp;I10&amp;""*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*$""&amp;AG10&amp;""*
Valor total febrero (con IVA): *$""&amp;AH10&amp;""*
A partir de mañana el valor aument"&amp;"a un 25%, correspondiente al valor de diciembre.
Simple Pyme""
),
""Enviar WhatsApp""
)"),"Enviar WhatsApp")</f>
        <v>Enviar WhatsApp</v>
      </c>
      <c r="AG10" s="81"/>
      <c r="AH10" s="81"/>
      <c r="AI10" s="81"/>
      <c r="AJ10" s="81"/>
      <c r="AK10" s="81"/>
    </row>
    <row r="11" hidden="1">
      <c r="A11" s="126" t="s">
        <v>1361</v>
      </c>
      <c r="B11" s="25" t="s">
        <v>844</v>
      </c>
      <c r="C11" s="66"/>
      <c r="D11" s="66"/>
      <c r="E11" s="48" t="s">
        <v>1380</v>
      </c>
      <c r="F11" s="118"/>
      <c r="G11" s="66"/>
      <c r="H11" s="88" t="s">
        <v>1381</v>
      </c>
      <c r="I11" s="88">
        <f t="shared" si="1"/>
        <v>0</v>
      </c>
      <c r="J11" s="129" t="s">
        <v>1376</v>
      </c>
      <c r="K11" s="104"/>
      <c r="L11" s="66"/>
      <c r="M11" s="26" t="s">
        <v>845</v>
      </c>
      <c r="N11" s="26" t="s">
        <v>846</v>
      </c>
      <c r="O11" s="28" t="s">
        <v>847</v>
      </c>
      <c r="P11" s="28" t="s">
        <v>848</v>
      </c>
      <c r="Q11" s="30" t="s">
        <v>1384</v>
      </c>
      <c r="R11" s="29"/>
      <c r="S11" s="29">
        <v>0.0</v>
      </c>
      <c r="T11" s="29">
        <v>0.0</v>
      </c>
      <c r="U11" s="29">
        <v>0.0</v>
      </c>
      <c r="V11" s="30" t="s">
        <v>810</v>
      </c>
      <c r="W11" s="48" t="s">
        <v>1380</v>
      </c>
      <c r="X11" s="66"/>
      <c r="Y11" s="48" t="s">
        <v>50</v>
      </c>
      <c r="Z11" s="28" t="s">
        <v>1385</v>
      </c>
      <c r="AA11" s="28" t="s">
        <v>849</v>
      </c>
      <c r="AB11" s="106"/>
      <c r="AC11" s="66"/>
      <c r="AD11" s="66"/>
      <c r="AE11" s="81"/>
      <c r="AF11" s="121" t="str">
        <f>IFERROR(__xludf.DUMMYFUNCTION("HYPERLINK(
""https://wa.me/""&amp;REGEXREPLACE(Q11,""[^0-9]"","""")&amp;
""?text=""&amp;
ENCODEURL(
""Hola *""&amp;B11&amp;""*.
Te recordamos que la factura Nº *""&amp;J11&amp;""* por el plan """"""&amp;E11&amp;"""""" se encuentra disponible para pago y vence hoy.
Monto: *$""&amp;I11&amp;""*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*$""&amp;AG11&amp;""*
Valor total febrero (con IVA): *$""&amp;AH11&amp;""*
A partir de mañana el valor aument"&amp;"a un 25%, correspondiente al valor de diciembre.
Simple Pyme""
),
""Enviar WhatsApp""
)"),"Enviar WhatsApp")</f>
        <v>Enviar WhatsApp</v>
      </c>
      <c r="AG11" s="81"/>
      <c r="AH11" s="81"/>
      <c r="AI11" s="81"/>
      <c r="AJ11" s="81"/>
      <c r="AK11" s="81"/>
    </row>
    <row r="12" hidden="1">
      <c r="A12" s="126" t="s">
        <v>1361</v>
      </c>
      <c r="B12" s="25" t="s">
        <v>1325</v>
      </c>
      <c r="C12" s="28" t="s">
        <v>50</v>
      </c>
      <c r="D12" s="28"/>
      <c r="E12" s="48" t="s">
        <v>1372</v>
      </c>
      <c r="F12" s="118"/>
      <c r="G12" s="28">
        <v>3.0</v>
      </c>
      <c r="H12" s="88">
        <v>70000.0</v>
      </c>
      <c r="I12" s="88">
        <f t="shared" si="1"/>
        <v>83300</v>
      </c>
      <c r="J12" s="30">
        <v>494.0</v>
      </c>
      <c r="K12" s="104"/>
      <c r="L12" s="71"/>
      <c r="M12" s="26" t="s">
        <v>1326</v>
      </c>
      <c r="N12" s="26" t="s">
        <v>1327</v>
      </c>
      <c r="O12" s="28" t="s">
        <v>1386</v>
      </c>
      <c r="P12" s="28" t="s">
        <v>1387</v>
      </c>
      <c r="Q12" s="30" t="s">
        <v>1388</v>
      </c>
      <c r="R12" s="29"/>
      <c r="S12" s="29">
        <v>2357825.0</v>
      </c>
      <c r="T12" s="29">
        <v>1.878058E7</v>
      </c>
      <c r="U12" s="29">
        <v>2649833.0</v>
      </c>
      <c r="V12" s="30" t="s">
        <v>810</v>
      </c>
      <c r="W12" s="30" t="s">
        <v>1411</v>
      </c>
      <c r="X12" s="131">
        <v>46089.0</v>
      </c>
      <c r="Y12" s="48" t="s">
        <v>50</v>
      </c>
      <c r="Z12" s="28" t="s">
        <v>1389</v>
      </c>
      <c r="AA12" s="28" t="s">
        <v>1390</v>
      </c>
      <c r="AB12" s="106"/>
      <c r="AC12" s="66"/>
      <c r="AD12" s="66"/>
      <c r="AE12" s="81"/>
      <c r="AF12" s="121" t="str">
        <f>IFERROR(__xludf.DUMMYFUNCTION("HYPERLINK(
""https://wa.me/""&amp;REGEXREPLACE(Q12,""[^0-9]"","""")&amp;
""?text=""&amp;
ENCODEURL(
""Buenas tardes *""&amp;B12&amp;""*.
Te recordamos que la operación renta ya comenzó y vencieron las primeras declaracione juradas *EVITA MÁS MULTAS*,  tu plan """"""&amp;E12&amp;"""&amp;""""" no incluye la declaración de renta. Te enviamos varios correos informando sobre este proceso. 
Valor del servicio: *$""&amp;AG12&amp;""* + IVA = *$""&amp;AH12&amp;""*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12" s="123">
        <v>156250.0</v>
      </c>
      <c r="AH12" s="123">
        <v>185937.5</v>
      </c>
      <c r="AI12" s="123"/>
      <c r="AJ12" s="123"/>
      <c r="AK12" s="123"/>
    </row>
    <row r="13" hidden="1">
      <c r="A13" s="79" t="s">
        <v>1361</v>
      </c>
      <c r="B13" s="40" t="s">
        <v>498</v>
      </c>
      <c r="C13" s="30" t="s">
        <v>38</v>
      </c>
      <c r="D13" s="30" t="s">
        <v>38</v>
      </c>
      <c r="E13" s="30" t="s">
        <v>1362</v>
      </c>
      <c r="F13" s="118"/>
      <c r="G13" s="71">
        <v>1.0</v>
      </c>
      <c r="H13" s="54">
        <v>40000.0</v>
      </c>
      <c r="I13" s="88">
        <f t="shared" si="1"/>
        <v>47600</v>
      </c>
      <c r="J13" s="30">
        <v>497.0</v>
      </c>
      <c r="K13" s="97">
        <v>92969.0</v>
      </c>
      <c r="L13" s="65"/>
      <c r="M13" s="26" t="s">
        <v>499</v>
      </c>
      <c r="N13" s="26" t="s">
        <v>500</v>
      </c>
      <c r="O13" s="28" t="s">
        <v>850</v>
      </c>
      <c r="P13" s="28" t="s">
        <v>851</v>
      </c>
      <c r="Q13" s="120" t="s">
        <v>1391</v>
      </c>
      <c r="R13" s="29"/>
      <c r="S13" s="29">
        <f>2774348-579158</f>
        <v>2195190</v>
      </c>
      <c r="T13" s="29">
        <f>315000+1420168+840</f>
        <v>1736008</v>
      </c>
      <c r="U13" s="29">
        <v>2170.0</v>
      </c>
      <c r="V13" s="30" t="s">
        <v>810</v>
      </c>
      <c r="W13" s="30" t="s">
        <v>1411</v>
      </c>
      <c r="X13" s="132">
        <v>46091.0</v>
      </c>
      <c r="Y13" s="28" t="s">
        <v>50</v>
      </c>
      <c r="Z13" s="28" t="s">
        <v>853</v>
      </c>
      <c r="AA13" s="28" t="s">
        <v>852</v>
      </c>
      <c r="AB13" s="66"/>
      <c r="AC13" s="66"/>
      <c r="AD13" s="66"/>
      <c r="AE13" s="81"/>
      <c r="AF13" s="121" t="str">
        <f>IFERROR(__xludf.DUMMYFUNCTION("HYPERLINK(
""https://wa.me/""&amp;REGEXREPLACE(Q13,""[^0-9]"","""")&amp;
""?text=""&amp;
ENCODEURL(
""Hola *""&amp;B13&amp;""*.
Te recordamos que la factura Nº *""&amp;J13&amp;""* por el plan """"""&amp;E13&amp;"""""" se encuentra disponible para pago y vence hoy.
Monto: *$""&amp;I13&amp;""*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3" s="81"/>
      <c r="AH13" s="81">
        <f>AG13*1.19</f>
        <v>0</v>
      </c>
      <c r="AI13" s="81"/>
      <c r="AJ13" s="81"/>
      <c r="AK13" s="81"/>
    </row>
    <row r="14" hidden="1">
      <c r="A14" s="126" t="s">
        <v>1361</v>
      </c>
      <c r="B14" s="40" t="s">
        <v>854</v>
      </c>
      <c r="C14" s="30" t="s">
        <v>38</v>
      </c>
      <c r="D14" s="30" t="s">
        <v>38</v>
      </c>
      <c r="E14" s="48" t="s">
        <v>1375</v>
      </c>
      <c r="F14" s="118"/>
      <c r="G14" s="66"/>
      <c r="H14" s="88" t="s">
        <v>1381</v>
      </c>
      <c r="I14" s="88">
        <f t="shared" si="1"/>
        <v>0</v>
      </c>
      <c r="J14" s="129" t="s">
        <v>1376</v>
      </c>
      <c r="K14" s="104"/>
      <c r="L14" s="30" t="s">
        <v>1392</v>
      </c>
      <c r="M14" s="26" t="s">
        <v>425</v>
      </c>
      <c r="N14" s="26" t="s">
        <v>426</v>
      </c>
      <c r="O14" s="28" t="s">
        <v>855</v>
      </c>
      <c r="P14" s="28" t="s">
        <v>856</v>
      </c>
      <c r="Q14" s="120">
        <v>9.55255801E8</v>
      </c>
      <c r="R14" s="41"/>
      <c r="S14" s="41"/>
      <c r="T14" s="41"/>
      <c r="U14" s="41">
        <v>21.0</v>
      </c>
      <c r="V14" s="30" t="s">
        <v>810</v>
      </c>
      <c r="W14" s="48" t="s">
        <v>1375</v>
      </c>
      <c r="X14" s="66"/>
      <c r="Y14" s="48" t="s">
        <v>50</v>
      </c>
      <c r="Z14" s="28" t="s">
        <v>858</v>
      </c>
      <c r="AA14" s="28" t="s">
        <v>857</v>
      </c>
      <c r="AB14" s="106"/>
      <c r="AC14" s="66"/>
      <c r="AD14" s="66"/>
      <c r="AE14" s="81"/>
      <c r="AF14" s="81" t="str">
        <f>IFERROR(__xludf.DUMMYFUNCTION("HYPERLINK(
""https://wa.me/""&amp;REGEXREPLACE(Q14,""[^0-9]"","""")&amp;
""?text=""&amp;
ENCODEURL(
""Hola *""&amp;B14&amp;""*.
Te recordamos que la factura Nº *""&amp;J14&amp;""* por el plan """"""&amp;E14&amp;"""""" se encuentra disponible para pago y vence hoy.
Monto: *$""&amp;I14&amp;""*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*$""&amp;AG14&amp;""*
Valor total febrero (con IVA): *$""&amp;AH14&amp;""*
A partir de mañana el valor aument"&amp;"a un 25%, correspondiente al valor de diciembre.
Simple Pyme""
),
""Enviar WhatsApp""
)"),"Enviar WhatsApp")</f>
        <v>Enviar WhatsApp</v>
      </c>
      <c r="AG14" s="81"/>
      <c r="AH14" s="81"/>
      <c r="AI14" s="81"/>
      <c r="AJ14" s="81"/>
      <c r="AK14" s="81"/>
    </row>
    <row r="15" hidden="1">
      <c r="A15" s="126" t="s">
        <v>1361</v>
      </c>
      <c r="B15" s="133" t="s">
        <v>859</v>
      </c>
      <c r="C15" s="30" t="s">
        <v>38</v>
      </c>
      <c r="D15" s="30" t="s">
        <v>38</v>
      </c>
      <c r="E15" s="48" t="s">
        <v>1372</v>
      </c>
      <c r="F15" s="118"/>
      <c r="G15" s="28">
        <v>1.0</v>
      </c>
      <c r="H15" s="88">
        <v>50000.0</v>
      </c>
      <c r="I15" s="88">
        <f t="shared" si="1"/>
        <v>59500</v>
      </c>
      <c r="J15" s="30">
        <v>498.0</v>
      </c>
      <c r="K15" s="104"/>
      <c r="L15" s="28" t="s">
        <v>1393</v>
      </c>
      <c r="M15" s="26" t="s">
        <v>860</v>
      </c>
      <c r="N15" s="26" t="s">
        <v>364</v>
      </c>
      <c r="O15" s="28" t="s">
        <v>861</v>
      </c>
      <c r="P15" s="28" t="s">
        <v>862</v>
      </c>
      <c r="Q15" s="28" t="s">
        <v>1394</v>
      </c>
      <c r="R15" s="29"/>
      <c r="S15" s="29">
        <v>862703.0</v>
      </c>
      <c r="T15" s="29">
        <v>5963356.0</v>
      </c>
      <c r="U15" s="29">
        <v>827672.0</v>
      </c>
      <c r="V15" s="30" t="s">
        <v>810</v>
      </c>
      <c r="W15" s="30" t="s">
        <v>1411</v>
      </c>
      <c r="X15" s="127">
        <v>46088.0</v>
      </c>
      <c r="Y15" s="48" t="s">
        <v>50</v>
      </c>
      <c r="Z15" s="28" t="s">
        <v>1395</v>
      </c>
      <c r="AA15" s="28" t="s">
        <v>863</v>
      </c>
      <c r="AB15" s="106"/>
      <c r="AC15" s="66"/>
      <c r="AD15" s="66"/>
      <c r="AE15" s="81"/>
      <c r="AF15" s="121" t="str">
        <f>IFERROR(__xludf.DUMMYFUNCTION("HYPERLINK(
""https://wa.me/""&amp;REGEXREPLACE(Q15,""[^0-9]"","""")&amp;
""?text=""&amp;
ENCODEURL(
""Hola *""&amp;B15&amp;""*.
Te recordamos que la factura Nº *""&amp;J15&amp;""* por el plan """"""&amp;E15&amp;"""""" se encuentra disponible para pago y vence hoy.
Monto: *$""&amp;I15&amp;""*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5" s="81"/>
      <c r="AH15" s="81">
        <f t="shared" ref="AH15:AH16" si="3">AG15*1.19</f>
        <v>0</v>
      </c>
      <c r="AI15" s="81"/>
      <c r="AJ15" s="81"/>
      <c r="AK15" s="81"/>
    </row>
    <row r="16" hidden="1">
      <c r="A16" s="126" t="s">
        <v>1361</v>
      </c>
      <c r="B16" s="40" t="s">
        <v>865</v>
      </c>
      <c r="C16" s="30" t="s">
        <v>38</v>
      </c>
      <c r="D16" s="30" t="s">
        <v>38</v>
      </c>
      <c r="E16" s="70" t="s">
        <v>1362</v>
      </c>
      <c r="F16" s="118"/>
      <c r="G16" s="66"/>
      <c r="H16" s="54">
        <v>30000.0</v>
      </c>
      <c r="I16" s="88">
        <f t="shared" si="1"/>
        <v>35700</v>
      </c>
      <c r="J16" s="30">
        <v>499.0</v>
      </c>
      <c r="K16" s="88">
        <v>178500.0</v>
      </c>
      <c r="L16" s="71"/>
      <c r="M16" s="26" t="s">
        <v>59</v>
      </c>
      <c r="N16" s="26" t="s">
        <v>866</v>
      </c>
      <c r="O16" s="28" t="s">
        <v>63</v>
      </c>
      <c r="P16" s="28" t="s">
        <v>867</v>
      </c>
      <c r="Q16" s="120" t="s">
        <v>1396</v>
      </c>
      <c r="R16" s="29"/>
      <c r="S16" s="29">
        <v>2775987.0</v>
      </c>
      <c r="T16" s="29">
        <v>2065850.0</v>
      </c>
      <c r="U16" s="29">
        <v>0.0</v>
      </c>
      <c r="V16" s="30" t="s">
        <v>810</v>
      </c>
      <c r="W16" s="30" t="s">
        <v>1411</v>
      </c>
      <c r="X16" s="127">
        <v>45721.0</v>
      </c>
      <c r="Y16" s="48" t="s">
        <v>50</v>
      </c>
      <c r="Z16" s="28" t="s">
        <v>868</v>
      </c>
      <c r="AA16" s="28" t="s">
        <v>60</v>
      </c>
      <c r="AB16" s="106"/>
      <c r="AC16" s="66"/>
      <c r="AD16" s="66"/>
      <c r="AE16" s="81"/>
      <c r="AF16" s="121" t="str">
        <f>IFERROR(__xludf.DUMMYFUNCTION("HYPERLINK(
""https://wa.me/""&amp;REGEXREPLACE(Q16,""[^0-9]"","""")&amp;
""?text=""&amp;
ENCODEURL(
""Hola *""&amp;B16&amp;""*.
Te recordamos que la factura Nº *""&amp;J16&amp;""* por el plan """"""&amp;E16&amp;"""""" se encuentra disponible para pago y vence hoy.
Monto: *$""&amp;I16&amp;""*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6" s="81"/>
      <c r="AH16" s="81">
        <f t="shared" si="3"/>
        <v>0</v>
      </c>
      <c r="AI16" s="81"/>
      <c r="AJ16" s="81"/>
      <c r="AK16" s="81"/>
    </row>
    <row r="17" hidden="1">
      <c r="A17" s="126" t="s">
        <v>1361</v>
      </c>
      <c r="B17" s="40" t="s">
        <v>869</v>
      </c>
      <c r="C17" s="30" t="s">
        <v>38</v>
      </c>
      <c r="D17" s="30" t="s">
        <v>38</v>
      </c>
      <c r="E17" s="48" t="s">
        <v>1362</v>
      </c>
      <c r="F17" s="118"/>
      <c r="G17" s="66"/>
      <c r="H17" s="88">
        <v>30000.0</v>
      </c>
      <c r="I17" s="88">
        <f t="shared" si="1"/>
        <v>35700</v>
      </c>
      <c r="J17" s="30">
        <v>500.0</v>
      </c>
      <c r="K17" s="104"/>
      <c r="L17" s="66"/>
      <c r="M17" s="26" t="s">
        <v>870</v>
      </c>
      <c r="N17" s="26" t="s">
        <v>871</v>
      </c>
      <c r="O17" s="28" t="s">
        <v>872</v>
      </c>
      <c r="P17" s="28" t="s">
        <v>873</v>
      </c>
      <c r="Q17" s="120" t="s">
        <v>1397</v>
      </c>
      <c r="R17" s="29"/>
      <c r="S17" s="29">
        <v>1112631.0</v>
      </c>
      <c r="T17" s="29">
        <v>836177.0</v>
      </c>
      <c r="U17" s="29">
        <v>878.0</v>
      </c>
      <c r="V17" s="30" t="s">
        <v>810</v>
      </c>
      <c r="W17" s="30" t="s">
        <v>1411</v>
      </c>
      <c r="X17" s="127">
        <v>46086.0</v>
      </c>
      <c r="Y17" s="48" t="s">
        <v>50</v>
      </c>
      <c r="Z17" s="28" t="s">
        <v>874</v>
      </c>
      <c r="AA17" s="28" t="s">
        <v>167</v>
      </c>
      <c r="AB17" s="106"/>
      <c r="AC17" s="66"/>
      <c r="AD17" s="66"/>
      <c r="AE17" s="81"/>
      <c r="AF17" s="121" t="str">
        <f>IFERROR(__xludf.DUMMYFUNCTION("HYPERLINK(
""https://wa.me/""&amp;REGEXREPLACE(Q17,""[^0-9]"","""")&amp;
""?text=""&amp;
ENCODEURL(
""Hola *""&amp;B17&amp;""*.
Te recordamos que la factura Nº *""&amp;J17&amp;""* por el plan """"""&amp;E17&amp;"""""" se encuentra disponible para pago y vence hoy.
Monto: *$""&amp;I17&amp;""*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*$""&amp;AG17&amp;""*
Valor total febrero (con IVA): *$""&amp;AH17&amp;""*
A partir de mañana el valor aument"&amp;"a un 25%, correspondiente al valor de diciembre.
Simple Pyme""
),
""Enviar WhatsApp""
)"),"Enviar WhatsApp")</f>
        <v>Enviar WhatsApp</v>
      </c>
      <c r="AG17" s="81"/>
      <c r="AH17" s="81"/>
      <c r="AI17" s="81"/>
      <c r="AJ17" s="81"/>
      <c r="AK17" s="81"/>
    </row>
    <row r="18" hidden="1">
      <c r="A18" s="79" t="s">
        <v>1361</v>
      </c>
      <c r="B18" s="40" t="s">
        <v>875</v>
      </c>
      <c r="C18" s="30" t="s">
        <v>38</v>
      </c>
      <c r="D18" s="30" t="s">
        <v>38</v>
      </c>
      <c r="E18" s="28" t="s">
        <v>1372</v>
      </c>
      <c r="F18" s="118"/>
      <c r="G18" s="28">
        <v>2.0</v>
      </c>
      <c r="H18" s="124">
        <v>50000.0</v>
      </c>
      <c r="I18" s="88">
        <f t="shared" si="1"/>
        <v>59500</v>
      </c>
      <c r="J18" s="30">
        <v>501.0</v>
      </c>
      <c r="K18" s="97">
        <v>119000.0</v>
      </c>
      <c r="L18" s="28" t="s">
        <v>1398</v>
      </c>
      <c r="M18" s="26" t="s">
        <v>243</v>
      </c>
      <c r="N18" s="26" t="s">
        <v>244</v>
      </c>
      <c r="O18" s="28" t="s">
        <v>876</v>
      </c>
      <c r="P18" s="28" t="s">
        <v>877</v>
      </c>
      <c r="Q18" s="30" t="s">
        <v>1399</v>
      </c>
      <c r="R18" s="29"/>
      <c r="S18" s="29">
        <v>1170849.0</v>
      </c>
      <c r="T18" s="29">
        <v>7727670.0</v>
      </c>
      <c r="U18" s="29">
        <v>1053393.0</v>
      </c>
      <c r="V18" s="30" t="s">
        <v>1675</v>
      </c>
      <c r="W18" s="30" t="s">
        <v>1411</v>
      </c>
      <c r="X18" s="132">
        <v>46099.0</v>
      </c>
      <c r="Y18" s="28" t="s">
        <v>38</v>
      </c>
      <c r="Z18" s="28" t="s">
        <v>878</v>
      </c>
      <c r="AA18" s="26" t="s">
        <v>244</v>
      </c>
      <c r="AB18" s="66"/>
      <c r="AC18" s="66"/>
      <c r="AD18" s="66"/>
      <c r="AE18" s="81"/>
      <c r="AF18" s="121" t="str">
        <f>IFERROR(__xludf.DUMMYFUNCTION("HYPERLINK(
""https://wa.me/""&amp;REGEXREPLACE(Q18,""[^0-9]"","""")&amp;
""?text=""&amp;
ENCODEURL(
""Buenas tardes *""&amp;B18&amp;""*.
Te recordamos que la factura """"""&amp;J18&amp;"""""" de tu plan """"""&amp;E18&amp;"""""" se encuentre impaga a la fecha, lo que implica que tu servici"&amp;"o se encuentra suspendido. Para reactivar el servicio y que hagamos la declaración mensual debes realizar el pago lo antes posible.
Valor: *$""&amp;H18&amp;""* + IVA = *$""&amp;I18&amp;""*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18" s="81"/>
      <c r="AH18" s="81">
        <f t="shared" ref="AH18:AH19" si="4">AG18*1.19</f>
        <v>0</v>
      </c>
      <c r="AI18" s="81"/>
      <c r="AJ18" s="81"/>
      <c r="AK18" s="81"/>
    </row>
    <row r="19">
      <c r="A19" s="180" t="s">
        <v>1361</v>
      </c>
      <c r="B19" s="44" t="s">
        <v>596</v>
      </c>
      <c r="C19" s="30" t="s">
        <v>38</v>
      </c>
      <c r="D19" s="30" t="s">
        <v>38</v>
      </c>
      <c r="E19" s="46" t="s">
        <v>1362</v>
      </c>
      <c r="F19" s="192"/>
      <c r="G19" s="69"/>
      <c r="H19" s="90">
        <v>30000.0</v>
      </c>
      <c r="I19" s="88">
        <f t="shared" si="1"/>
        <v>35700</v>
      </c>
      <c r="J19" s="183"/>
      <c r="K19" s="184"/>
      <c r="L19" s="69"/>
      <c r="M19" s="45" t="s">
        <v>597</v>
      </c>
      <c r="N19" s="45" t="s">
        <v>598</v>
      </c>
      <c r="O19" s="46" t="s">
        <v>595</v>
      </c>
      <c r="P19" s="46" t="s">
        <v>879</v>
      </c>
      <c r="Q19" s="183" t="s">
        <v>1400</v>
      </c>
      <c r="R19" s="47"/>
      <c r="S19" s="47"/>
      <c r="T19" s="47"/>
      <c r="U19" s="47"/>
      <c r="V19" s="30" t="s">
        <v>880</v>
      </c>
      <c r="W19" s="183" t="s">
        <v>1470</v>
      </c>
      <c r="X19" s="185"/>
      <c r="Y19" s="46" t="s">
        <v>50</v>
      </c>
      <c r="Z19" s="46" t="s">
        <v>881</v>
      </c>
      <c r="AA19" s="46" t="s">
        <v>602</v>
      </c>
      <c r="AB19" s="69"/>
      <c r="AC19" s="69"/>
      <c r="AD19" s="69"/>
      <c r="AE19" s="73"/>
      <c r="AF19" s="121" t="str">
        <f>IFERROR(__xludf.DUMMYFUNCTION("HYPERLINK(
""https://wa.me/""&amp;REGEXREPLACE(Q19,""[^0-9]"","""")&amp;
""?text=""&amp;
ENCODEURL(
""Buenas tardes *""&amp;B19&amp;""*.
Te recordamos que tu plan """"""&amp;E19&amp;"""""" no incluye la declaración de renta. Te enviamos varios correos informando sobre este proceso."&amp;" Esta semana vencen las primeras declaraciones juradas, lo que generará multas
Valor: *$""&amp;AG19&amp;""* + IVA = *$""&amp;AH19&amp;""*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19" s="193">
        <v>125000.0</v>
      </c>
      <c r="AH19" s="123">
        <f t="shared" si="4"/>
        <v>148750</v>
      </c>
      <c r="AI19" s="81"/>
      <c r="AJ19" s="81"/>
      <c r="AK19" s="81"/>
    </row>
    <row r="20" hidden="1">
      <c r="A20" s="126" t="s">
        <v>1361</v>
      </c>
      <c r="B20" s="40" t="s">
        <v>1401</v>
      </c>
      <c r="C20" s="28" t="s">
        <v>50</v>
      </c>
      <c r="D20" s="28"/>
      <c r="E20" s="48" t="s">
        <v>1372</v>
      </c>
      <c r="F20" s="118"/>
      <c r="G20" s="66"/>
      <c r="H20" s="54">
        <v>50000.0</v>
      </c>
      <c r="I20" s="88">
        <f t="shared" si="1"/>
        <v>59500</v>
      </c>
      <c r="J20" s="30">
        <v>504.0</v>
      </c>
      <c r="K20" s="104"/>
      <c r="L20" s="28"/>
      <c r="M20" s="26" t="s">
        <v>1402</v>
      </c>
      <c r="N20" s="26" t="s">
        <v>1403</v>
      </c>
      <c r="O20" s="28" t="s">
        <v>1404</v>
      </c>
      <c r="P20" s="28" t="s">
        <v>1405</v>
      </c>
      <c r="Q20" s="30" t="s">
        <v>1406</v>
      </c>
      <c r="R20" s="29"/>
      <c r="S20" s="29">
        <v>1.2472323E7</v>
      </c>
      <c r="T20" s="29">
        <v>5950881.0</v>
      </c>
      <c r="U20" s="29">
        <v>6252.0</v>
      </c>
      <c r="V20" s="30" t="s">
        <v>810</v>
      </c>
      <c r="W20" s="30" t="s">
        <v>1411</v>
      </c>
      <c r="X20" s="132">
        <v>46101.0</v>
      </c>
      <c r="Y20" s="48" t="s">
        <v>50</v>
      </c>
      <c r="Z20" s="28" t="s">
        <v>1407</v>
      </c>
      <c r="AA20" s="28" t="s">
        <v>1408</v>
      </c>
      <c r="AB20" s="106"/>
      <c r="AC20" s="66"/>
      <c r="AD20" s="66"/>
      <c r="AE20" s="81"/>
      <c r="AF20" s="121" t="str">
        <f>IFERROR(__xludf.DUMMYFUNCTION("HYPERLINK(
""https://wa.me/""&amp;REGEXREPLACE(Q20,""[^0-9]"","""")&amp;
""?text=""&amp;
ENCODEURL(
""Buenas tardes *""&amp;B20&amp;""*.
Te recordamos que la operación renta ya comenzó y vencieron las primeras declaracione juradas *EVITA MÁS MULTAS*,  tu plan """"""&amp;E20&amp;"""&amp;""""" no incluye la declaración de renta. Te enviamos varios correos informando sobre este proceso. 
Valor del servicio: *$""&amp;AG20&amp;""* + IVA = *$""&amp;AH20&amp;""*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0" s="123">
        <v>156250.0</v>
      </c>
      <c r="AH20" s="123">
        <v>185937.5</v>
      </c>
      <c r="AI20" s="123"/>
      <c r="AJ20" s="123"/>
      <c r="AK20" s="123"/>
    </row>
    <row r="21" hidden="1">
      <c r="A21" s="126" t="s">
        <v>1361</v>
      </c>
      <c r="B21" s="25" t="s">
        <v>882</v>
      </c>
      <c r="C21" s="30" t="s">
        <v>38</v>
      </c>
      <c r="D21" s="30" t="s">
        <v>38</v>
      </c>
      <c r="E21" s="48" t="s">
        <v>1362</v>
      </c>
      <c r="F21" s="118"/>
      <c r="G21" s="66"/>
      <c r="H21" s="88">
        <v>30000.0</v>
      </c>
      <c r="I21" s="88">
        <f t="shared" si="1"/>
        <v>35700</v>
      </c>
      <c r="J21" s="30">
        <v>506.0</v>
      </c>
      <c r="K21" s="104"/>
      <c r="L21" s="71" t="s">
        <v>1409</v>
      </c>
      <c r="M21" s="26" t="s">
        <v>439</v>
      </c>
      <c r="N21" s="26" t="s">
        <v>440</v>
      </c>
      <c r="O21" s="28" t="s">
        <v>883</v>
      </c>
      <c r="P21" s="28" t="s">
        <v>884</v>
      </c>
      <c r="Q21" s="30" t="s">
        <v>1410</v>
      </c>
      <c r="R21" s="29"/>
      <c r="S21" s="29">
        <v>35700.0</v>
      </c>
      <c r="T21" s="29">
        <v>0.0</v>
      </c>
      <c r="U21" s="29">
        <v>0.0</v>
      </c>
      <c r="V21" s="30" t="s">
        <v>810</v>
      </c>
      <c r="W21" s="30" t="s">
        <v>1411</v>
      </c>
      <c r="X21" s="134"/>
      <c r="Y21" s="48" t="s">
        <v>50</v>
      </c>
      <c r="Z21" s="28" t="s">
        <v>886</v>
      </c>
      <c r="AA21" s="28" t="s">
        <v>885</v>
      </c>
      <c r="AB21" s="106"/>
      <c r="AC21" s="66"/>
      <c r="AD21" s="66"/>
      <c r="AE21" s="81"/>
      <c r="AF21" s="121" t="str">
        <f>IFERROR(__xludf.DUMMYFUNCTION("HYPERLINK(
""https://wa.me/""&amp;REGEXREPLACE(Q21,""[^0-9]"","""")&amp;
""?text=""&amp;
ENCODEURL(
""Hola *""&amp;B21&amp;""*.
Te recordamos que la factura Nº *""&amp;J21&amp;""* por el plan """"""&amp;E21&amp;"""""" se encuentra disponible para pago y vence hoy.
Monto: *$""&amp;I21&amp;""*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*$""&amp;AG21&amp;""*
Valor total febrero (con IVA): *$""&amp;AH21&amp;""*
A partir de mañana el valor aument"&amp;"a un 25%, correspondiente al valor de diciembre.
Simple Pyme""
),
""Enviar WhatsApp""
)"),"Enviar WhatsApp")</f>
        <v>Enviar WhatsApp</v>
      </c>
      <c r="AG21" s="81"/>
      <c r="AH21" s="81"/>
      <c r="AI21" s="81"/>
      <c r="AJ21" s="81"/>
      <c r="AK21" s="81"/>
    </row>
    <row r="22" hidden="1">
      <c r="A22" s="126" t="s">
        <v>1361</v>
      </c>
      <c r="B22" s="25" t="s">
        <v>887</v>
      </c>
      <c r="C22" s="30" t="s">
        <v>38</v>
      </c>
      <c r="D22" s="30" t="s">
        <v>38</v>
      </c>
      <c r="E22" s="48" t="s">
        <v>1362</v>
      </c>
      <c r="F22" s="118"/>
      <c r="G22" s="66"/>
      <c r="H22" s="88">
        <v>25210.0</v>
      </c>
      <c r="I22" s="88">
        <f t="shared" si="1"/>
        <v>29999.9</v>
      </c>
      <c r="J22" s="30">
        <v>508.0</v>
      </c>
      <c r="K22" s="97">
        <v>80000.0</v>
      </c>
      <c r="L22" s="66"/>
      <c r="M22" s="45" t="s">
        <v>888</v>
      </c>
      <c r="N22" s="26" t="s">
        <v>889</v>
      </c>
      <c r="O22" s="28" t="s">
        <v>890</v>
      </c>
      <c r="P22" s="28" t="s">
        <v>891</v>
      </c>
      <c r="Q22" s="30" t="s">
        <v>1412</v>
      </c>
      <c r="R22" s="47"/>
      <c r="S22" s="47"/>
      <c r="T22" s="47"/>
      <c r="U22" s="47"/>
      <c r="V22" s="48" t="s">
        <v>880</v>
      </c>
      <c r="W22" s="30" t="s">
        <v>1411</v>
      </c>
      <c r="X22" s="127">
        <v>46084.0</v>
      </c>
      <c r="Y22" s="70" t="s">
        <v>50</v>
      </c>
      <c r="Z22" s="28" t="s">
        <v>892</v>
      </c>
      <c r="AA22" s="28" t="s">
        <v>809</v>
      </c>
      <c r="AB22" s="106"/>
      <c r="AC22" s="66"/>
      <c r="AD22" s="66"/>
      <c r="AE22" s="81"/>
      <c r="AF22" s="121" t="str">
        <f>IFERROR(__xludf.DUMMYFUNCTION("HYPERLINK(
""https://wa.me/""&amp;REGEXREPLACE(Q22,""[^0-9]"","""")&amp;
""?text=""&amp;
ENCODEURL(
""Hola *""&amp;B22&amp;""*.
Te recordamos que la factura Nº *""&amp;J22&amp;""* por el plan """"""&amp;E22&amp;"""""" se encuentra disponible para pago y vence hoy.
Monto: *$""&amp;I22&amp;""*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22" s="81"/>
      <c r="AH22" s="81">
        <f>AG22*1.19</f>
        <v>0</v>
      </c>
      <c r="AI22" s="81"/>
      <c r="AJ22" s="81"/>
      <c r="AK22" s="81"/>
    </row>
    <row r="23" hidden="1">
      <c r="A23" s="126" t="s">
        <v>1361</v>
      </c>
      <c r="B23" s="25" t="s">
        <v>893</v>
      </c>
      <c r="C23" s="30" t="s">
        <v>38</v>
      </c>
      <c r="D23" s="30" t="s">
        <v>38</v>
      </c>
      <c r="E23" s="48" t="s">
        <v>1413</v>
      </c>
      <c r="F23" s="135">
        <v>4.0</v>
      </c>
      <c r="G23" s="28">
        <v>16.0</v>
      </c>
      <c r="H23" s="88">
        <v>120000.0</v>
      </c>
      <c r="I23" s="88">
        <f t="shared" si="1"/>
        <v>142800</v>
      </c>
      <c r="J23" s="30">
        <v>510.0</v>
      </c>
      <c r="K23" s="104"/>
      <c r="L23" s="28"/>
      <c r="M23" s="26" t="s">
        <v>625</v>
      </c>
      <c r="N23" s="26" t="s">
        <v>626</v>
      </c>
      <c r="O23" s="28" t="s">
        <v>894</v>
      </c>
      <c r="P23" s="28" t="s">
        <v>895</v>
      </c>
      <c r="Q23" s="30" t="s">
        <v>1414</v>
      </c>
      <c r="R23" s="29"/>
      <c r="S23" s="29">
        <v>3.2425184E7</v>
      </c>
      <c r="T23" s="29">
        <v>5.5132143E7</v>
      </c>
      <c r="U23" s="29">
        <v>3695363.0</v>
      </c>
      <c r="V23" s="30" t="s">
        <v>810</v>
      </c>
      <c r="W23" s="30" t="s">
        <v>1411</v>
      </c>
      <c r="X23" s="136"/>
      <c r="Y23" s="48" t="s">
        <v>38</v>
      </c>
      <c r="Z23" s="28" t="s">
        <v>896</v>
      </c>
      <c r="AA23" s="28" t="s">
        <v>630</v>
      </c>
      <c r="AB23" s="106"/>
      <c r="AC23" s="137"/>
      <c r="AD23" s="137"/>
      <c r="AE23" s="138"/>
      <c r="AF23" s="121" t="str">
        <f>IFERROR(__xludf.DUMMYFUNCTION("HYPERLINK(
""https://wa.me/""&amp;REGEXREPLACE(Q23,""[^0-9]"","""")&amp;
""?text=""&amp;
ENCODEURL(
""Hola *""&amp;B23&amp;""*.
Te recordamos que la factura Nº *""&amp;J23&amp;""* por el plan """"""&amp;E23&amp;"""""" se encuentra disponible para pago y vence hoy.
Monto: *$""&amp;I23&amp;""*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*$""&amp;AG23&amp;""*
Valor total febrero (con IVA): *$""&amp;AH23&amp;""*
A partir de mañana el valor aument"&amp;"a un 25%, correspondiente al valor de diciembre.
Simple Pyme""
),
""Enviar WhatsApp""
)"),"Enviar WhatsApp")</f>
        <v>Enviar WhatsApp</v>
      </c>
      <c r="AG23" s="81"/>
      <c r="AH23" s="81"/>
      <c r="AI23" s="81"/>
      <c r="AJ23" s="81"/>
      <c r="AK23" s="81"/>
    </row>
    <row r="24" hidden="1">
      <c r="A24" s="126" t="s">
        <v>1361</v>
      </c>
      <c r="B24" s="25" t="s">
        <v>897</v>
      </c>
      <c r="C24" s="30" t="s">
        <v>38</v>
      </c>
      <c r="D24" s="30" t="s">
        <v>38</v>
      </c>
      <c r="E24" s="48" t="s">
        <v>1413</v>
      </c>
      <c r="F24" s="118"/>
      <c r="G24" s="66"/>
      <c r="H24" s="88">
        <v>60504.0</v>
      </c>
      <c r="I24" s="88">
        <f t="shared" si="1"/>
        <v>71999.76</v>
      </c>
      <c r="J24" s="30">
        <v>512.0</v>
      </c>
      <c r="K24" s="97">
        <v>59500.0</v>
      </c>
      <c r="L24" s="66"/>
      <c r="M24" s="26" t="s">
        <v>404</v>
      </c>
      <c r="N24" s="26" t="s">
        <v>405</v>
      </c>
      <c r="O24" s="28" t="s">
        <v>898</v>
      </c>
      <c r="P24" s="28" t="s">
        <v>407</v>
      </c>
      <c r="Q24" s="139" t="s">
        <v>1415</v>
      </c>
      <c r="R24" s="29"/>
      <c r="S24" s="29">
        <v>141312.0</v>
      </c>
      <c r="T24" s="29">
        <v>0.0</v>
      </c>
      <c r="U24" s="29">
        <v>0.0</v>
      </c>
      <c r="V24" s="30" t="s">
        <v>810</v>
      </c>
      <c r="W24" s="30" t="s">
        <v>1411</v>
      </c>
      <c r="X24" s="140">
        <v>46083.0</v>
      </c>
      <c r="Y24" s="48" t="s">
        <v>50</v>
      </c>
      <c r="Z24" s="28" t="s">
        <v>899</v>
      </c>
      <c r="AA24" s="28" t="s">
        <v>408</v>
      </c>
      <c r="AB24" s="106"/>
      <c r="AC24" s="66"/>
      <c r="AD24" s="66"/>
      <c r="AE24" s="81"/>
      <c r="AF24" s="121" t="str">
        <f>IFERROR(__xludf.DUMMYFUNCTION("HYPERLINK(
""https://wa.me/""&amp;REGEXREPLACE(Q24,""[^0-9]"","""")&amp;
""?text=""&amp;
ENCODEURL(
""Hola *""&amp;B24&amp;""*.
Te recordamos que la factura Nº *""&amp;J24&amp;""* por el plan """"""&amp;E24&amp;"""""" se encuentra disponible para pago y vence hoy.
Monto: *$""&amp;I24&amp;""*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*$""&amp;AG24&amp;""*
Valor total febrero (con IVA): *$""&amp;AH24&amp;""*
A partir de mañana el valor aument"&amp;"a un 25%, correspondiente al valor de diciembre.
Simple Pyme""
),
""Enviar WhatsApp""
)"),"Enviar WhatsApp")</f>
        <v>Enviar WhatsApp</v>
      </c>
      <c r="AG24" s="81"/>
      <c r="AH24" s="81"/>
      <c r="AI24" s="81"/>
      <c r="AJ24" s="81"/>
      <c r="AK24" s="81"/>
    </row>
    <row r="25" hidden="1">
      <c r="A25" s="126" t="s">
        <v>1361</v>
      </c>
      <c r="B25" s="25" t="s">
        <v>900</v>
      </c>
      <c r="C25" s="30" t="s">
        <v>38</v>
      </c>
      <c r="D25" s="30" t="s">
        <v>38</v>
      </c>
      <c r="E25" s="48" t="s">
        <v>1416</v>
      </c>
      <c r="F25" s="118"/>
      <c r="G25" s="66"/>
      <c r="H25" s="124">
        <v>10000.0</v>
      </c>
      <c r="I25" s="88">
        <f t="shared" si="1"/>
        <v>11900</v>
      </c>
      <c r="J25" s="30">
        <v>516.0</v>
      </c>
      <c r="K25" s="104"/>
      <c r="L25" s="66"/>
      <c r="M25" s="26" t="s">
        <v>539</v>
      </c>
      <c r="N25" s="26" t="s">
        <v>901</v>
      </c>
      <c r="O25" s="28" t="s">
        <v>542</v>
      </c>
      <c r="P25" s="28" t="s">
        <v>902</v>
      </c>
      <c r="Q25" s="139" t="s">
        <v>1417</v>
      </c>
      <c r="R25" s="29"/>
      <c r="S25" s="29">
        <v>107530.0</v>
      </c>
      <c r="T25" s="29">
        <v>0.0</v>
      </c>
      <c r="U25" s="29">
        <v>0.0</v>
      </c>
      <c r="V25" s="30" t="s">
        <v>810</v>
      </c>
      <c r="W25" s="30" t="s">
        <v>1411</v>
      </c>
      <c r="X25" s="141">
        <v>46091.0</v>
      </c>
      <c r="Y25" s="48" t="s">
        <v>50</v>
      </c>
      <c r="Z25" s="28" t="s">
        <v>903</v>
      </c>
      <c r="AA25" s="28" t="s">
        <v>541</v>
      </c>
      <c r="AB25" s="106"/>
      <c r="AC25" s="66"/>
      <c r="AD25" s="66"/>
      <c r="AE25" s="81"/>
      <c r="AF25" s="121" t="str">
        <f>IFERROR(__xludf.DUMMYFUNCTION("HYPERLINK(
""https://wa.me/""&amp;REGEXREPLACE(Q25,""[^0-9]"","""")&amp;
""?text=""&amp;
ENCODEURL(
""Buenas tardes *""&amp;B25&amp;""*.
Te recordamos que tu plan """"""&amp;E25&amp;"""""" no incluye la declaración de renta. Te enviamos varios correos informando sobre este proceso."&amp;" Esta semana vencen las primeras declaraciones juradas, lo que generará multas
Valor: *$""&amp;AG25&amp;""* + IVA = *$""&amp;AH25&amp;""*
El pago puedes hacerlo vía transferencia en la siguiente cuenta:
*CUENTA BANCARIA*
VOLLAIRE &amp; OLIVOS SIMPLE PYME LTDA
Banco BCI
Cu"&amp;"enta corriente
RUT 78.306.207-0
Número de cuenta: 70809538
MATIAS.OLIVOS@VSVCONSULTORES.COM
También puedes pagar con tarjeta de débito o crédito en el siguiente link:
https://www.flow.cl/btn.php?token=xe78c9acb73c3eff5e917d5c932a4a2f7f971abe
Simple Pym"&amp;"e""
),
""Enviar WhatsApp""
)"),"Enviar WhatsApp")</f>
        <v>Enviar WhatsApp</v>
      </c>
      <c r="AG25" s="123">
        <v>78125.0</v>
      </c>
      <c r="AH25" s="123">
        <f>AG25*1.19</f>
        <v>92968.75</v>
      </c>
      <c r="AI25" s="81"/>
      <c r="AJ25" s="81"/>
      <c r="AK25" s="81"/>
    </row>
    <row r="26" hidden="1">
      <c r="A26" s="79" t="s">
        <v>1361</v>
      </c>
      <c r="B26" s="25" t="s">
        <v>1418</v>
      </c>
      <c r="C26" s="30" t="s">
        <v>38</v>
      </c>
      <c r="D26" s="30" t="s">
        <v>38</v>
      </c>
      <c r="E26" s="28" t="s">
        <v>1372</v>
      </c>
      <c r="F26" s="135"/>
      <c r="G26" s="28">
        <v>3.0</v>
      </c>
      <c r="H26" s="88">
        <v>60000.0</v>
      </c>
      <c r="I26" s="88">
        <f t="shared" si="1"/>
        <v>71400</v>
      </c>
      <c r="J26" s="30">
        <v>514.0</v>
      </c>
      <c r="K26" s="104"/>
      <c r="L26" s="25"/>
      <c r="M26" s="26" t="s">
        <v>1419</v>
      </c>
      <c r="N26" s="26" t="s">
        <v>751</v>
      </c>
      <c r="O26" s="28" t="s">
        <v>748</v>
      </c>
      <c r="P26" s="28" t="s">
        <v>1420</v>
      </c>
      <c r="Q26" s="30" t="s">
        <v>1421</v>
      </c>
      <c r="R26" s="29"/>
      <c r="S26" s="29">
        <v>3.6460785E7</v>
      </c>
      <c r="T26" s="29">
        <v>4.0025467E7</v>
      </c>
      <c r="U26" s="29">
        <v>354533.0</v>
      </c>
      <c r="V26" s="30" t="s">
        <v>810</v>
      </c>
      <c r="W26" s="30" t="s">
        <v>1411</v>
      </c>
      <c r="X26" s="127">
        <v>46091.0</v>
      </c>
      <c r="Y26" s="28" t="s">
        <v>50</v>
      </c>
      <c r="Z26" s="28" t="s">
        <v>1422</v>
      </c>
      <c r="AA26" s="28" t="s">
        <v>1423</v>
      </c>
      <c r="AB26" s="66"/>
      <c r="AC26" s="66"/>
      <c r="AD26" s="66"/>
      <c r="AE26" s="81"/>
      <c r="AF26" s="121" t="str">
        <f>IFERROR(__xludf.DUMMYFUNCTION("HYPERLINK(
""https://wa.me/""&amp;REGEXREPLACE(Q26,""[^0-9]"","""")&amp;
""?text=""&amp;
ENCODEURL(
""Buenas tardes *""&amp;B26&amp;""*.
Te recordamos que la operación renta ya comenzó y vencieron las primeras declaracione juradas *EVITA MÁS MULTAS*,  tu plan """"""&amp;E26&amp;"""&amp;""""" no incluye la declaración de renta. Te enviamos varios correos informando sobre este proceso. 
Valor del servicio: *$""&amp;AG26&amp;""* + IVA = *$""&amp;AH26&amp;""*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6" s="123">
        <v>312500.0</v>
      </c>
      <c r="AH26" s="123">
        <v>371875.0</v>
      </c>
      <c r="AI26" s="123"/>
      <c r="AJ26" s="123"/>
      <c r="AK26" s="123"/>
    </row>
    <row r="27" hidden="1">
      <c r="A27" s="79" t="s">
        <v>1361</v>
      </c>
      <c r="B27" s="25" t="s">
        <v>1424</v>
      </c>
      <c r="C27" s="30" t="s">
        <v>38</v>
      </c>
      <c r="D27" s="30" t="s">
        <v>38</v>
      </c>
      <c r="E27" s="30" t="s">
        <v>1362</v>
      </c>
      <c r="F27" s="142">
        <v>3.0</v>
      </c>
      <c r="G27" s="66"/>
      <c r="H27" s="54">
        <v>50000.0</v>
      </c>
      <c r="I27" s="88">
        <f t="shared" si="1"/>
        <v>59500</v>
      </c>
      <c r="J27" s="30">
        <v>520.0</v>
      </c>
      <c r="K27" s="104"/>
      <c r="L27" s="71"/>
      <c r="M27" s="26" t="s">
        <v>1425</v>
      </c>
      <c r="N27" s="62" t="s">
        <v>660</v>
      </c>
      <c r="O27" s="28" t="s">
        <v>1426</v>
      </c>
      <c r="P27" s="28" t="s">
        <v>1427</v>
      </c>
      <c r="Q27" s="30" t="s">
        <v>1428</v>
      </c>
      <c r="R27" s="29"/>
      <c r="S27" s="29">
        <v>25990.0</v>
      </c>
      <c r="T27" s="29">
        <v>1.65E7</v>
      </c>
      <c r="U27" s="29">
        <v>20625.0</v>
      </c>
      <c r="V27" s="30" t="s">
        <v>810</v>
      </c>
      <c r="W27" s="30" t="s">
        <v>1411</v>
      </c>
      <c r="X27" s="128">
        <v>46094.0</v>
      </c>
      <c r="Y27" s="28" t="s">
        <v>50</v>
      </c>
      <c r="Z27" s="28" t="s">
        <v>1429</v>
      </c>
      <c r="AA27" s="28" t="s">
        <v>1430</v>
      </c>
      <c r="AB27" s="66"/>
      <c r="AC27" s="66"/>
      <c r="AD27" s="66"/>
      <c r="AE27" s="81"/>
      <c r="AF27" s="121" t="str">
        <f>IFERROR(__xludf.DUMMYFUNCTION("HYPERLINK(
""https://wa.me/""&amp;REGEXREPLACE(Q27,""[^0-9]"","""")&amp;
""?text=""&amp;
ENCODEURL(
""Buenas tardes *""&amp;B27&amp;""*.
Te recordamos que la factura """"""&amp;J27&amp;"""""" de tu plan """"""&amp;E27&amp;"""""" se encuentre impaga a la fecha, lo que implica que tu servici"&amp;"o se encuentra suspendido. Para reactivar el servicio y que hagamos la declaración mensual debes realizar el pago lo antes posible.
Valor: *$""&amp;H27&amp;""* + IVA = *$""&amp;I27&amp;""*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27" s="123">
        <v>78125.0</v>
      </c>
      <c r="AH27" s="123">
        <v>92968.75</v>
      </c>
      <c r="AI27" s="123"/>
      <c r="AJ27" s="123"/>
      <c r="AK27" s="123"/>
    </row>
    <row r="28" hidden="1">
      <c r="A28" s="126" t="s">
        <v>1361</v>
      </c>
      <c r="B28" s="25" t="s">
        <v>904</v>
      </c>
      <c r="C28" s="30" t="s">
        <v>38</v>
      </c>
      <c r="D28" s="30" t="s">
        <v>38</v>
      </c>
      <c r="E28" s="48" t="s">
        <v>1416</v>
      </c>
      <c r="F28" s="118"/>
      <c r="G28" s="66"/>
      <c r="H28" s="88">
        <v>10000.0</v>
      </c>
      <c r="I28" s="88">
        <f t="shared" si="1"/>
        <v>11900</v>
      </c>
      <c r="J28" s="30">
        <v>518.0</v>
      </c>
      <c r="K28" s="104"/>
      <c r="L28" s="66"/>
      <c r="M28" s="26" t="s">
        <v>204</v>
      </c>
      <c r="N28" s="26" t="s">
        <v>205</v>
      </c>
      <c r="O28" s="25" t="s">
        <v>905</v>
      </c>
      <c r="P28" s="28" t="s">
        <v>906</v>
      </c>
      <c r="Q28" s="120" t="s">
        <v>1431</v>
      </c>
      <c r="R28" s="29"/>
      <c r="S28" s="29">
        <v>11900.0</v>
      </c>
      <c r="T28" s="29">
        <v>0.0</v>
      </c>
      <c r="U28" s="29">
        <v>0.0</v>
      </c>
      <c r="V28" s="30" t="s">
        <v>810</v>
      </c>
      <c r="W28" s="30" t="s">
        <v>1411</v>
      </c>
      <c r="X28" s="66"/>
      <c r="Y28" s="48" t="s">
        <v>50</v>
      </c>
      <c r="Z28" s="28" t="s">
        <v>907</v>
      </c>
      <c r="AA28" s="28" t="s">
        <v>205</v>
      </c>
      <c r="AB28" s="106"/>
      <c r="AC28" s="66"/>
      <c r="AD28" s="66"/>
      <c r="AE28" s="81"/>
      <c r="AF28" s="121" t="str">
        <f>IFERROR(__xludf.DUMMYFUNCTION("HYPERLINK(
""https://wa.me/""&amp;REGEXREPLACE(Q28,""[^0-9]"","""")&amp;
""?text=""&amp;
ENCODEURL(
""Hola *""&amp;B28&amp;""*.
Te recordamos que la factura Nº *""&amp;J28&amp;""* por el plan """"""&amp;E28&amp;"""""" se encuentra disponible para pago y vence hoy.
Monto: *$""&amp;I28&amp;""*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28" s="81"/>
      <c r="AH28" s="81">
        <f>AG28*1.19</f>
        <v>0</v>
      </c>
      <c r="AI28" s="81"/>
      <c r="AJ28" s="81"/>
      <c r="AK28" s="81"/>
    </row>
    <row r="29" hidden="1">
      <c r="A29" s="126" t="s">
        <v>1361</v>
      </c>
      <c r="B29" s="25" t="s">
        <v>1432</v>
      </c>
      <c r="C29" s="30" t="s">
        <v>38</v>
      </c>
      <c r="D29" s="30" t="s">
        <v>38</v>
      </c>
      <c r="E29" s="48" t="s">
        <v>1416</v>
      </c>
      <c r="F29" s="118"/>
      <c r="G29" s="66"/>
      <c r="H29" s="88">
        <v>10000.0</v>
      </c>
      <c r="I29" s="88">
        <f t="shared" si="1"/>
        <v>11900</v>
      </c>
      <c r="J29" s="30">
        <v>522.0</v>
      </c>
      <c r="K29" s="97">
        <v>60000.0</v>
      </c>
      <c r="L29" s="66"/>
      <c r="M29" s="26" t="s">
        <v>782</v>
      </c>
      <c r="N29" s="26" t="s">
        <v>783</v>
      </c>
      <c r="O29" s="28" t="s">
        <v>1433</v>
      </c>
      <c r="P29" s="28" t="s">
        <v>1434</v>
      </c>
      <c r="Q29" s="143" t="s">
        <v>1435</v>
      </c>
      <c r="R29" s="29"/>
      <c r="S29" s="29">
        <v>55550.0</v>
      </c>
      <c r="T29" s="29">
        <v>0.0</v>
      </c>
      <c r="U29" s="29">
        <v>0.0</v>
      </c>
      <c r="V29" s="30" t="s">
        <v>810</v>
      </c>
      <c r="W29" s="30" t="s">
        <v>1411</v>
      </c>
      <c r="X29" s="140">
        <v>46094.0</v>
      </c>
      <c r="Y29" s="48" t="s">
        <v>50</v>
      </c>
      <c r="Z29" s="28" t="s">
        <v>1436</v>
      </c>
      <c r="AA29" s="28" t="s">
        <v>1437</v>
      </c>
      <c r="AB29" s="106"/>
      <c r="AC29" s="66"/>
      <c r="AD29" s="66"/>
      <c r="AE29" s="81"/>
      <c r="AF29" s="121" t="str">
        <f>IFERROR(__xludf.DUMMYFUNCTION("HYPERLINK(
""https://wa.me/""&amp;REGEXREPLACE(Q29,""[^0-9]"","""")&amp;
""?text=""&amp;
ENCODEURL(
""Buenas tardes *""&amp;B29&amp;""*.
Te recordamos que la operación renta ya comenzó y vencieron las primeras declaracione juradas *EVITA MÁS MULTAS*,  tu plan """"""&amp;E29&amp;"""&amp;""""" no incluye la declaración de renta. Te enviamos varios correos informando sobre este proceso. 
Valor del servicio: *$""&amp;AG29&amp;""* + IVA = *$""&amp;AH29&amp;""*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29" s="123">
        <v>78125.0</v>
      </c>
      <c r="AH29" s="123">
        <v>92968.75</v>
      </c>
      <c r="AI29" s="123"/>
      <c r="AJ29" s="123"/>
      <c r="AK29" s="123"/>
    </row>
    <row r="30" hidden="1">
      <c r="A30" s="126" t="s">
        <v>1361</v>
      </c>
      <c r="B30" s="25" t="s">
        <v>908</v>
      </c>
      <c r="C30" s="66"/>
      <c r="D30" s="66"/>
      <c r="E30" s="48" t="s">
        <v>1375</v>
      </c>
      <c r="F30" s="118"/>
      <c r="G30" s="66"/>
      <c r="H30" s="88" t="s">
        <v>1381</v>
      </c>
      <c r="I30" s="88">
        <f t="shared" si="1"/>
        <v>0</v>
      </c>
      <c r="J30" s="135" t="s">
        <v>1438</v>
      </c>
      <c r="K30" s="104"/>
      <c r="L30" s="28" t="s">
        <v>1439</v>
      </c>
      <c r="M30" s="26" t="s">
        <v>909</v>
      </c>
      <c r="N30" s="26" t="s">
        <v>910</v>
      </c>
      <c r="O30" s="28" t="s">
        <v>911</v>
      </c>
      <c r="P30" s="28" t="s">
        <v>912</v>
      </c>
      <c r="Q30" s="30" t="s">
        <v>1440</v>
      </c>
      <c r="R30" s="29"/>
      <c r="S30" s="29">
        <v>0.0</v>
      </c>
      <c r="T30" s="29">
        <v>0.0</v>
      </c>
      <c r="U30" s="29">
        <v>0.0</v>
      </c>
      <c r="V30" s="30" t="s">
        <v>810</v>
      </c>
      <c r="W30" s="48" t="s">
        <v>1375</v>
      </c>
      <c r="X30" s="66"/>
      <c r="Y30" s="48" t="s">
        <v>50</v>
      </c>
      <c r="Z30" s="28" t="s">
        <v>913</v>
      </c>
      <c r="AA30" s="28" t="s">
        <v>809</v>
      </c>
      <c r="AB30" s="106"/>
      <c r="AC30" s="66"/>
      <c r="AD30" s="66"/>
      <c r="AE30" s="81"/>
      <c r="AF30" s="121" t="str">
        <f>IFERROR(__xludf.DUMMYFUNCTION("HYPERLINK(
""https://wa.me/""&amp;REGEXREPLACE(Q30,""[^0-9]"","""")&amp;
""?text=""&amp;
ENCODEURL(
""Hola *""&amp;B30&amp;""*.
Te recordamos que la factura Nº *""&amp;J30&amp;""* por el plan """"""&amp;E30&amp;"""""" se encuentra disponible para pago y vence hoy.
Monto: *$""&amp;I30&amp;""*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*$""&amp;AG30&amp;""*
Valor total febrero (con IVA): *$""&amp;AH30&amp;""*
A partir de mañana el valor aument"&amp;"a un 25%, correspondiente al valor de diciembre.
Simple Pyme""
),
""Enviar WhatsApp""
)"),"Enviar WhatsApp")</f>
        <v>Enviar WhatsApp</v>
      </c>
      <c r="AG30" s="81"/>
      <c r="AH30" s="81"/>
      <c r="AI30" s="81"/>
      <c r="AJ30" s="81"/>
      <c r="AK30" s="81"/>
    </row>
    <row r="31" hidden="1">
      <c r="A31" s="126" t="s">
        <v>1361</v>
      </c>
      <c r="B31" s="25" t="s">
        <v>1441</v>
      </c>
      <c r="C31" s="28" t="s">
        <v>50</v>
      </c>
      <c r="D31" s="66"/>
      <c r="E31" s="48" t="s">
        <v>1413</v>
      </c>
      <c r="F31" s="118"/>
      <c r="G31" s="66"/>
      <c r="H31" s="88">
        <v>60500.0</v>
      </c>
      <c r="I31" s="88">
        <f t="shared" si="1"/>
        <v>71995</v>
      </c>
      <c r="J31" s="30" t="s">
        <v>1676</v>
      </c>
      <c r="K31" s="104"/>
      <c r="L31" s="30" t="s">
        <v>1677</v>
      </c>
      <c r="M31" s="26" t="s">
        <v>1442</v>
      </c>
      <c r="N31" s="26" t="s">
        <v>1443</v>
      </c>
      <c r="O31" s="28" t="s">
        <v>1444</v>
      </c>
      <c r="P31" s="28" t="s">
        <v>1445</v>
      </c>
      <c r="Q31" s="30" t="s">
        <v>1446</v>
      </c>
      <c r="R31" s="29"/>
      <c r="S31" s="29">
        <v>0.0</v>
      </c>
      <c r="T31" s="29">
        <v>0.0</v>
      </c>
      <c r="U31" s="29">
        <v>0.0</v>
      </c>
      <c r="V31" s="30" t="s">
        <v>810</v>
      </c>
      <c r="W31" s="30" t="s">
        <v>1411</v>
      </c>
      <c r="X31" s="66"/>
      <c r="Y31" s="48" t="s">
        <v>50</v>
      </c>
      <c r="Z31" s="28" t="s">
        <v>1447</v>
      </c>
      <c r="AA31" s="28" t="s">
        <v>1448</v>
      </c>
      <c r="AB31" s="106"/>
      <c r="AC31" s="66"/>
      <c r="AD31" s="66"/>
      <c r="AE31" s="81"/>
      <c r="AF31" s="121" t="str">
        <f>IFERROR(__xludf.DUMMYFUNCTION("HYPERLINK(
""https://wa.me/""&amp;REGEXREPLACE(Q31,""[^0-9]"","""")&amp;
""?text=""&amp;
ENCODEURL(
""Buenas tardes *""&amp;B31&amp;""*.
Te recordamos que la operación renta ya comenzó y vencieron las primeras declaracione juradas *EVITA MÁS MULTAS*,  tu plan """"""&amp;E31&amp;"""&amp;""""" no incluye la declaración de renta. Te enviamos varios correos informando sobre este proceso. 
Valor del servicio: *$""&amp;AG31&amp;""* + IVA = *$""&amp;AH31&amp;""*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31" s="144">
        <v>50000.0</v>
      </c>
      <c r="AH31" s="81">
        <v>59500.0</v>
      </c>
      <c r="AI31" s="81"/>
      <c r="AJ31" s="81"/>
      <c r="AK31" s="81"/>
    </row>
    <row r="32" hidden="1">
      <c r="A32" s="126" t="s">
        <v>1361</v>
      </c>
      <c r="B32" s="25" t="s">
        <v>914</v>
      </c>
      <c r="C32" s="30" t="s">
        <v>38</v>
      </c>
      <c r="D32" s="30" t="s">
        <v>38</v>
      </c>
      <c r="E32" s="48" t="s">
        <v>1416</v>
      </c>
      <c r="F32" s="118"/>
      <c r="G32" s="66"/>
      <c r="H32" s="88">
        <v>10000.0</v>
      </c>
      <c r="I32" s="88">
        <f t="shared" si="1"/>
        <v>11900</v>
      </c>
      <c r="J32" s="30">
        <v>525.0</v>
      </c>
      <c r="K32" s="97">
        <v>59500.0</v>
      </c>
      <c r="L32" s="66"/>
      <c r="M32" s="26" t="s">
        <v>703</v>
      </c>
      <c r="N32" s="26" t="s">
        <v>704</v>
      </c>
      <c r="O32" s="25" t="s">
        <v>708</v>
      </c>
      <c r="P32" s="28" t="s">
        <v>915</v>
      </c>
      <c r="Q32" s="120" t="s">
        <v>707</v>
      </c>
      <c r="R32" s="29"/>
      <c r="S32" s="29">
        <v>11900.0</v>
      </c>
      <c r="T32" s="29">
        <v>0.0</v>
      </c>
      <c r="U32" s="29">
        <v>0.0</v>
      </c>
      <c r="V32" s="30" t="s">
        <v>810</v>
      </c>
      <c r="W32" s="30" t="s">
        <v>1411</v>
      </c>
      <c r="X32" s="127">
        <v>46085.0</v>
      </c>
      <c r="Y32" s="48" t="s">
        <v>50</v>
      </c>
      <c r="Z32" s="28" t="s">
        <v>916</v>
      </c>
      <c r="AA32" s="28" t="s">
        <v>915</v>
      </c>
      <c r="AB32" s="106"/>
      <c r="AC32" s="66"/>
      <c r="AD32" s="66"/>
      <c r="AE32" s="81"/>
      <c r="AF32" s="121" t="str">
        <f>IFERROR(__xludf.DUMMYFUNCTION("HYPERLINK(
""https://wa.me/""&amp;REGEXREPLACE(Q32,""[^0-9]"","""")&amp;
""?text=""&amp;
ENCODEURL(
""Buenas tardes *""&amp;B32&amp;""*.
Te recordamos que tu plan """"""&amp;E32&amp;"""""" no incluye la declaración de renta. Te enviamos varios correos informando sobre este proceso."&amp;" Esta semana vencen las primeras declaraciones juradas, lo que generará multas
Valor: *$""&amp;AG32&amp;""* + IVA = *$""&amp;AH32&amp;""*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32" s="122">
        <v>78125.0</v>
      </c>
      <c r="AH32" s="123">
        <f>AG32*1.19</f>
        <v>92968.75</v>
      </c>
      <c r="AI32" s="81"/>
      <c r="AJ32" s="81"/>
      <c r="AK32" s="81"/>
    </row>
    <row r="33" hidden="1">
      <c r="A33" s="126" t="s">
        <v>1361</v>
      </c>
      <c r="B33" s="25" t="s">
        <v>917</v>
      </c>
      <c r="C33" s="30" t="s">
        <v>38</v>
      </c>
      <c r="D33" s="30" t="s">
        <v>38</v>
      </c>
      <c r="E33" s="48" t="s">
        <v>1416</v>
      </c>
      <c r="F33" s="118"/>
      <c r="G33" s="66"/>
      <c r="H33" s="88">
        <v>10000.0</v>
      </c>
      <c r="I33" s="88">
        <f t="shared" si="1"/>
        <v>11900</v>
      </c>
      <c r="J33" s="30">
        <v>527.0</v>
      </c>
      <c r="K33" s="104"/>
      <c r="L33" s="66"/>
      <c r="M33" s="26" t="s">
        <v>85</v>
      </c>
      <c r="N33" s="26" t="s">
        <v>86</v>
      </c>
      <c r="O33" s="28" t="s">
        <v>918</v>
      </c>
      <c r="P33" s="28" t="s">
        <v>919</v>
      </c>
      <c r="Q33" s="120">
        <v>9.43507043E8</v>
      </c>
      <c r="R33" s="29"/>
      <c r="S33" s="29">
        <v>11900.0</v>
      </c>
      <c r="T33" s="29">
        <v>0.0</v>
      </c>
      <c r="U33" s="29">
        <v>0.0</v>
      </c>
      <c r="V33" s="30" t="s">
        <v>810</v>
      </c>
      <c r="W33" s="30" t="s">
        <v>1411</v>
      </c>
      <c r="X33" s="127"/>
      <c r="Y33" s="48" t="s">
        <v>50</v>
      </c>
      <c r="Z33" s="28" t="s">
        <v>921</v>
      </c>
      <c r="AA33" s="28" t="s">
        <v>920</v>
      </c>
      <c r="AB33" s="106"/>
      <c r="AC33" s="66"/>
      <c r="AD33" s="66"/>
      <c r="AE33" s="81"/>
      <c r="AF33" s="81" t="str">
        <f>IFERROR(__xludf.DUMMYFUNCTION("HYPERLINK(
""https://wa.me/""&amp;REGEXREPLACE(Q33,""[^0-9]"","""")&amp;
""?text=""&amp;
ENCODEURL(
""Hola *""&amp;B33&amp;""*.
Te recordamos que la factura Nº *""&amp;J33&amp;""* por el plan """"""&amp;E33&amp;"""""" se encuentra disponible para pago y vence hoy.
Monto: *$""&amp;I33&amp;""*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*$""&amp;AG33&amp;""*
Valor total febrero (con IVA): *$""&amp;AH33&amp;""*
A partir de mañana el valor aument"&amp;"a un 25%, correspondiente al valor de diciembre.
Simple Pyme""
),
""Enviar WhatsApp""
)"),"Enviar WhatsApp")</f>
        <v>Enviar WhatsApp</v>
      </c>
      <c r="AG33" s="81"/>
      <c r="AH33" s="81"/>
      <c r="AI33" s="81"/>
      <c r="AJ33" s="81"/>
      <c r="AK33" s="81"/>
    </row>
    <row r="34" hidden="1">
      <c r="A34" s="126" t="s">
        <v>1361</v>
      </c>
      <c r="B34" s="25" t="s">
        <v>922</v>
      </c>
      <c r="C34" s="30" t="s">
        <v>38</v>
      </c>
      <c r="D34" s="30" t="s">
        <v>38</v>
      </c>
      <c r="E34" s="48" t="s">
        <v>1372</v>
      </c>
      <c r="F34" s="118"/>
      <c r="G34" s="66"/>
      <c r="H34" s="88">
        <v>100000.0</v>
      </c>
      <c r="I34" s="88">
        <f t="shared" si="1"/>
        <v>119000</v>
      </c>
      <c r="J34" s="30">
        <v>531.0</v>
      </c>
      <c r="K34" s="88">
        <v>83300.0</v>
      </c>
      <c r="L34" s="66"/>
      <c r="M34" s="26" t="s">
        <v>98</v>
      </c>
      <c r="N34" s="26" t="s">
        <v>99</v>
      </c>
      <c r="O34" s="28" t="s">
        <v>102</v>
      </c>
      <c r="P34" s="28" t="s">
        <v>841</v>
      </c>
      <c r="Q34" s="28" t="s">
        <v>1383</v>
      </c>
      <c r="R34" s="29"/>
      <c r="S34" s="29">
        <v>2381158.0</v>
      </c>
      <c r="T34" s="29">
        <v>7843116.0</v>
      </c>
      <c r="U34" s="29">
        <v>898004.0</v>
      </c>
      <c r="V34" s="30" t="s">
        <v>810</v>
      </c>
      <c r="W34" s="30" t="s">
        <v>1411</v>
      </c>
      <c r="X34" s="130"/>
      <c r="Y34" s="48" t="s">
        <v>50</v>
      </c>
      <c r="Z34" s="28" t="s">
        <v>923</v>
      </c>
      <c r="AA34" s="28" t="s">
        <v>842</v>
      </c>
      <c r="AB34" s="106"/>
      <c r="AC34" s="66"/>
      <c r="AD34" s="66"/>
      <c r="AE34" s="81"/>
      <c r="AF34" s="121" t="str">
        <f>IFERROR(__xludf.DUMMYFUNCTION("HYPERLINK(
""https://wa.me/""&amp;REGEXREPLACE(Q34,""[^0-9]"","""")&amp;
""?text=""&amp;
ENCODEURL(
""Hola *""&amp;B34&amp;""*.
Te recordamos que la factura Nº *""&amp;J34&amp;""* por el plan """"""&amp;E34&amp;"""""" se encuentra disponible para pago y vence hoy.
Monto: *$""&amp;I34&amp;""*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34" s="81"/>
      <c r="AH34" s="81">
        <f>AG34*1.19</f>
        <v>0</v>
      </c>
      <c r="AI34" s="81"/>
      <c r="AJ34" s="81"/>
      <c r="AK34" s="81"/>
    </row>
    <row r="35" hidden="1">
      <c r="A35" s="126" t="s">
        <v>1361</v>
      </c>
      <c r="B35" s="25" t="s">
        <v>924</v>
      </c>
      <c r="C35" s="66"/>
      <c r="D35" s="66"/>
      <c r="E35" s="48" t="s">
        <v>1380</v>
      </c>
      <c r="F35" s="118"/>
      <c r="G35" s="66"/>
      <c r="H35" s="88" t="s">
        <v>1381</v>
      </c>
      <c r="I35" s="88">
        <f t="shared" si="1"/>
        <v>0</v>
      </c>
      <c r="J35" s="135" t="s">
        <v>1438</v>
      </c>
      <c r="K35" s="104"/>
      <c r="L35" s="66"/>
      <c r="M35" s="26" t="s">
        <v>925</v>
      </c>
      <c r="N35" s="26" t="s">
        <v>926</v>
      </c>
      <c r="O35" s="28" t="s">
        <v>927</v>
      </c>
      <c r="P35" s="28" t="s">
        <v>912</v>
      </c>
      <c r="Q35" s="30" t="s">
        <v>1449</v>
      </c>
      <c r="R35" s="29"/>
      <c r="S35" s="29">
        <v>0.0</v>
      </c>
      <c r="T35" s="29">
        <v>0.0</v>
      </c>
      <c r="U35" s="29"/>
      <c r="V35" s="30" t="s">
        <v>810</v>
      </c>
      <c r="W35" s="48" t="s">
        <v>1380</v>
      </c>
      <c r="X35" s="66"/>
      <c r="Y35" s="48" t="s">
        <v>50</v>
      </c>
      <c r="Z35" s="28" t="s">
        <v>913</v>
      </c>
      <c r="AA35" s="28" t="s">
        <v>928</v>
      </c>
      <c r="AB35" s="106"/>
      <c r="AC35" s="66"/>
      <c r="AD35" s="66"/>
      <c r="AE35" s="81"/>
      <c r="AF35" s="121" t="str">
        <f>IFERROR(__xludf.DUMMYFUNCTION("HYPERLINK(
""https://wa.me/""&amp;REGEXREPLACE(Q35,""[^0-9]"","""")&amp;
""?text=""&amp;
ENCODEURL(
""Hola *""&amp;B35&amp;""*.
Te recordamos que la factura Nº *""&amp;J35&amp;""* por el plan """"""&amp;E35&amp;"""""" se encuentra disponible para pago y vence hoy.
Monto: *$""&amp;I35&amp;""*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*$""&amp;AG35&amp;""*
Valor total febrero (con IVA): *$""&amp;AH35&amp;""*
A partir de mañana el valor aument"&amp;"a un 25%, correspondiente al valor de diciembre.
Simple Pyme""
),
""Enviar WhatsApp""
)"),"Enviar WhatsApp")</f>
        <v>Enviar WhatsApp</v>
      </c>
      <c r="AG35" s="81"/>
      <c r="AH35" s="81"/>
      <c r="AI35" s="81"/>
      <c r="AJ35" s="81"/>
      <c r="AK35" s="81"/>
    </row>
    <row r="36" hidden="1">
      <c r="A36" s="126" t="s">
        <v>1361</v>
      </c>
      <c r="B36" s="25" t="s">
        <v>929</v>
      </c>
      <c r="C36" s="30" t="s">
        <v>38</v>
      </c>
      <c r="D36" s="30" t="s">
        <v>38</v>
      </c>
      <c r="E36" s="48" t="s">
        <v>1416</v>
      </c>
      <c r="F36" s="118"/>
      <c r="G36" s="66"/>
      <c r="H36" s="88">
        <v>10000.0</v>
      </c>
      <c r="I36" s="88">
        <f t="shared" si="1"/>
        <v>11900</v>
      </c>
      <c r="J36" s="30">
        <v>534.0</v>
      </c>
      <c r="K36" s="97">
        <v>92969.0</v>
      </c>
      <c r="L36" s="71" t="s">
        <v>1450</v>
      </c>
      <c r="M36" s="26" t="s">
        <v>681</v>
      </c>
      <c r="N36" s="26" t="s">
        <v>930</v>
      </c>
      <c r="O36" s="28" t="s">
        <v>679</v>
      </c>
      <c r="P36" s="28" t="s">
        <v>931</v>
      </c>
      <c r="Q36" s="143" t="s">
        <v>1451</v>
      </c>
      <c r="R36" s="29"/>
      <c r="S36" s="29">
        <v>11900.0</v>
      </c>
      <c r="T36" s="29">
        <v>0.0</v>
      </c>
      <c r="U36" s="29">
        <v>0.0</v>
      </c>
      <c r="V36" s="30" t="s">
        <v>810</v>
      </c>
      <c r="W36" s="30" t="s">
        <v>1411</v>
      </c>
      <c r="X36" s="145">
        <v>46083.0</v>
      </c>
      <c r="Y36" s="48" t="s">
        <v>50</v>
      </c>
      <c r="Z36" s="28" t="s">
        <v>843</v>
      </c>
      <c r="AA36" s="28" t="s">
        <v>932</v>
      </c>
      <c r="AB36" s="146"/>
      <c r="AC36" s="66"/>
      <c r="AD36" s="147"/>
      <c r="AE36" s="148"/>
      <c r="AF36" s="121" t="str">
        <f>IFERROR(__xludf.DUMMYFUNCTION("HYPERLINK(
""https://wa.me/""&amp;REGEXREPLACE(Q36,""[^0-9]"","""")&amp;
""?text=""&amp;
ENCODEURL(
""Hola *""&amp;B36&amp;""*.
Te recordamos que la factura Nº *""&amp;J36&amp;""* por el plan """"""&amp;E36&amp;"""""" se encuentra disponible para pago y vence hoy.
Monto: *$""&amp;I36&amp;""*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36" s="81"/>
      <c r="AH36" s="81">
        <f>AG36*1.19</f>
        <v>0</v>
      </c>
      <c r="AI36" s="81"/>
      <c r="AJ36" s="81"/>
      <c r="AK36" s="81"/>
    </row>
    <row r="37" hidden="1">
      <c r="A37" s="126" t="s">
        <v>1361</v>
      </c>
      <c r="B37" s="25" t="s">
        <v>933</v>
      </c>
      <c r="C37" s="66"/>
      <c r="D37" s="66"/>
      <c r="E37" s="48" t="s">
        <v>1380</v>
      </c>
      <c r="F37" s="118"/>
      <c r="G37" s="66"/>
      <c r="H37" s="88" t="s">
        <v>1381</v>
      </c>
      <c r="I37" s="88">
        <f t="shared" si="1"/>
        <v>0</v>
      </c>
      <c r="J37" s="135" t="s">
        <v>1438</v>
      </c>
      <c r="K37" s="104"/>
      <c r="L37" s="66"/>
      <c r="M37" s="26" t="s">
        <v>934</v>
      </c>
      <c r="N37" s="26" t="s">
        <v>935</v>
      </c>
      <c r="O37" s="28" t="s">
        <v>393</v>
      </c>
      <c r="P37" s="28" t="s">
        <v>936</v>
      </c>
      <c r="Q37" s="120" t="s">
        <v>1452</v>
      </c>
      <c r="R37" s="29"/>
      <c r="S37" s="29">
        <v>0.0</v>
      </c>
      <c r="T37" s="29">
        <v>0.0</v>
      </c>
      <c r="U37" s="29"/>
      <c r="V37" s="30" t="s">
        <v>810</v>
      </c>
      <c r="W37" s="48" t="s">
        <v>1380</v>
      </c>
      <c r="X37" s="66"/>
      <c r="Y37" s="48" t="s">
        <v>50</v>
      </c>
      <c r="Z37" s="28" t="s">
        <v>937</v>
      </c>
      <c r="AA37" s="28" t="s">
        <v>399</v>
      </c>
      <c r="AB37" s="106"/>
      <c r="AC37" s="66"/>
      <c r="AD37" s="66"/>
      <c r="AE37" s="81"/>
      <c r="AF37" s="121" t="str">
        <f>IFERROR(__xludf.DUMMYFUNCTION("HYPERLINK(
""https://wa.me/""&amp;REGEXREPLACE(Q37,""[^0-9]"","""")&amp;
""?text=""&amp;
ENCODEURL(
""Hola *""&amp;B37&amp;""*.
Te recordamos que la factura Nº *""&amp;J37&amp;""* por el plan """"""&amp;E37&amp;"""""" se encuentra disponible para pago y vence hoy.
Monto: *$""&amp;I37&amp;""*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*$""&amp;AG37&amp;""*
Valor total febrero (con IVA): *$""&amp;AH37&amp;""*
A partir de mañana el valor aument"&amp;"a un 25%, correspondiente al valor de diciembre.
Simple Pyme""
),
""Enviar WhatsApp""
)"),"Enviar WhatsApp")</f>
        <v>Enviar WhatsApp</v>
      </c>
      <c r="AG37" s="81"/>
      <c r="AH37" s="81"/>
      <c r="AI37" s="81"/>
      <c r="AJ37" s="81"/>
      <c r="AK37" s="81"/>
    </row>
    <row r="38" hidden="1">
      <c r="A38" s="126" t="s">
        <v>1361</v>
      </c>
      <c r="B38" s="25" t="s">
        <v>293</v>
      </c>
      <c r="C38" s="30" t="s">
        <v>38</v>
      </c>
      <c r="D38" s="30" t="s">
        <v>38</v>
      </c>
      <c r="E38" s="48" t="s">
        <v>1362</v>
      </c>
      <c r="F38" s="118"/>
      <c r="G38" s="66"/>
      <c r="H38" s="124">
        <v>30000.0</v>
      </c>
      <c r="I38" s="88">
        <f t="shared" si="1"/>
        <v>35700</v>
      </c>
      <c r="J38" s="30">
        <v>529.0</v>
      </c>
      <c r="K38" s="97">
        <v>95200.0</v>
      </c>
      <c r="L38" s="30" t="s">
        <v>1453</v>
      </c>
      <c r="M38" s="26" t="s">
        <v>294</v>
      </c>
      <c r="N38" s="26" t="s">
        <v>295</v>
      </c>
      <c r="O38" s="28" t="s">
        <v>292</v>
      </c>
      <c r="P38" s="28" t="s">
        <v>938</v>
      </c>
      <c r="Q38" s="120" t="s">
        <v>1454</v>
      </c>
      <c r="R38" s="29"/>
      <c r="S38" s="29">
        <v>2869510.0</v>
      </c>
      <c r="T38" s="29">
        <v>3700205.0</v>
      </c>
      <c r="U38" s="29">
        <v>3109.0</v>
      </c>
      <c r="V38" s="30" t="s">
        <v>810</v>
      </c>
      <c r="W38" s="30" t="s">
        <v>1411</v>
      </c>
      <c r="X38" s="132">
        <v>46086.0</v>
      </c>
      <c r="Y38" s="48" t="s">
        <v>50</v>
      </c>
      <c r="Z38" s="28" t="s">
        <v>939</v>
      </c>
      <c r="AA38" s="28">
        <v>1325740.0</v>
      </c>
      <c r="AB38" s="106"/>
      <c r="AC38" s="66"/>
      <c r="AD38" s="66"/>
      <c r="AE38" s="81"/>
      <c r="AF38" s="121" t="str">
        <f>IFERROR(__xludf.DUMMYFUNCTION("HYPERLINK(
""https://wa.me/""&amp;REGEXREPLACE(Q38,""[^0-9]"","""")&amp;
""?text=""&amp;
ENCODEURL(
""Hola *""&amp;B38&amp;""*.
Te recordamos que la factura Nº *""&amp;J38&amp;""* por el plan """"""&amp;E38&amp;"""""" se encuentra disponible para pago y vence hoy.
Monto: *$""&amp;I38&amp;""*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*$""&amp;AG38&amp;""*
Valor total febrero (con IVA): *$""&amp;AH38&amp;""*
A partir de mañana el valor aument"&amp;"a un 25%, correspondiente al valor de diciembre.
Simple Pyme""
),
""Enviar WhatsApp""
)"),"Enviar WhatsApp")</f>
        <v>Enviar WhatsApp</v>
      </c>
      <c r="AG38" s="81"/>
      <c r="AH38" s="81"/>
      <c r="AI38" s="81"/>
      <c r="AJ38" s="81"/>
      <c r="AK38" s="81"/>
    </row>
    <row r="39" hidden="1">
      <c r="A39" s="126" t="s">
        <v>1361</v>
      </c>
      <c r="B39" s="25" t="s">
        <v>940</v>
      </c>
      <c r="C39" s="30" t="s">
        <v>38</v>
      </c>
      <c r="D39" s="30" t="s">
        <v>38</v>
      </c>
      <c r="E39" s="48" t="s">
        <v>1362</v>
      </c>
      <c r="F39" s="118"/>
      <c r="G39" s="66"/>
      <c r="H39" s="88">
        <v>30000.0</v>
      </c>
      <c r="I39" s="88">
        <f t="shared" si="1"/>
        <v>35700</v>
      </c>
      <c r="J39" s="30">
        <v>533.0</v>
      </c>
      <c r="K39" s="104"/>
      <c r="L39" s="66"/>
      <c r="M39" s="26" t="s">
        <v>634</v>
      </c>
      <c r="N39" s="26" t="s">
        <v>941</v>
      </c>
      <c r="O39" s="28" t="s">
        <v>632</v>
      </c>
      <c r="P39" s="28" t="s">
        <v>942</v>
      </c>
      <c r="Q39" s="149" t="s">
        <v>1455</v>
      </c>
      <c r="R39" s="49"/>
      <c r="S39" s="49">
        <v>419201.0</v>
      </c>
      <c r="T39" s="49">
        <v>1216375.0</v>
      </c>
      <c r="U39" s="49">
        <v>139359.0</v>
      </c>
      <c r="V39" s="30" t="s">
        <v>810</v>
      </c>
      <c r="W39" s="30" t="s">
        <v>1411</v>
      </c>
      <c r="X39" s="140">
        <v>46086.0</v>
      </c>
      <c r="Y39" s="48" t="s">
        <v>50</v>
      </c>
      <c r="Z39" s="28" t="s">
        <v>944</v>
      </c>
      <c r="AA39" s="28" t="s">
        <v>943</v>
      </c>
      <c r="AB39" s="106"/>
      <c r="AC39" s="66"/>
      <c r="AD39" s="66"/>
      <c r="AE39" s="81"/>
      <c r="AF39" s="121" t="str">
        <f>IFERROR(__xludf.DUMMYFUNCTION("HYPERLINK(
""https://wa.me/""&amp;REGEXREPLACE(Q39,""[^0-9]"","""")&amp;
""?text=""&amp;
ENCODEURL(
""Hola *""&amp;B39&amp;""*.
Te recordamos que la factura Nº *""&amp;J39&amp;""* por el plan """"""&amp;E39&amp;"""""" se encuentra disponible para pago y vence hoy.
Monto: *$""&amp;I39&amp;""*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*$""&amp;AG39&amp;""*
Valor total febrero (con IVA): *$""&amp;AH39&amp;""*
A partir de mañana el valor aument"&amp;"a un 25%, correspondiente al valor de diciembre.
Simple Pyme""
),
""Enviar WhatsApp""
)"),"Enviar WhatsApp")</f>
        <v>Enviar WhatsApp</v>
      </c>
      <c r="AG39" s="122">
        <v>100000.0</v>
      </c>
      <c r="AH39" s="123">
        <f>AG39*1.19</f>
        <v>119000</v>
      </c>
      <c r="AI39" s="81"/>
      <c r="AJ39" s="81"/>
      <c r="AK39" s="81"/>
    </row>
    <row r="40" hidden="1">
      <c r="A40" s="126" t="s">
        <v>1456</v>
      </c>
      <c r="B40" s="25" t="s">
        <v>1457</v>
      </c>
      <c r="C40" s="30" t="s">
        <v>38</v>
      </c>
      <c r="D40" s="30" t="s">
        <v>38</v>
      </c>
      <c r="E40" s="48" t="s">
        <v>1362</v>
      </c>
      <c r="F40" s="118"/>
      <c r="G40" s="66"/>
      <c r="H40" s="88">
        <v>30000.0</v>
      </c>
      <c r="I40" s="88">
        <f t="shared" si="1"/>
        <v>35700</v>
      </c>
      <c r="J40" s="30">
        <v>537.0</v>
      </c>
      <c r="K40" s="104"/>
      <c r="L40" s="66"/>
      <c r="M40" s="26" t="s">
        <v>688</v>
      </c>
      <c r="N40" s="26" t="s">
        <v>689</v>
      </c>
      <c r="O40" s="28" t="s">
        <v>1458</v>
      </c>
      <c r="P40" s="28" t="s">
        <v>1459</v>
      </c>
      <c r="Q40" s="28" t="s">
        <v>1460</v>
      </c>
      <c r="R40" s="29"/>
      <c r="S40" s="29">
        <v>1037457.0</v>
      </c>
      <c r="T40" s="29">
        <v>1013000.0</v>
      </c>
      <c r="U40" s="29">
        <v>1064.0</v>
      </c>
      <c r="V40" s="30" t="s">
        <v>810</v>
      </c>
      <c r="W40" s="30" t="s">
        <v>1411</v>
      </c>
      <c r="X40" s="127">
        <v>46087.0</v>
      </c>
      <c r="Y40" s="48" t="s">
        <v>50</v>
      </c>
      <c r="Z40" s="28" t="s">
        <v>1461</v>
      </c>
      <c r="AA40" s="28" t="s">
        <v>691</v>
      </c>
      <c r="AB40" s="106"/>
      <c r="AC40" s="66"/>
      <c r="AD40" s="66"/>
      <c r="AE40" s="81"/>
      <c r="AF40" s="121" t="str">
        <f>IFERROR(__xludf.DUMMYFUNCTION("HYPERLINK(
""https://wa.me/""&amp;REGEXREPLACE(Q40,""[^0-9]"","""")&amp;
""?text=""&amp;
ENCODEURL(
""Buenas tardes *""&amp;B40&amp;""*.
Te recordamos que tu plan *""""""&amp;E40&amp;""""""* *no incluye* la declaración de renta. Te enviamos varios correos informando sobre este proc"&amp;"eso. Esta semana vencen las primeras declaraciones juradas, lo que generará multas
Valor: *$""&amp;AG40&amp;""* + IVA = *$""&amp;AH40&amp;""*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40" s="123">
        <v>125000.0</v>
      </c>
      <c r="AH40" s="123">
        <v>148750.0</v>
      </c>
      <c r="AI40" s="123"/>
      <c r="AJ40" s="123"/>
      <c r="AK40" s="123"/>
    </row>
    <row r="41" hidden="1">
      <c r="A41" s="126" t="s">
        <v>1456</v>
      </c>
      <c r="B41" s="25" t="s">
        <v>945</v>
      </c>
      <c r="C41" s="30" t="s">
        <v>38</v>
      </c>
      <c r="D41" s="30" t="s">
        <v>38</v>
      </c>
      <c r="E41" s="48" t="s">
        <v>1362</v>
      </c>
      <c r="F41" s="118"/>
      <c r="G41" s="66"/>
      <c r="H41" s="88">
        <v>30000.0</v>
      </c>
      <c r="I41" s="88">
        <f t="shared" si="1"/>
        <v>35700</v>
      </c>
      <c r="J41" s="30">
        <v>536.0</v>
      </c>
      <c r="K41" s="104"/>
      <c r="L41" s="66"/>
      <c r="M41" s="26" t="s">
        <v>36</v>
      </c>
      <c r="N41" s="26" t="s">
        <v>37</v>
      </c>
      <c r="O41" s="28" t="s">
        <v>946</v>
      </c>
      <c r="P41" s="28" t="s">
        <v>947</v>
      </c>
      <c r="Q41" s="28" t="s">
        <v>1462</v>
      </c>
      <c r="R41" s="29"/>
      <c r="S41" s="29">
        <v>272838.0</v>
      </c>
      <c r="T41" s="29">
        <v>0.0</v>
      </c>
      <c r="U41" s="29">
        <v>0.0</v>
      </c>
      <c r="V41" s="30" t="s">
        <v>810</v>
      </c>
      <c r="W41" s="30" t="s">
        <v>1411</v>
      </c>
      <c r="X41" s="127">
        <v>46086.0</v>
      </c>
      <c r="Y41" s="48" t="s">
        <v>50</v>
      </c>
      <c r="Z41" s="28" t="s">
        <v>949</v>
      </c>
      <c r="AA41" s="28" t="s">
        <v>948</v>
      </c>
      <c r="AB41" s="106"/>
      <c r="AC41" s="66"/>
      <c r="AD41" s="66"/>
      <c r="AE41" s="81"/>
      <c r="AF41" s="121" t="str">
        <f>IFERROR(__xludf.DUMMYFUNCTION("HYPERLINK(
""https://wa.me/""&amp;REGEXREPLACE(Q41,""[^0-9]"","""")&amp;
""?text=""&amp;
ENCODEURL(
""Hola *""&amp;B41&amp;""*.
Te recordamos que la factura Nº *""&amp;J41&amp;""* por el plan """"""&amp;E41&amp;"""""" se encuentra disponible para pago y vence hoy.
Monto: *$""&amp;I41&amp;""*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1" s="81"/>
      <c r="AH41" s="81">
        <f t="shared" ref="AH41:AH42" si="5">AG41*1.19</f>
        <v>0</v>
      </c>
      <c r="AI41" s="81"/>
      <c r="AJ41" s="81"/>
      <c r="AK41" s="81"/>
    </row>
    <row r="42" hidden="1">
      <c r="A42" s="126" t="s">
        <v>1456</v>
      </c>
      <c r="B42" s="25" t="s">
        <v>950</v>
      </c>
      <c r="C42" s="30" t="s">
        <v>38</v>
      </c>
      <c r="D42" s="30" t="s">
        <v>38</v>
      </c>
      <c r="E42" s="48" t="s">
        <v>1362</v>
      </c>
      <c r="F42" s="118"/>
      <c r="G42" s="66"/>
      <c r="H42" s="88">
        <v>30000.0</v>
      </c>
      <c r="I42" s="88">
        <f t="shared" si="1"/>
        <v>35700</v>
      </c>
      <c r="J42" s="30">
        <v>541.0</v>
      </c>
      <c r="K42" s="104"/>
      <c r="L42" s="66"/>
      <c r="M42" s="26" t="s">
        <v>311</v>
      </c>
      <c r="N42" s="26" t="s">
        <v>312</v>
      </c>
      <c r="O42" s="28" t="s">
        <v>309</v>
      </c>
      <c r="P42" s="28" t="s">
        <v>951</v>
      </c>
      <c r="Q42" s="30" t="s">
        <v>1463</v>
      </c>
      <c r="R42" s="29"/>
      <c r="S42" s="29">
        <v>7534577.0</v>
      </c>
      <c r="T42" s="29">
        <v>1.4952704E7</v>
      </c>
      <c r="U42" s="29">
        <v>18691.0</v>
      </c>
      <c r="V42" s="30" t="s">
        <v>810</v>
      </c>
      <c r="W42" s="30" t="s">
        <v>1411</v>
      </c>
      <c r="X42" s="127">
        <v>46086.0</v>
      </c>
      <c r="Y42" s="48" t="s">
        <v>50</v>
      </c>
      <c r="Z42" s="28" t="s">
        <v>952</v>
      </c>
      <c r="AA42" s="28" t="s">
        <v>316</v>
      </c>
      <c r="AB42" s="106"/>
      <c r="AC42" s="66"/>
      <c r="AD42" s="66"/>
      <c r="AE42" s="81"/>
      <c r="AF42" s="121" t="str">
        <f>IFERROR(__xludf.DUMMYFUNCTION("HYPERLINK(
""https://wa.me/""&amp;REGEXREPLACE(Q42,""[^0-9]"","""")&amp;
""?text=""&amp;
ENCODEURL(
""Hola *""&amp;B42&amp;""*.
Te recordamos que la factura Nº *""&amp;J42&amp;""* por el plan """"""&amp;E42&amp;"""""" se encuentra disponible para pago y vence hoy.
Monto: *$""&amp;I42&amp;""*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42" s="81"/>
      <c r="AH42" s="81">
        <f t="shared" si="5"/>
        <v>0</v>
      </c>
      <c r="AI42" s="81"/>
      <c r="AJ42" s="81"/>
      <c r="AK42" s="81"/>
    </row>
    <row r="43" hidden="1">
      <c r="A43" s="126" t="s">
        <v>1456</v>
      </c>
      <c r="B43" s="25" t="s">
        <v>1464</v>
      </c>
      <c r="C43" s="28" t="s">
        <v>50</v>
      </c>
      <c r="D43" s="28"/>
      <c r="E43" s="48" t="s">
        <v>1362</v>
      </c>
      <c r="F43" s="118"/>
      <c r="G43" s="66"/>
      <c r="H43" s="124">
        <v>30000.0</v>
      </c>
      <c r="I43" s="88">
        <f t="shared" si="1"/>
        <v>35700</v>
      </c>
      <c r="J43" s="30">
        <v>540.0</v>
      </c>
      <c r="K43" s="104"/>
      <c r="L43" s="28"/>
      <c r="M43" s="26" t="s">
        <v>1465</v>
      </c>
      <c r="N43" s="26" t="s">
        <v>1466</v>
      </c>
      <c r="O43" s="28" t="s">
        <v>1467</v>
      </c>
      <c r="P43" s="28" t="s">
        <v>1468</v>
      </c>
      <c r="Q43" s="28" t="s">
        <v>1469</v>
      </c>
      <c r="R43" s="29"/>
      <c r="S43" s="29"/>
      <c r="T43" s="29"/>
      <c r="U43" s="29"/>
      <c r="V43" s="30" t="s">
        <v>811</v>
      </c>
      <c r="W43" s="30" t="s">
        <v>1364</v>
      </c>
      <c r="X43" s="66"/>
      <c r="Y43" s="48" t="s">
        <v>50</v>
      </c>
      <c r="Z43" s="28" t="s">
        <v>1471</v>
      </c>
      <c r="AA43" s="28" t="s">
        <v>809</v>
      </c>
      <c r="AB43" s="106"/>
      <c r="AC43" s="66"/>
      <c r="AD43" s="66"/>
      <c r="AE43" s="81"/>
      <c r="AF43" s="121" t="str">
        <f>IFERROR(__xludf.DUMMYFUNCTION("HYPERLINK(
""https://wa.me/""&amp;REGEXREPLACE(Q43,""[^0-9]"","""")&amp;
""?text=""&amp;
ENCODEURL(
""Buenas tardes *""&amp;B43&amp;""*.
Te recordamos que la operación renta ya comenzó y vencieron las primeras declaracione juradas *EVITA MÁS MULTAS*,  tu plan """"""&amp;E43&amp;"""&amp;""""" no incluye la declaración de renta. Te enviamos varios correos informando sobre este proceso. 
Valor del servicio: *$""&amp;AG43&amp;""* + IVA = *$""&amp;AH43&amp;""*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3" s="123">
        <v>125000.0</v>
      </c>
      <c r="AH43" s="123">
        <v>148750.0</v>
      </c>
      <c r="AI43" s="123"/>
      <c r="AJ43" s="123"/>
      <c r="AK43" s="123"/>
    </row>
    <row r="44" hidden="1">
      <c r="A44" s="126" t="s">
        <v>1456</v>
      </c>
      <c r="B44" s="25" t="s">
        <v>1472</v>
      </c>
      <c r="C44" s="30" t="s">
        <v>1473</v>
      </c>
      <c r="D44" s="28"/>
      <c r="E44" s="48" t="s">
        <v>1362</v>
      </c>
      <c r="F44" s="118"/>
      <c r="G44" s="66"/>
      <c r="H44" s="88">
        <v>30000.0</v>
      </c>
      <c r="I44" s="88">
        <f t="shared" si="1"/>
        <v>35700</v>
      </c>
      <c r="J44" s="30">
        <v>543.0</v>
      </c>
      <c r="K44" s="104"/>
      <c r="L44" s="66"/>
      <c r="M44" s="26" t="s">
        <v>1474</v>
      </c>
      <c r="N44" s="26" t="s">
        <v>1475</v>
      </c>
      <c r="O44" s="28" t="s">
        <v>1476</v>
      </c>
      <c r="P44" s="28" t="s">
        <v>1477</v>
      </c>
      <c r="Q44" s="120" t="s">
        <v>1478</v>
      </c>
      <c r="R44" s="29"/>
      <c r="S44" s="29">
        <v>6113879.0</v>
      </c>
      <c r="T44" s="29">
        <v>8214835.0</v>
      </c>
      <c r="U44" s="29">
        <v>360612.0</v>
      </c>
      <c r="V44" s="30" t="s">
        <v>810</v>
      </c>
      <c r="W44" s="30" t="s">
        <v>1411</v>
      </c>
      <c r="X44" s="127">
        <v>46090.0</v>
      </c>
      <c r="Y44" s="48" t="s">
        <v>50</v>
      </c>
      <c r="Z44" s="28" t="s">
        <v>1479</v>
      </c>
      <c r="AA44" s="28" t="s">
        <v>1480</v>
      </c>
      <c r="AB44" s="106"/>
      <c r="AC44" s="66"/>
      <c r="AD44" s="66"/>
      <c r="AE44" s="81"/>
      <c r="AF44" s="121" t="str">
        <f>IFERROR(__xludf.DUMMYFUNCTION("HYPERLINK(
""https://wa.me/""&amp;REGEXREPLACE(Q44,""[^0-9]"","""")&amp;
""?text=""&amp;
ENCODEURL(
""Buenas tardes *""&amp;B44&amp;""*.
Te recordamos que la operación renta ya comenzó y vencieron las primeras declaracione juradas *EVITA MÁS MULTAS*,  tu plan """"""&amp;E44&amp;"""&amp;""""" no incluye la declaración de renta. Te enviamos varios correos informando sobre este proceso. 
Valor del servicio: *$""&amp;AG44&amp;""* + IVA = *$""&amp;AH44&amp;""*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4" s="123">
        <v>125000.0</v>
      </c>
      <c r="AH44" s="123">
        <v>148750.0</v>
      </c>
      <c r="AI44" s="123"/>
      <c r="AJ44" s="123"/>
      <c r="AK44" s="123"/>
    </row>
    <row r="45" hidden="1">
      <c r="A45" s="126" t="s">
        <v>1456</v>
      </c>
      <c r="B45" s="25" t="s">
        <v>372</v>
      </c>
      <c r="C45" s="30" t="s">
        <v>38</v>
      </c>
      <c r="D45" s="30" t="s">
        <v>38</v>
      </c>
      <c r="E45" s="48" t="s">
        <v>1375</v>
      </c>
      <c r="F45" s="118"/>
      <c r="G45" s="66"/>
      <c r="H45" s="88" t="s">
        <v>1381</v>
      </c>
      <c r="I45" s="88">
        <f t="shared" si="1"/>
        <v>0</v>
      </c>
      <c r="J45" s="135" t="s">
        <v>1438</v>
      </c>
      <c r="K45" s="104"/>
      <c r="L45" s="28" t="s">
        <v>1481</v>
      </c>
      <c r="M45" s="26" t="s">
        <v>373</v>
      </c>
      <c r="N45" s="26" t="s">
        <v>374</v>
      </c>
      <c r="O45" s="28" t="s">
        <v>953</v>
      </c>
      <c r="P45" s="28" t="s">
        <v>954</v>
      </c>
      <c r="Q45" s="120">
        <v>9.63656735E8</v>
      </c>
      <c r="R45" s="29"/>
      <c r="S45" s="29">
        <v>300000.0</v>
      </c>
      <c r="T45" s="29">
        <v>0.0</v>
      </c>
      <c r="U45" s="29">
        <v>0.0</v>
      </c>
      <c r="V45" s="30" t="s">
        <v>810</v>
      </c>
      <c r="W45" s="48" t="s">
        <v>1375</v>
      </c>
      <c r="X45" s="66"/>
      <c r="Y45" s="48" t="s">
        <v>50</v>
      </c>
      <c r="Z45" s="28" t="s">
        <v>955</v>
      </c>
      <c r="AA45" s="28" t="s">
        <v>809</v>
      </c>
      <c r="AB45" s="106"/>
      <c r="AC45" s="66"/>
      <c r="AD45" s="66"/>
      <c r="AE45" s="81"/>
      <c r="AF45" s="81" t="str">
        <f>IFERROR(__xludf.DUMMYFUNCTION("HYPERLINK(
""https://wa.me/""&amp;REGEXREPLACE(Q45,""[^0-9]"","""")&amp;
""?text=""&amp;
ENCODEURL(
""Hola *""&amp;B45&amp;""*.
Te recordamos que la factura Nº *""&amp;J45&amp;""* por el plan """"""&amp;E45&amp;"""""" se encuentra disponible para pago y vence hoy.
Monto: *$""&amp;I45&amp;""*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*$""&amp;AG45&amp;""*
Valor total febrero (con IVA): *$""&amp;AH45&amp;""*
A partir de mañana el valor aument"&amp;"a un 25%, correspondiente al valor de diciembre.
Simple Pyme""
),
""Enviar WhatsApp""
)"),"Enviar WhatsApp")</f>
        <v>Enviar WhatsApp</v>
      </c>
      <c r="AG45" s="81"/>
      <c r="AH45" s="81"/>
      <c r="AI45" s="81"/>
      <c r="AJ45" s="81"/>
      <c r="AK45" s="81"/>
    </row>
    <row r="46" hidden="1">
      <c r="A46" s="126" t="s">
        <v>1456</v>
      </c>
      <c r="B46" s="25" t="s">
        <v>520</v>
      </c>
      <c r="C46" s="30" t="s">
        <v>38</v>
      </c>
      <c r="D46" s="30" t="s">
        <v>38</v>
      </c>
      <c r="E46" s="48" t="s">
        <v>1416</v>
      </c>
      <c r="F46" s="118"/>
      <c r="G46" s="66"/>
      <c r="H46" s="88">
        <v>10000.0</v>
      </c>
      <c r="I46" s="88">
        <f t="shared" si="1"/>
        <v>11900</v>
      </c>
      <c r="J46" s="30">
        <v>545.0</v>
      </c>
      <c r="K46" s="97">
        <v>46500.0</v>
      </c>
      <c r="L46" s="66"/>
      <c r="M46" s="26" t="s">
        <v>521</v>
      </c>
      <c r="N46" s="26" t="s">
        <v>522</v>
      </c>
      <c r="O46" s="28" t="s">
        <v>519</v>
      </c>
      <c r="P46" s="28" t="s">
        <v>956</v>
      </c>
      <c r="Q46" s="120" t="s">
        <v>1482</v>
      </c>
      <c r="R46" s="29"/>
      <c r="S46" s="29">
        <v>11900.0</v>
      </c>
      <c r="T46" s="29">
        <v>0.0</v>
      </c>
      <c r="U46" s="29">
        <v>0.0</v>
      </c>
      <c r="V46" s="30" t="s">
        <v>810</v>
      </c>
      <c r="W46" s="30" t="s">
        <v>1411</v>
      </c>
      <c r="X46" s="127">
        <v>46086.0</v>
      </c>
      <c r="Y46" s="48" t="s">
        <v>50</v>
      </c>
      <c r="Z46" s="28" t="s">
        <v>958</v>
      </c>
      <c r="AA46" s="28" t="s">
        <v>957</v>
      </c>
      <c r="AB46" s="106"/>
      <c r="AC46" s="66"/>
      <c r="AD46" s="66"/>
      <c r="AE46" s="81"/>
      <c r="AF46" s="121" t="str">
        <f>IFERROR(__xludf.DUMMYFUNCTION("HYPERLINK(
""https://wa.me/""&amp;REGEXREPLACE(Q46,""[^0-9]"","""")&amp;
""?text=""&amp;
ENCODEURL(
""Hola *""&amp;B46&amp;""*.
Te recordamos que la factura Nº *""&amp;J46&amp;""* por el plan """"""&amp;E46&amp;"""""" se encuentra disponible para pago y vence hoy.
Monto: *$""&amp;I46&amp;""*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*$""&amp;AG46&amp;""*
Valor total febrero (con IVA): *$""&amp;AH46&amp;""*
A partir de mañana el valor aument"&amp;"a un 25%, correspondiente al valor de diciembre.
Simple Pyme""
),
""Enviar WhatsApp""
)"),"Enviar WhatsApp")</f>
        <v>Enviar WhatsApp</v>
      </c>
      <c r="AG46" s="122">
        <v>62500.0</v>
      </c>
      <c r="AH46" s="123">
        <f>AG46*1.19</f>
        <v>74375</v>
      </c>
      <c r="AI46" s="81"/>
      <c r="AJ46" s="81"/>
      <c r="AK46" s="81"/>
    </row>
    <row r="47" hidden="1">
      <c r="A47" s="126" t="s">
        <v>1456</v>
      </c>
      <c r="B47" s="25" t="s">
        <v>1483</v>
      </c>
      <c r="C47" s="28" t="s">
        <v>50</v>
      </c>
      <c r="D47" s="28"/>
      <c r="E47" s="48" t="s">
        <v>1362</v>
      </c>
      <c r="F47" s="118"/>
      <c r="G47" s="66"/>
      <c r="H47" s="88">
        <v>30000.0</v>
      </c>
      <c r="I47" s="88">
        <f t="shared" si="1"/>
        <v>35700</v>
      </c>
      <c r="J47" s="30">
        <v>565.0</v>
      </c>
      <c r="K47" s="104"/>
      <c r="L47" s="66"/>
      <c r="M47" s="26" t="s">
        <v>1484</v>
      </c>
      <c r="N47" s="26" t="s">
        <v>1485</v>
      </c>
      <c r="O47" s="28" t="s">
        <v>1486</v>
      </c>
      <c r="P47" s="28" t="s">
        <v>1487</v>
      </c>
      <c r="Q47" s="139" t="s">
        <v>1488</v>
      </c>
      <c r="R47" s="29"/>
      <c r="S47" s="29">
        <v>992760.0</v>
      </c>
      <c r="T47" s="29">
        <v>300.0</v>
      </c>
      <c r="U47" s="29">
        <v>48.0</v>
      </c>
      <c r="V47" s="30" t="s">
        <v>1672</v>
      </c>
      <c r="W47" s="30" t="s">
        <v>1411</v>
      </c>
      <c r="X47" s="140">
        <v>46098.0</v>
      </c>
      <c r="Y47" s="48" t="s">
        <v>50</v>
      </c>
      <c r="Z47" s="28" t="s">
        <v>1489</v>
      </c>
      <c r="AA47" s="28" t="s">
        <v>1490</v>
      </c>
      <c r="AB47" s="106"/>
      <c r="AC47" s="66"/>
      <c r="AD47" s="66"/>
      <c r="AE47" s="81"/>
      <c r="AF47" s="121" t="str">
        <f>IFERROR(__xludf.DUMMYFUNCTION("HYPERLINK(
""https://wa.me/""&amp;REGEXREPLACE(Q47,""[^0-9]"","""")&amp;
""?text=""&amp;
ENCODEURL(
""Buenas tardes *""&amp;B47&amp;""*.
Te recordamos que la operación renta ya comenzó y vencieron las primeras declaracione juradas *EVITA MÁS MULTAS*,  tu plan """"""&amp;E47&amp;"""&amp;""""" no incluye la declaración de renta. Te enviamos varios correos informando sobre este proceso. 
Valor del servicio: *$""&amp;AG47&amp;""* + IVA = *$""&amp;AH47&amp;""*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7" s="123">
        <v>125000.0</v>
      </c>
      <c r="AH47" s="123">
        <v>148750.0</v>
      </c>
      <c r="AI47" s="123"/>
      <c r="AJ47" s="123"/>
      <c r="AK47" s="123"/>
    </row>
    <row r="48">
      <c r="A48" s="180" t="s">
        <v>1456</v>
      </c>
      <c r="B48" s="59" t="s">
        <v>1678</v>
      </c>
      <c r="C48" s="28" t="s">
        <v>50</v>
      </c>
      <c r="D48" s="69"/>
      <c r="E48" s="46" t="s">
        <v>1372</v>
      </c>
      <c r="F48" s="192"/>
      <c r="G48" s="69"/>
      <c r="H48" s="90">
        <v>50000.0</v>
      </c>
      <c r="I48" s="88">
        <f t="shared" si="1"/>
        <v>59500</v>
      </c>
      <c r="J48" s="183" t="s">
        <v>1376</v>
      </c>
      <c r="K48" s="184"/>
      <c r="L48" s="46"/>
      <c r="M48" s="45" t="s">
        <v>1679</v>
      </c>
      <c r="N48" s="45" t="s">
        <v>1680</v>
      </c>
      <c r="O48" s="46" t="s">
        <v>1681</v>
      </c>
      <c r="P48" s="46" t="s">
        <v>1682</v>
      </c>
      <c r="Q48" s="194" t="s">
        <v>1683</v>
      </c>
      <c r="R48" s="47"/>
      <c r="S48" s="47"/>
      <c r="T48" s="47"/>
      <c r="U48" s="47"/>
      <c r="V48" s="30" t="s">
        <v>880</v>
      </c>
      <c r="W48" s="183" t="s">
        <v>1207</v>
      </c>
      <c r="X48" s="195"/>
      <c r="Y48" s="46" t="s">
        <v>50</v>
      </c>
      <c r="Z48" s="46" t="s">
        <v>1684</v>
      </c>
      <c r="AA48" s="46" t="s">
        <v>1685</v>
      </c>
      <c r="AB48" s="69"/>
      <c r="AC48" s="69"/>
      <c r="AD48" s="69"/>
      <c r="AE48" s="73"/>
      <c r="AF48" s="121" t="str">
        <f>IFERROR(__xludf.DUMMYFUNCTION("HYPERLINK(
""https://wa.me/""&amp;REGEXREPLACE(Q48,""[^0-9]"","""")&amp;
""?text=""&amp;
ENCODEURL(
""Buenas tardes *""&amp;B48&amp;""*.
Te recordamos que la operación renta ya comenzó y vencieron las primeras declaracione juradas *EVITA MÁS MULTAS*,  tu plan """"""&amp;E48&amp;"""&amp;""""" no incluye la declaración de renta. Te enviamos varios correos informando sobre este proceso. 
Valor del servicio: *$""&amp;AG48&amp;""* + IVA = *$""&amp;AH48&amp;""*
El pago puedes hacerlo vía transferencia en la siguiente *EN HASTA DOS CUOTAS* cuenta:
*CUENTA B"&amp;"ANCARIA*
VOLLAIRE &amp; OLIVOS SIMPLE PYME LTDA
Banco BCI
Cuenta corriente
RUT 78.306.207-0
Número de cuenta: 70809538
MATIAS.OLIVOS@VSVCONSULTORES.COM
También puedes pagar con tarjeta de débito o crédito en el siguiente link:
https://www.flow.cl/btn.php?tok"&amp;"en=xe78c9acb73c3eff5e917d5c932a4a2f7f971abe
Simple Pyme""
),
""Enviar WhatsApp""
)"),"Enviar WhatsApp")</f>
        <v>Enviar WhatsApp</v>
      </c>
      <c r="AG48" s="193">
        <v>117188.0</v>
      </c>
      <c r="AH48" s="123">
        <v>139453.72</v>
      </c>
      <c r="AI48" s="123"/>
      <c r="AJ48" s="123"/>
      <c r="AK48" s="123"/>
    </row>
    <row r="49" hidden="1">
      <c r="A49" s="126" t="s">
        <v>1456</v>
      </c>
      <c r="B49" s="25" t="s">
        <v>959</v>
      </c>
      <c r="C49" s="28"/>
      <c r="D49" s="66"/>
      <c r="E49" s="48" t="s">
        <v>1375</v>
      </c>
      <c r="F49" s="118"/>
      <c r="G49" s="66"/>
      <c r="H49" s="88" t="s">
        <v>1381</v>
      </c>
      <c r="I49" s="88">
        <f t="shared" si="1"/>
        <v>0</v>
      </c>
      <c r="J49" s="135" t="s">
        <v>1438</v>
      </c>
      <c r="K49" s="104"/>
      <c r="L49" s="30" t="s">
        <v>1491</v>
      </c>
      <c r="M49" s="26" t="s">
        <v>960</v>
      </c>
      <c r="N49" s="26" t="s">
        <v>961</v>
      </c>
      <c r="O49" s="28" t="s">
        <v>962</v>
      </c>
      <c r="P49" s="28" t="s">
        <v>963</v>
      </c>
      <c r="Q49" s="30" t="s">
        <v>1492</v>
      </c>
      <c r="R49" s="29"/>
      <c r="S49" s="29">
        <v>0.0</v>
      </c>
      <c r="T49" s="29">
        <v>0.0</v>
      </c>
      <c r="U49" s="29"/>
      <c r="V49" s="30" t="s">
        <v>810</v>
      </c>
      <c r="W49" s="48" t="s">
        <v>1375</v>
      </c>
      <c r="X49" s="66"/>
      <c r="Y49" s="48" t="s">
        <v>50</v>
      </c>
      <c r="Z49" s="28" t="s">
        <v>966</v>
      </c>
      <c r="AA49" s="28" t="s">
        <v>964</v>
      </c>
      <c r="AB49" s="106"/>
      <c r="AC49" s="66"/>
      <c r="AD49" s="66"/>
      <c r="AE49" s="81"/>
      <c r="AF49" s="121" t="str">
        <f>IFERROR(__xludf.DUMMYFUNCTION("HYPERLINK(
""https://wa.me/""&amp;REGEXREPLACE(Q49,""[^0-9]"","""")&amp;
""?text=""&amp;
ENCODEURL(
""Hola *""&amp;B49&amp;""*.
Te recordamos que la factura Nº *""&amp;J49&amp;""* por el plan """"""&amp;E49&amp;"""""" se encuentra disponible para pago y vence hoy.
Monto: *$""&amp;I49&amp;""*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*$""&amp;AG49&amp;""*
Valor total febrero (con IVA): *$""&amp;AH49&amp;""*
A partir de mañana el valor aument"&amp;"a un 25%, correspondiente al valor de diciembre.
Simple Pyme""
),
""Enviar WhatsApp""
)"),"Enviar WhatsApp")</f>
        <v>Enviar WhatsApp</v>
      </c>
      <c r="AG49" s="81">
        <v>0.0</v>
      </c>
      <c r="AH49" s="81">
        <f t="shared" ref="AH49:AH52" si="6">AG49*1.19</f>
        <v>0</v>
      </c>
      <c r="AI49" s="81"/>
      <c r="AJ49" s="81"/>
      <c r="AK49" s="81"/>
    </row>
    <row r="50" hidden="1">
      <c r="A50" s="126" t="s">
        <v>1456</v>
      </c>
      <c r="B50" s="25" t="s">
        <v>263</v>
      </c>
      <c r="C50" s="30" t="s">
        <v>38</v>
      </c>
      <c r="D50" s="30" t="s">
        <v>38</v>
      </c>
      <c r="E50" s="48" t="s">
        <v>1362</v>
      </c>
      <c r="F50" s="118"/>
      <c r="G50" s="66"/>
      <c r="H50" s="88">
        <v>30000.0</v>
      </c>
      <c r="I50" s="88">
        <f t="shared" si="1"/>
        <v>35700</v>
      </c>
      <c r="J50" s="30">
        <v>548.0</v>
      </c>
      <c r="K50" s="104"/>
      <c r="L50" s="28"/>
      <c r="M50" s="50" t="s">
        <v>264</v>
      </c>
      <c r="N50" s="26" t="s">
        <v>967</v>
      </c>
      <c r="O50" s="25" t="s">
        <v>262</v>
      </c>
      <c r="P50" s="28" t="s">
        <v>968</v>
      </c>
      <c r="Q50" s="30" t="s">
        <v>1493</v>
      </c>
      <c r="R50" s="29"/>
      <c r="S50" s="29">
        <v>3.3862339E7</v>
      </c>
      <c r="T50" s="29">
        <v>1308690.0</v>
      </c>
      <c r="U50" s="29">
        <v>45106.0</v>
      </c>
      <c r="V50" s="30" t="s">
        <v>1672</v>
      </c>
      <c r="W50" s="30" t="s">
        <v>1411</v>
      </c>
      <c r="X50" s="128">
        <v>46090.0</v>
      </c>
      <c r="Y50" s="48" t="s">
        <v>50</v>
      </c>
      <c r="Z50" s="28" t="s">
        <v>969</v>
      </c>
      <c r="AA50" s="28" t="s">
        <v>809</v>
      </c>
      <c r="AB50" s="106"/>
      <c r="AC50" s="66"/>
      <c r="AD50" s="66"/>
      <c r="AE50" s="81"/>
      <c r="AF50" s="121" t="str">
        <f>IFERROR(__xludf.DUMMYFUNCTION("HYPERLINK(
""https://wa.me/""&amp;REGEXREPLACE(Q50,""[^0-9]"","""")&amp;
""?text=""&amp;
ENCODEURL(
""Hola *""&amp;B50&amp;""*.
Te recordamos que la factura Nº *""&amp;J50&amp;""* por el plan """"""&amp;E50&amp;"""""" se encuentra disponible para pago y vence hoy.
Monto: *$""&amp;I50&amp;""*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0" s="81"/>
      <c r="AH50" s="81">
        <f t="shared" si="6"/>
        <v>0</v>
      </c>
      <c r="AI50" s="81"/>
      <c r="AJ50" s="81"/>
      <c r="AK50" s="81"/>
    </row>
    <row r="51" hidden="1">
      <c r="A51" s="126" t="s">
        <v>1456</v>
      </c>
      <c r="B51" s="25" t="s">
        <v>970</v>
      </c>
      <c r="C51" s="30" t="s">
        <v>38</v>
      </c>
      <c r="D51" s="30" t="s">
        <v>38</v>
      </c>
      <c r="E51" s="48" t="s">
        <v>1362</v>
      </c>
      <c r="F51" s="118"/>
      <c r="G51" s="28">
        <f>80000*1.19</f>
        <v>95200</v>
      </c>
      <c r="H51" s="88">
        <v>30000.0</v>
      </c>
      <c r="I51" s="88">
        <f t="shared" si="1"/>
        <v>35700</v>
      </c>
      <c r="J51" s="30">
        <v>550.0</v>
      </c>
      <c r="K51" s="104"/>
      <c r="L51" s="66"/>
      <c r="M51" s="26" t="s">
        <v>181</v>
      </c>
      <c r="N51" s="26" t="s">
        <v>182</v>
      </c>
      <c r="O51" s="28" t="s">
        <v>971</v>
      </c>
      <c r="P51" s="28" t="s">
        <v>972</v>
      </c>
      <c r="Q51" s="120" t="s">
        <v>1494</v>
      </c>
      <c r="R51" s="29"/>
      <c r="S51" s="29">
        <v>1449506.0</v>
      </c>
      <c r="T51" s="29">
        <v>954030.0</v>
      </c>
      <c r="U51" s="29">
        <v>1002.0</v>
      </c>
      <c r="V51" s="30" t="s">
        <v>810</v>
      </c>
      <c r="W51" s="30" t="s">
        <v>1411</v>
      </c>
      <c r="X51" s="127">
        <v>46084.0</v>
      </c>
      <c r="Y51" s="48" t="s">
        <v>50</v>
      </c>
      <c r="Z51" s="28" t="s">
        <v>974</v>
      </c>
      <c r="AA51" s="28" t="s">
        <v>973</v>
      </c>
      <c r="AB51" s="106"/>
      <c r="AC51" s="66"/>
      <c r="AD51" s="66"/>
      <c r="AE51" s="81"/>
      <c r="AF51" s="121" t="str">
        <f>IFERROR(__xludf.DUMMYFUNCTION("HYPERLINK(
""https://wa.me/""&amp;REGEXREPLACE(Q51,""[^0-9]"","""")&amp;
""?text=""&amp;
ENCODEURL(
""Hola *""&amp;B51&amp;""*.
Te recordamos que la factura Nº *""&amp;J51&amp;""* por el plan """"""&amp;E51&amp;"""""" se encuentra disponible para pago y vence hoy.
Monto: *$""&amp;I51&amp;""*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1" s="81"/>
      <c r="AH51" s="81">
        <f t="shared" si="6"/>
        <v>0</v>
      </c>
      <c r="AI51" s="81"/>
      <c r="AJ51" s="81"/>
      <c r="AK51" s="81"/>
    </row>
    <row r="52" hidden="1">
      <c r="A52" s="126" t="s">
        <v>1456</v>
      </c>
      <c r="B52" s="25" t="s">
        <v>975</v>
      </c>
      <c r="C52" s="30" t="s">
        <v>38</v>
      </c>
      <c r="D52" s="30" t="s">
        <v>38</v>
      </c>
      <c r="E52" s="48" t="s">
        <v>1413</v>
      </c>
      <c r="F52" s="118"/>
      <c r="G52" s="66"/>
      <c r="H52" s="88">
        <v>60504.0</v>
      </c>
      <c r="I52" s="88">
        <f t="shared" si="1"/>
        <v>71999.76</v>
      </c>
      <c r="J52" s="30">
        <v>555.0</v>
      </c>
      <c r="K52" s="88">
        <v>238000.0</v>
      </c>
      <c r="L52" s="71" t="s">
        <v>1686</v>
      </c>
      <c r="M52" s="26" t="s">
        <v>129</v>
      </c>
      <c r="N52" s="26" t="s">
        <v>130</v>
      </c>
      <c r="O52" s="30" t="s">
        <v>976</v>
      </c>
      <c r="P52" s="28" t="s">
        <v>977</v>
      </c>
      <c r="Q52" s="30" t="s">
        <v>1495</v>
      </c>
      <c r="R52" s="29"/>
      <c r="S52" s="29">
        <v>983567.0</v>
      </c>
      <c r="T52" s="29">
        <v>3106893.0</v>
      </c>
      <c r="U52" s="29">
        <v>362968.0</v>
      </c>
      <c r="V52" s="30" t="s">
        <v>810</v>
      </c>
      <c r="W52" s="30" t="s">
        <v>1411</v>
      </c>
      <c r="X52" s="127">
        <v>46091.0</v>
      </c>
      <c r="Y52" s="48" t="s">
        <v>50</v>
      </c>
      <c r="Z52" s="28" t="s">
        <v>979</v>
      </c>
      <c r="AA52" s="28" t="s">
        <v>978</v>
      </c>
      <c r="AB52" s="106"/>
      <c r="AC52" s="66"/>
      <c r="AD52" s="66"/>
      <c r="AE52" s="81"/>
      <c r="AF52" s="121" t="str">
        <f>IFERROR(__xludf.DUMMYFUNCTION("HYPERLINK(
""https://wa.me/""&amp;REGEXREPLACE(Q52,""[^0-9]"","""")&amp;
""?text=""&amp;
ENCODEURL(
""Hola *""&amp;B52&amp;""*.
Te recordamos que la factura Nº *""&amp;J52&amp;""* por el plan """"""&amp;E52&amp;"""""" se encuentra disponible para pago y vence hoy.
Monto: *$""&amp;I52&amp;""*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2" s="81"/>
      <c r="AH52" s="81">
        <f t="shared" si="6"/>
        <v>0</v>
      </c>
      <c r="AI52" s="81"/>
      <c r="AJ52" s="81"/>
      <c r="AK52" s="81"/>
    </row>
    <row r="53" hidden="1">
      <c r="A53" s="126" t="s">
        <v>1456</v>
      </c>
      <c r="B53" s="25" t="s">
        <v>1496</v>
      </c>
      <c r="C53" s="30" t="s">
        <v>38</v>
      </c>
      <c r="D53" s="30" t="s">
        <v>38</v>
      </c>
      <c r="E53" s="48" t="s">
        <v>1362</v>
      </c>
      <c r="F53" s="118"/>
      <c r="G53" s="66"/>
      <c r="H53" s="88">
        <v>30000.0</v>
      </c>
      <c r="I53" s="88">
        <f t="shared" si="1"/>
        <v>35700</v>
      </c>
      <c r="J53" s="30">
        <v>553.0</v>
      </c>
      <c r="K53" s="104"/>
      <c r="L53" s="66"/>
      <c r="M53" s="26" t="s">
        <v>1497</v>
      </c>
      <c r="N53" s="26" t="s">
        <v>733</v>
      </c>
      <c r="O53" s="28" t="s">
        <v>730</v>
      </c>
      <c r="P53" s="28" t="s">
        <v>735</v>
      </c>
      <c r="Q53" s="30" t="s">
        <v>1498</v>
      </c>
      <c r="R53" s="29"/>
      <c r="S53" s="29">
        <v>415688.0</v>
      </c>
      <c r="T53" s="29">
        <v>0.0</v>
      </c>
      <c r="U53" s="29">
        <v>0.0</v>
      </c>
      <c r="V53" s="30" t="s">
        <v>810</v>
      </c>
      <c r="W53" s="30" t="s">
        <v>1411</v>
      </c>
      <c r="X53" s="128"/>
      <c r="Y53" s="48" t="s">
        <v>50</v>
      </c>
      <c r="Z53" s="28" t="s">
        <v>1499</v>
      </c>
      <c r="AA53" s="28" t="s">
        <v>736</v>
      </c>
      <c r="AB53" s="106"/>
      <c r="AC53" s="66"/>
      <c r="AD53" s="66"/>
      <c r="AE53" s="81"/>
      <c r="AF53" s="121" t="str">
        <f>IFERROR(__xludf.DUMMYFUNCTION("HYPERLINK(
""https://wa.me/""&amp;REGEXREPLACE(Q53,""[^0-9]"","""")&amp;
""?text=""&amp;
ENCODEURL(
""Buenas tardes *""&amp;B53&amp;""*.
Te recordamos que la factura """"""&amp;J53&amp;"""""" de tu plan """"""&amp;E53&amp;"""""" se encuentre impaga a la fecha, lo que implica que tu servici"&amp;"o se encuentra suspendido. Para reactivar el servicio y que hagamos la declaración mensual debes realizar el pago lo antes posible.
Valor: *$""&amp;H53&amp;""* + IVA = *$""&amp;I53&amp;""*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53" s="123">
        <v>125000.0</v>
      </c>
      <c r="AH53" s="123">
        <v>148750.0</v>
      </c>
      <c r="AI53" s="123"/>
      <c r="AJ53" s="123"/>
      <c r="AK53" s="123"/>
    </row>
    <row r="54" hidden="1">
      <c r="A54" s="126" t="s">
        <v>1456</v>
      </c>
      <c r="B54" s="25" t="s">
        <v>232</v>
      </c>
      <c r="C54" s="30" t="s">
        <v>38</v>
      </c>
      <c r="D54" s="30" t="s">
        <v>38</v>
      </c>
      <c r="E54" s="48" t="s">
        <v>1416</v>
      </c>
      <c r="F54" s="118"/>
      <c r="G54" s="66"/>
      <c r="H54" s="88">
        <v>10000.0</v>
      </c>
      <c r="I54" s="88">
        <f t="shared" si="1"/>
        <v>11900</v>
      </c>
      <c r="J54" s="30">
        <v>557.0</v>
      </c>
      <c r="K54" s="88">
        <v>59500.0</v>
      </c>
      <c r="L54" s="66"/>
      <c r="M54" s="26" t="s">
        <v>980</v>
      </c>
      <c r="N54" s="26" t="s">
        <v>234</v>
      </c>
      <c r="O54" s="28" t="s">
        <v>231</v>
      </c>
      <c r="P54" s="28" t="s">
        <v>981</v>
      </c>
      <c r="Q54" s="120" t="s">
        <v>1500</v>
      </c>
      <c r="R54" s="29"/>
      <c r="S54" s="29">
        <v>23800.0</v>
      </c>
      <c r="T54" s="29">
        <v>0.0</v>
      </c>
      <c r="U54" s="29">
        <v>0.0</v>
      </c>
      <c r="V54" s="30" t="s">
        <v>810</v>
      </c>
      <c r="W54" s="30" t="s">
        <v>1411</v>
      </c>
      <c r="X54" s="150">
        <v>46086.0</v>
      </c>
      <c r="Y54" s="48" t="s">
        <v>50</v>
      </c>
      <c r="Z54" s="28" t="s">
        <v>983</v>
      </c>
      <c r="AA54" s="28" t="s">
        <v>982</v>
      </c>
      <c r="AB54" s="106"/>
      <c r="AC54" s="66"/>
      <c r="AD54" s="66"/>
      <c r="AE54" s="81"/>
      <c r="AF54" s="121" t="str">
        <f>IFERROR(__xludf.DUMMYFUNCTION("HYPERLINK(
""https://wa.me/""&amp;REGEXREPLACE(Q54,""[^0-9]"","""")&amp;
""?text=""&amp;
ENCODEURL(
""Hola *""&amp;B54&amp;""*.
Te recordamos que la factura Nº *""&amp;J54&amp;""* por el plan """"""&amp;E54&amp;"""""" se encuentra disponible para pago y vence hoy.
Monto: *$""&amp;I54&amp;""*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4" s="81"/>
      <c r="AH54" s="81">
        <f>AG54*1.19</f>
        <v>0</v>
      </c>
      <c r="AI54" s="81"/>
      <c r="AJ54" s="81"/>
      <c r="AK54" s="81"/>
    </row>
    <row r="55" hidden="1">
      <c r="A55" s="126" t="s">
        <v>1456</v>
      </c>
      <c r="B55" s="25" t="s">
        <v>1501</v>
      </c>
      <c r="C55" s="28" t="s">
        <v>50</v>
      </c>
      <c r="D55" s="28"/>
      <c r="E55" s="48" t="s">
        <v>1362</v>
      </c>
      <c r="F55" s="118"/>
      <c r="G55" s="66"/>
      <c r="H55" s="88">
        <v>30000.0</v>
      </c>
      <c r="I55" s="88">
        <f t="shared" si="1"/>
        <v>35700</v>
      </c>
      <c r="J55" s="30">
        <v>567.0</v>
      </c>
      <c r="K55" s="104"/>
      <c r="L55" s="28"/>
      <c r="M55" s="26" t="s">
        <v>1502</v>
      </c>
      <c r="N55" s="26" t="s">
        <v>1503</v>
      </c>
      <c r="O55" s="28" t="s">
        <v>1504</v>
      </c>
      <c r="P55" s="28" t="s">
        <v>1505</v>
      </c>
      <c r="Q55" s="30" t="s">
        <v>1506</v>
      </c>
      <c r="R55" s="29"/>
      <c r="S55" s="29">
        <v>632358.0</v>
      </c>
      <c r="T55" s="29">
        <v>1068113.0</v>
      </c>
      <c r="U55" s="29">
        <v>4396.0</v>
      </c>
      <c r="V55" s="30" t="s">
        <v>810</v>
      </c>
      <c r="W55" s="30" t="s">
        <v>1411</v>
      </c>
      <c r="X55" s="130"/>
      <c r="Y55" s="48" t="s">
        <v>50</v>
      </c>
      <c r="Z55" s="28" t="s">
        <v>1507</v>
      </c>
      <c r="AA55" s="28" t="s">
        <v>1508</v>
      </c>
      <c r="AB55" s="106"/>
      <c r="AC55" s="66"/>
      <c r="AD55" s="66"/>
      <c r="AE55" s="81"/>
      <c r="AF55" s="121" t="str">
        <f>IFERROR(__xludf.DUMMYFUNCTION("HYPERLINK(
""https://wa.me/""&amp;REGEXREPLACE(Q55,""[^0-9]"","""")&amp;
""?text=""&amp;
ENCODEURL(
""Buenas tardes *""&amp;B55&amp;""*.
Te recordamos que tu plan *""""""&amp;E55&amp;""""""* *no incluye* la declaración de renta. Te enviamos varios correos informando sobre este proc"&amp;"eso. Esta semana vencen las primeras declaraciones juradas, lo que generará multas
Valor: *$""&amp;AG55&amp;""* + IVA = *$""&amp;AH55&amp;""*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55" s="122">
        <v>125000.0</v>
      </c>
      <c r="AH55" s="123">
        <v>148750.0</v>
      </c>
      <c r="AI55" s="123"/>
      <c r="AJ55" s="123"/>
      <c r="AK55" s="123"/>
    </row>
    <row r="56" hidden="1">
      <c r="A56" s="126" t="s">
        <v>1456</v>
      </c>
      <c r="B56" s="25" t="s">
        <v>984</v>
      </c>
      <c r="C56" s="30" t="s">
        <v>38</v>
      </c>
      <c r="D56" s="30" t="s">
        <v>38</v>
      </c>
      <c r="E56" s="48" t="s">
        <v>1372</v>
      </c>
      <c r="F56" s="118"/>
      <c r="G56" s="66"/>
      <c r="H56" s="88">
        <v>50000.0</v>
      </c>
      <c r="I56" s="88">
        <f t="shared" si="1"/>
        <v>59500</v>
      </c>
      <c r="J56" s="30">
        <v>569.0</v>
      </c>
      <c r="K56" s="88">
        <v>119000.0</v>
      </c>
      <c r="L56" s="66"/>
      <c r="M56" s="26" t="s">
        <v>47</v>
      </c>
      <c r="N56" s="26" t="s">
        <v>48</v>
      </c>
      <c r="O56" s="28" t="s">
        <v>54</v>
      </c>
      <c r="P56" s="28" t="s">
        <v>985</v>
      </c>
      <c r="Q56" s="28" t="s">
        <v>1509</v>
      </c>
      <c r="R56" s="29"/>
      <c r="S56" s="29">
        <v>767054.0</v>
      </c>
      <c r="T56" s="29">
        <v>191777.0</v>
      </c>
      <c r="U56" s="29">
        <v>208.0</v>
      </c>
      <c r="V56" s="30" t="s">
        <v>810</v>
      </c>
      <c r="W56" s="30" t="s">
        <v>1411</v>
      </c>
      <c r="X56" s="127">
        <v>46085.0</v>
      </c>
      <c r="Y56" s="48" t="s">
        <v>50</v>
      </c>
      <c r="Z56" s="28" t="s">
        <v>986</v>
      </c>
      <c r="AA56" s="30" t="s">
        <v>53</v>
      </c>
      <c r="AB56" s="106"/>
      <c r="AC56" s="66"/>
      <c r="AD56" s="66"/>
      <c r="AE56" s="81"/>
      <c r="AF56" s="121" t="str">
        <f>IFERROR(__xludf.DUMMYFUNCTION("HYPERLINK(
""https://wa.me/""&amp;REGEXREPLACE(Q56,""[^0-9]"","""")&amp;
""?text=""&amp;
ENCODEURL(
""Hola *""&amp;B56&amp;""*.
Te recordamos que la factura Nº *""&amp;J56&amp;""* por el plan """"""&amp;E56&amp;"""""" se encuentra disponible para pago y vence hoy.
Monto: *$""&amp;I56&amp;""*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*$""&amp;AG56&amp;""*
Valor total febrero (con IVA): *$""&amp;AH56&amp;""*
A partir de mañana el valor aument"&amp;"a un 25%, correspondiente al valor de diciembre.
Simple Pyme""
),
""Enviar WhatsApp""
)"),"Enviar WhatsApp")</f>
        <v>Enviar WhatsApp</v>
      </c>
      <c r="AG56" s="81"/>
      <c r="AH56" s="81"/>
      <c r="AI56" s="81"/>
      <c r="AJ56" s="81"/>
      <c r="AK56" s="81"/>
    </row>
    <row r="57" hidden="1">
      <c r="A57" s="126" t="s">
        <v>1456</v>
      </c>
      <c r="B57" s="25" t="s">
        <v>987</v>
      </c>
      <c r="C57" s="28"/>
      <c r="D57" s="28"/>
      <c r="E57" s="48" t="s">
        <v>1380</v>
      </c>
      <c r="F57" s="118"/>
      <c r="G57" s="66"/>
      <c r="H57" s="88" t="s">
        <v>1381</v>
      </c>
      <c r="I57" s="88">
        <f t="shared" si="1"/>
        <v>0</v>
      </c>
      <c r="J57" s="135" t="s">
        <v>1438</v>
      </c>
      <c r="K57" s="104"/>
      <c r="L57" s="66"/>
      <c r="M57" s="26" t="s">
        <v>988</v>
      </c>
      <c r="N57" s="26" t="s">
        <v>989</v>
      </c>
      <c r="O57" s="28" t="s">
        <v>990</v>
      </c>
      <c r="P57" s="28" t="s">
        <v>991</v>
      </c>
      <c r="Q57" s="120" t="s">
        <v>1510</v>
      </c>
      <c r="R57" s="29"/>
      <c r="S57" s="29">
        <v>0.0</v>
      </c>
      <c r="T57" s="29">
        <v>0.0</v>
      </c>
      <c r="U57" s="29">
        <v>0.0</v>
      </c>
      <c r="V57" s="30" t="s">
        <v>810</v>
      </c>
      <c r="W57" s="48" t="s">
        <v>1380</v>
      </c>
      <c r="X57" s="66"/>
      <c r="Y57" s="48" t="s">
        <v>50</v>
      </c>
      <c r="Z57" s="28" t="s">
        <v>993</v>
      </c>
      <c r="AA57" s="28" t="s">
        <v>992</v>
      </c>
      <c r="AB57" s="106"/>
      <c r="AC57" s="66"/>
      <c r="AD57" s="66"/>
      <c r="AE57" s="81"/>
      <c r="AF57" s="121" t="str">
        <f>IFERROR(__xludf.DUMMYFUNCTION("HYPERLINK(
""https://wa.me/""&amp;REGEXREPLACE(Q57,""[^0-9]"","""")&amp;
""?text=""&amp;
ENCODEURL(
""Hola *""&amp;B57&amp;""*.
Te recordamos que la factura Nº *""&amp;J57&amp;""* por el plan """"""&amp;E57&amp;"""""" se encuentra disponible para pago y vence hoy.
Monto: *$""&amp;I57&amp;""*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*$""&amp;AG57&amp;""*
Valor total febrero (con IVA): *$""&amp;AH57&amp;""*
A partir de mañana el valor aument"&amp;"a un 25%, correspondiente al valor de diciembre.
Simple Pyme""
),
""Enviar WhatsApp""
)"),"Enviar WhatsApp")</f>
        <v>Enviar WhatsApp</v>
      </c>
      <c r="AG57" s="81">
        <v>0.0</v>
      </c>
      <c r="AH57" s="81">
        <f>AG57*1.19</f>
        <v>0</v>
      </c>
      <c r="AI57" s="81"/>
      <c r="AJ57" s="81"/>
      <c r="AK57" s="81"/>
    </row>
    <row r="58" hidden="1">
      <c r="A58" s="126" t="s">
        <v>1456</v>
      </c>
      <c r="B58" s="25" t="s">
        <v>1511</v>
      </c>
      <c r="C58" s="28" t="s">
        <v>50</v>
      </c>
      <c r="D58" s="28"/>
      <c r="E58" s="48" t="s">
        <v>1362</v>
      </c>
      <c r="F58" s="118"/>
      <c r="G58" s="66"/>
      <c r="H58" s="88">
        <v>30000.0</v>
      </c>
      <c r="I58" s="88">
        <f t="shared" si="1"/>
        <v>35700</v>
      </c>
      <c r="J58" s="30">
        <v>571.0</v>
      </c>
      <c r="K58" s="104"/>
      <c r="L58" s="28"/>
      <c r="M58" s="26" t="s">
        <v>1512</v>
      </c>
      <c r="N58" s="26" t="s">
        <v>1513</v>
      </c>
      <c r="O58" s="25" t="s">
        <v>1514</v>
      </c>
      <c r="P58" s="28" t="s">
        <v>1515</v>
      </c>
      <c r="Q58" s="149" t="s">
        <v>1516</v>
      </c>
      <c r="R58" s="47"/>
      <c r="S58" s="47">
        <v>241674.0</v>
      </c>
      <c r="T58" s="47">
        <v>0.0</v>
      </c>
      <c r="U58" s="47">
        <v>0.0</v>
      </c>
      <c r="V58" s="30" t="s">
        <v>810</v>
      </c>
      <c r="W58" s="30" t="s">
        <v>1411</v>
      </c>
      <c r="X58" s="143" t="s">
        <v>1517</v>
      </c>
      <c r="Y58" s="48" t="s">
        <v>50</v>
      </c>
      <c r="Z58" s="28" t="s">
        <v>1518</v>
      </c>
      <c r="AA58" s="28" t="s">
        <v>1519</v>
      </c>
      <c r="AB58" s="106"/>
      <c r="AC58" s="66"/>
      <c r="AD58" s="66"/>
      <c r="AE58" s="81"/>
      <c r="AF58" s="144" t="s">
        <v>1473</v>
      </c>
      <c r="AG58" s="122">
        <v>125000.0</v>
      </c>
      <c r="AH58" s="123">
        <v>148750.0</v>
      </c>
      <c r="AI58" s="123"/>
      <c r="AJ58" s="123"/>
      <c r="AK58" s="123"/>
    </row>
    <row r="59" hidden="1">
      <c r="A59" s="126" t="s">
        <v>1456</v>
      </c>
      <c r="B59" s="51" t="s">
        <v>994</v>
      </c>
      <c r="C59" s="30" t="s">
        <v>38</v>
      </c>
      <c r="D59" s="30" t="s">
        <v>38</v>
      </c>
      <c r="E59" s="48" t="s">
        <v>1362</v>
      </c>
      <c r="F59" s="118"/>
      <c r="G59" s="66"/>
      <c r="H59" s="151">
        <v>30000.0</v>
      </c>
      <c r="I59" s="88">
        <f t="shared" si="1"/>
        <v>35700</v>
      </c>
      <c r="J59" s="30">
        <v>559.0</v>
      </c>
      <c r="K59" s="151">
        <v>95200.0</v>
      </c>
      <c r="L59" s="28"/>
      <c r="M59" s="26" t="s">
        <v>75</v>
      </c>
      <c r="N59" s="26" t="s">
        <v>76</v>
      </c>
      <c r="O59" s="52" t="s">
        <v>73</v>
      </c>
      <c r="P59" s="28" t="s">
        <v>995</v>
      </c>
      <c r="Q59" s="28" t="s">
        <v>1520</v>
      </c>
      <c r="R59" s="29"/>
      <c r="S59" s="29">
        <v>91590.0</v>
      </c>
      <c r="T59" s="29">
        <v>270000.0</v>
      </c>
      <c r="U59" s="29">
        <v>338.0</v>
      </c>
      <c r="V59" s="30" t="s">
        <v>810</v>
      </c>
      <c r="W59" s="30" t="s">
        <v>1411</v>
      </c>
      <c r="X59" s="132">
        <v>45721.0</v>
      </c>
      <c r="Y59" s="48" t="s">
        <v>50</v>
      </c>
      <c r="Z59" s="28" t="s">
        <v>996</v>
      </c>
      <c r="AA59" s="28" t="s">
        <v>80</v>
      </c>
      <c r="AB59" s="106"/>
      <c r="AC59" s="66"/>
      <c r="AD59" s="66"/>
      <c r="AE59" s="81"/>
      <c r="AF59" s="121" t="str">
        <f>IFERROR(__xludf.DUMMYFUNCTION("HYPERLINK(
""https://wa.me/""&amp;REGEXREPLACE(Q59,""[^0-9]"","""")&amp;
""?text=""&amp;
ENCODEURL(
""Hola *""&amp;B59&amp;""*.
Te recordamos que la factura Nº *""&amp;J59&amp;""* por el plan """"""&amp;E59&amp;"""""" se encuentra disponible para pago y vence hoy.
Monto: *$""&amp;I59&amp;""*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59" s="81"/>
      <c r="AH59" s="81">
        <f t="shared" ref="AH59:AH61" si="7">AG59*1.19</f>
        <v>0</v>
      </c>
      <c r="AI59" s="81"/>
      <c r="AJ59" s="81"/>
      <c r="AK59" s="81"/>
    </row>
    <row r="60" hidden="1">
      <c r="A60" s="126" t="s">
        <v>1456</v>
      </c>
      <c r="B60" s="25" t="s">
        <v>997</v>
      </c>
      <c r="C60" s="30" t="s">
        <v>38</v>
      </c>
      <c r="D60" s="30" t="s">
        <v>38</v>
      </c>
      <c r="E60" s="48" t="s">
        <v>1362</v>
      </c>
      <c r="F60" s="118"/>
      <c r="G60" s="66"/>
      <c r="H60" s="88">
        <v>30000.0</v>
      </c>
      <c r="I60" s="88">
        <f t="shared" si="1"/>
        <v>35700</v>
      </c>
      <c r="J60" s="30">
        <v>561.0</v>
      </c>
      <c r="K60" s="104"/>
      <c r="L60" s="28" t="s">
        <v>1521</v>
      </c>
      <c r="M60" s="26" t="s">
        <v>140</v>
      </c>
      <c r="N60" s="26" t="s">
        <v>141</v>
      </c>
      <c r="O60" s="28" t="s">
        <v>998</v>
      </c>
      <c r="P60" s="28" t="s">
        <v>142</v>
      </c>
      <c r="Q60" s="120" t="s">
        <v>1522</v>
      </c>
      <c r="R60" s="29"/>
      <c r="S60" s="29">
        <v>962239.0</v>
      </c>
      <c r="T60" s="29">
        <v>1833869.0</v>
      </c>
      <c r="U60" s="29">
        <v>141094.0</v>
      </c>
      <c r="V60" s="30" t="s">
        <v>810</v>
      </c>
      <c r="W60" s="30" t="s">
        <v>1411</v>
      </c>
      <c r="X60" s="150">
        <v>46086.0</v>
      </c>
      <c r="Y60" s="48" t="s">
        <v>50</v>
      </c>
      <c r="Z60" s="28" t="s">
        <v>999</v>
      </c>
      <c r="AA60" s="53" t="s">
        <v>141</v>
      </c>
      <c r="AB60" s="106"/>
      <c r="AC60" s="66"/>
      <c r="AD60" s="66"/>
      <c r="AE60" s="81"/>
      <c r="AF60" s="121" t="str">
        <f>IFERROR(__xludf.DUMMYFUNCTION("HYPERLINK(
""https://wa.me/""&amp;REGEXREPLACE(Q60,""[^0-9]"","""")&amp;
""?text=""&amp;
ENCODEURL(
""Hola *""&amp;B60&amp;""*.
Te recordamos que la factura Nº *""&amp;J60&amp;""* por el plan """"""&amp;E60&amp;"""""" se encuentra disponible para pago y vence hoy.
Monto: *$""&amp;I60&amp;""*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60" s="81"/>
      <c r="AH60" s="81">
        <f t="shared" si="7"/>
        <v>0</v>
      </c>
      <c r="AI60" s="81"/>
      <c r="AJ60" s="81"/>
      <c r="AK60" s="81"/>
    </row>
    <row r="61" hidden="1">
      <c r="A61" s="126" t="s">
        <v>1456</v>
      </c>
      <c r="B61" s="25" t="s">
        <v>271</v>
      </c>
      <c r="C61" s="30" t="s">
        <v>38</v>
      </c>
      <c r="D61" s="30" t="s">
        <v>38</v>
      </c>
      <c r="E61" s="28" t="s">
        <v>1416</v>
      </c>
      <c r="F61" s="118"/>
      <c r="G61" s="66"/>
      <c r="H61" s="88">
        <v>10000.0</v>
      </c>
      <c r="I61" s="88">
        <f t="shared" si="1"/>
        <v>11900</v>
      </c>
      <c r="J61" s="30">
        <v>573.0</v>
      </c>
      <c r="K61" s="104"/>
      <c r="L61" s="66"/>
      <c r="M61" s="26" t="s">
        <v>272</v>
      </c>
      <c r="N61" s="26" t="s">
        <v>273</v>
      </c>
      <c r="O61" s="25" t="s">
        <v>277</v>
      </c>
      <c r="P61" s="28" t="s">
        <v>835</v>
      </c>
      <c r="Q61" s="28" t="s">
        <v>1382</v>
      </c>
      <c r="R61" s="54"/>
      <c r="S61" s="54">
        <v>23800.0</v>
      </c>
      <c r="T61" s="54">
        <v>0.0</v>
      </c>
      <c r="U61" s="54">
        <v>0.0</v>
      </c>
      <c r="V61" s="30" t="s">
        <v>810</v>
      </c>
      <c r="W61" s="30" t="s">
        <v>1411</v>
      </c>
      <c r="X61" s="130"/>
      <c r="Y61" s="48" t="s">
        <v>50</v>
      </c>
      <c r="Z61" s="28" t="s">
        <v>837</v>
      </c>
      <c r="AA61" s="28" t="s">
        <v>275</v>
      </c>
      <c r="AB61" s="106"/>
      <c r="AC61" s="66"/>
      <c r="AD61" s="66"/>
      <c r="AE61" s="81"/>
      <c r="AF61" s="121" t="str">
        <f>IFERROR(__xludf.DUMMYFUNCTION("HYPERLINK(
""https://wa.me/""&amp;REGEXREPLACE(Q61,""[^0-9]"","""")&amp;
""?text=""&amp;
ENCODEURL(
""Buenas tardes *""&amp;B61&amp;""*.
Te recordamos que la factura """"""&amp;J61&amp;"""""" de tu plan """"""&amp;E61&amp;"""""" se encuentre impaga a la fecha, lo que implica que tu servici"&amp;"o se encuentra suspendido. Para reactivar el servicio y que hagamos la declaración mensual debes realizar el pago lo antes posible.
Valor: *$""&amp;H61&amp;""* + IVA = *$""&amp;I61&amp;""*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61" s="81"/>
      <c r="AH61" s="81">
        <f t="shared" si="7"/>
        <v>0</v>
      </c>
      <c r="AI61" s="81"/>
      <c r="AJ61" s="81"/>
      <c r="AK61" s="81"/>
    </row>
    <row r="62" hidden="1">
      <c r="A62" s="79" t="s">
        <v>1456</v>
      </c>
      <c r="B62" s="25" t="s">
        <v>1523</v>
      </c>
      <c r="C62" s="28" t="s">
        <v>50</v>
      </c>
      <c r="D62" s="28"/>
      <c r="E62" s="28" t="s">
        <v>1362</v>
      </c>
      <c r="F62" s="118"/>
      <c r="G62" s="28">
        <v>1.0</v>
      </c>
      <c r="H62" s="88">
        <v>30000.0</v>
      </c>
      <c r="I62" s="88">
        <f t="shared" si="1"/>
        <v>35700</v>
      </c>
      <c r="J62" s="30">
        <v>564.0</v>
      </c>
      <c r="K62" s="104"/>
      <c r="L62" s="28"/>
      <c r="M62" s="26" t="s">
        <v>1524</v>
      </c>
      <c r="N62" s="26" t="s">
        <v>1525</v>
      </c>
      <c r="O62" s="25" t="s">
        <v>1526</v>
      </c>
      <c r="P62" s="28" t="s">
        <v>1527</v>
      </c>
      <c r="Q62" s="30" t="s">
        <v>1528</v>
      </c>
      <c r="R62" s="29"/>
      <c r="S62" s="29">
        <v>664205.0</v>
      </c>
      <c r="T62" s="29">
        <v>7378286.0</v>
      </c>
      <c r="U62" s="29">
        <v>699840.0</v>
      </c>
      <c r="V62" s="30" t="s">
        <v>1675</v>
      </c>
      <c r="W62" s="30" t="s">
        <v>1411</v>
      </c>
      <c r="X62" s="134"/>
      <c r="Y62" s="28" t="s">
        <v>50</v>
      </c>
      <c r="Z62" s="28" t="s">
        <v>1529</v>
      </c>
      <c r="AA62" s="28" t="s">
        <v>1530</v>
      </c>
      <c r="AB62" s="66"/>
      <c r="AC62" s="66"/>
      <c r="AD62" s="66"/>
      <c r="AE62" s="81"/>
      <c r="AF62" s="121" t="str">
        <f>IFERROR(__xludf.DUMMYFUNCTION("HYPERLINK(
""https://wa.me/""&amp;REGEXREPLACE(Q62,""[^0-9]"","""")&amp;
""?text=""&amp;
ENCODEURL(
""Buenas tardes *""&amp;B62&amp;""*.
Te recordamos que tu plan *""""""&amp;E62&amp;""""""* *no incluye* la declaración de renta. Te enviamos varios correos informando sobre este proc"&amp;"eso. Esta semana vencen las primeras declaraciones juradas, lo que generará multas
Valor: *$""&amp;AG62&amp;""* + IVA = *$""&amp;AH62&amp;""*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62" s="123">
        <v>125000.0</v>
      </c>
      <c r="AH62" s="123">
        <v>148750.0</v>
      </c>
      <c r="AI62" s="123"/>
      <c r="AJ62" s="123"/>
      <c r="AK62" s="123"/>
    </row>
    <row r="63" hidden="1">
      <c r="A63" s="126" t="s">
        <v>1456</v>
      </c>
      <c r="B63" s="25" t="s">
        <v>1000</v>
      </c>
      <c r="C63" s="66"/>
      <c r="D63" s="66"/>
      <c r="E63" s="48" t="s">
        <v>1380</v>
      </c>
      <c r="F63" s="118"/>
      <c r="G63" s="66"/>
      <c r="H63" s="88" t="s">
        <v>1381</v>
      </c>
      <c r="I63" s="88">
        <f t="shared" si="1"/>
        <v>0</v>
      </c>
      <c r="J63" s="135" t="s">
        <v>1438</v>
      </c>
      <c r="K63" s="104"/>
      <c r="L63" s="66"/>
      <c r="M63" s="26" t="s">
        <v>1001</v>
      </c>
      <c r="N63" s="26" t="s">
        <v>1002</v>
      </c>
      <c r="O63" s="28" t="s">
        <v>1003</v>
      </c>
      <c r="P63" s="28" t="s">
        <v>1004</v>
      </c>
      <c r="Q63" s="120" t="s">
        <v>1531</v>
      </c>
      <c r="R63" s="29"/>
      <c r="S63" s="29">
        <v>0.0</v>
      </c>
      <c r="T63" s="29">
        <v>0.0</v>
      </c>
      <c r="U63" s="29">
        <v>0.0</v>
      </c>
      <c r="V63" s="30" t="s">
        <v>810</v>
      </c>
      <c r="W63" s="48" t="s">
        <v>1380</v>
      </c>
      <c r="X63" s="66"/>
      <c r="Y63" s="48" t="s">
        <v>50</v>
      </c>
      <c r="Z63" s="28" t="s">
        <v>1005</v>
      </c>
      <c r="AA63" s="28">
        <v>2.7097283E7</v>
      </c>
      <c r="AB63" s="106"/>
      <c r="AC63" s="66"/>
      <c r="AD63" s="66"/>
      <c r="AE63" s="81"/>
      <c r="AF63" s="121" t="str">
        <f>IFERROR(__xludf.DUMMYFUNCTION("HYPERLINK(
""https://wa.me/""&amp;REGEXREPLACE(Q63,""[^0-9]"","""")&amp;
""?text=""&amp;
ENCODEURL(
""Hola *""&amp;B63&amp;""*.
Te recordamos que la factura Nº *""&amp;J63&amp;""* por el plan """"""&amp;E63&amp;"""""" se encuentra disponible para pago y vence hoy.
Monto: *$""&amp;I63&amp;""*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*$""&amp;AG63&amp;""*
Valor total febrero (con IVA): *$""&amp;AH63&amp;""*
A partir de mañana el valor aument"&amp;"a un 25%, correspondiente al valor de diciembre.
Simple Pyme""
),
""Enviar WhatsApp""
)"),"Enviar WhatsApp")</f>
        <v>Enviar WhatsApp</v>
      </c>
      <c r="AG63" s="81"/>
      <c r="AH63" s="81"/>
      <c r="AI63" s="81"/>
      <c r="AJ63" s="81"/>
      <c r="AK63" s="81"/>
    </row>
    <row r="64" hidden="1">
      <c r="A64" s="126" t="s">
        <v>1456</v>
      </c>
      <c r="B64" s="25" t="s">
        <v>1006</v>
      </c>
      <c r="C64" s="66"/>
      <c r="D64" s="66"/>
      <c r="E64" s="48" t="s">
        <v>1380</v>
      </c>
      <c r="F64" s="118"/>
      <c r="G64" s="66"/>
      <c r="H64" s="88" t="s">
        <v>1381</v>
      </c>
      <c r="I64" s="88">
        <f t="shared" si="1"/>
        <v>0</v>
      </c>
      <c r="J64" s="135" t="s">
        <v>1438</v>
      </c>
      <c r="K64" s="104"/>
      <c r="L64" s="66"/>
      <c r="M64" s="26" t="s">
        <v>1007</v>
      </c>
      <c r="N64" s="26" t="s">
        <v>1008</v>
      </c>
      <c r="O64" s="28" t="s">
        <v>1009</v>
      </c>
      <c r="P64" s="56" t="s">
        <v>1010</v>
      </c>
      <c r="Q64" s="30" t="s">
        <v>1532</v>
      </c>
      <c r="R64" s="29"/>
      <c r="S64" s="29">
        <v>0.0</v>
      </c>
      <c r="T64" s="29">
        <v>0.0</v>
      </c>
      <c r="U64" s="29">
        <v>0.0</v>
      </c>
      <c r="V64" s="30" t="s">
        <v>810</v>
      </c>
      <c r="W64" s="48" t="s">
        <v>1380</v>
      </c>
      <c r="X64" s="66"/>
      <c r="Y64" s="48" t="s">
        <v>50</v>
      </c>
      <c r="Z64" s="28" t="s">
        <v>1011</v>
      </c>
      <c r="AA64" s="56">
        <v>2.5293632E7</v>
      </c>
      <c r="AB64" s="106"/>
      <c r="AC64" s="66"/>
      <c r="AD64" s="66"/>
      <c r="AE64" s="81"/>
      <c r="AF64" s="121" t="str">
        <f>IFERROR(__xludf.DUMMYFUNCTION("HYPERLINK(
""https://wa.me/""&amp;REGEXREPLACE(Q64,""[^0-9]"","""")&amp;
""?text=""&amp;
ENCODEURL(
""Hola *""&amp;B64&amp;""*.
Te recordamos que la factura Nº *""&amp;J64&amp;""* por el plan """"""&amp;E64&amp;"""""" se encuentra disponible para pago y vence hoy.
Monto: *$""&amp;I64&amp;""*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*$""&amp;AG64&amp;""*
Valor total febrero (con IVA): *$""&amp;AH64&amp;""*
A partir de mañana el valor aument"&amp;"a un 25%, correspondiente al valor de diciembre.
Simple Pyme""
),
""Enviar WhatsApp""
)"),"Enviar WhatsApp")</f>
        <v>Enviar WhatsApp</v>
      </c>
      <c r="AG64" s="81"/>
      <c r="AH64" s="81"/>
      <c r="AI64" s="81"/>
      <c r="AJ64" s="81"/>
      <c r="AK64" s="81"/>
    </row>
    <row r="65" hidden="1">
      <c r="A65" s="126" t="s">
        <v>1456</v>
      </c>
      <c r="B65" s="25" t="s">
        <v>1012</v>
      </c>
      <c r="C65" s="66"/>
      <c r="D65" s="66"/>
      <c r="E65" s="48" t="s">
        <v>1380</v>
      </c>
      <c r="F65" s="118"/>
      <c r="G65" s="66"/>
      <c r="H65" s="88" t="s">
        <v>1381</v>
      </c>
      <c r="I65" s="88">
        <f t="shared" si="1"/>
        <v>0</v>
      </c>
      <c r="J65" s="135" t="s">
        <v>1438</v>
      </c>
      <c r="K65" s="104"/>
      <c r="L65" s="66"/>
      <c r="M65" s="26" t="s">
        <v>1013</v>
      </c>
      <c r="N65" s="26" t="s">
        <v>1014</v>
      </c>
      <c r="O65" s="28" t="s">
        <v>1015</v>
      </c>
      <c r="P65" s="152" t="s">
        <v>1016</v>
      </c>
      <c r="Q65" s="120" t="s">
        <v>1533</v>
      </c>
      <c r="R65" s="29"/>
      <c r="S65" s="29">
        <v>0.0</v>
      </c>
      <c r="T65" s="29">
        <v>0.0</v>
      </c>
      <c r="U65" s="29">
        <v>0.0</v>
      </c>
      <c r="V65" s="30" t="s">
        <v>810</v>
      </c>
      <c r="W65" s="48" t="s">
        <v>1380</v>
      </c>
      <c r="X65" s="66"/>
      <c r="Y65" s="48" t="s">
        <v>50</v>
      </c>
      <c r="Z65" s="28" t="s">
        <v>1017</v>
      </c>
      <c r="AA65" s="152">
        <v>1.7680593E7</v>
      </c>
      <c r="AB65" s="106"/>
      <c r="AC65" s="66"/>
      <c r="AD65" s="66"/>
      <c r="AE65" s="81"/>
      <c r="AF65" s="121" t="str">
        <f>IFERROR(__xludf.DUMMYFUNCTION("HYPERLINK(
""https://wa.me/""&amp;REGEXREPLACE(Q65,""[^0-9]"","""")&amp;
""?text=""&amp;
ENCODEURL(
""Hola *""&amp;B65&amp;""*.
Te recordamos que la factura Nº *""&amp;J65&amp;""* por el plan """"""&amp;E65&amp;"""""" se encuentra disponible para pago y vence hoy.
Monto: *$""&amp;I65&amp;""*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*$""&amp;AG65&amp;""*
Valor total febrero (con IVA): *$""&amp;AH65&amp;""*
A partir de mañana el valor aument"&amp;"a un 25%, correspondiente al valor de diciembre.
Simple Pyme""
),
""Enviar WhatsApp""
)"),"Enviar WhatsApp")</f>
        <v>Enviar WhatsApp</v>
      </c>
      <c r="AG65" s="81"/>
      <c r="AH65" s="81"/>
      <c r="AI65" s="81"/>
      <c r="AJ65" s="81"/>
      <c r="AK65" s="81"/>
    </row>
    <row r="66" hidden="1">
      <c r="A66" s="126" t="s">
        <v>1456</v>
      </c>
      <c r="B66" s="25" t="s">
        <v>1019</v>
      </c>
      <c r="C66" s="66"/>
      <c r="D66" s="66"/>
      <c r="E66" s="48" t="s">
        <v>1380</v>
      </c>
      <c r="F66" s="118"/>
      <c r="G66" s="66"/>
      <c r="H66" s="88" t="s">
        <v>1381</v>
      </c>
      <c r="I66" s="88">
        <f t="shared" si="1"/>
        <v>0</v>
      </c>
      <c r="J66" s="135" t="s">
        <v>1438</v>
      </c>
      <c r="K66" s="104"/>
      <c r="L66" s="66"/>
      <c r="M66" s="26" t="s">
        <v>1020</v>
      </c>
      <c r="N66" s="26" t="s">
        <v>1021</v>
      </c>
      <c r="O66" s="28" t="s">
        <v>1022</v>
      </c>
      <c r="P66" s="28" t="s">
        <v>1023</v>
      </c>
      <c r="Q66" s="120" t="s">
        <v>1534</v>
      </c>
      <c r="R66" s="29"/>
      <c r="S66" s="29">
        <v>0.0</v>
      </c>
      <c r="T66" s="29">
        <v>0.0</v>
      </c>
      <c r="U66" s="29">
        <v>0.0</v>
      </c>
      <c r="V66" s="30" t="s">
        <v>810</v>
      </c>
      <c r="W66" s="48" t="s">
        <v>1380</v>
      </c>
      <c r="X66" s="66"/>
      <c r="Y66" s="48" t="s">
        <v>50</v>
      </c>
      <c r="Z66" s="28" t="s">
        <v>1025</v>
      </c>
      <c r="AA66" s="28" t="s">
        <v>1024</v>
      </c>
      <c r="AB66" s="106"/>
      <c r="AC66" s="66"/>
      <c r="AD66" s="66"/>
      <c r="AE66" s="81"/>
      <c r="AF66" s="121" t="str">
        <f>IFERROR(__xludf.DUMMYFUNCTION("HYPERLINK(
""https://wa.me/""&amp;REGEXREPLACE(Q66,""[^0-9]"","""")&amp;
""?text=""&amp;
ENCODEURL(
""Hola *""&amp;B66&amp;""*.
Te recordamos que la factura Nº *""&amp;J66&amp;""* por el plan """"""&amp;E66&amp;"""""" se encuentra disponible para pago y vence hoy.
Monto: *$""&amp;I66&amp;""*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*$""&amp;AG66&amp;""*
Valor total febrero (con IVA): *$""&amp;AH66&amp;""*
A partir de mañana el valor aument"&amp;"a un 25%, correspondiente al valor de diciembre.
Simple Pyme""
),
""Enviar WhatsApp""
)"),"Enviar WhatsApp")</f>
        <v>Enviar WhatsApp</v>
      </c>
      <c r="AG66" s="81"/>
      <c r="AH66" s="81"/>
      <c r="AI66" s="81"/>
      <c r="AJ66" s="81"/>
      <c r="AK66" s="81"/>
    </row>
    <row r="67" hidden="1">
      <c r="A67" s="126" t="s">
        <v>1456</v>
      </c>
      <c r="B67" s="25" t="s">
        <v>1026</v>
      </c>
      <c r="C67" s="66"/>
      <c r="D67" s="66"/>
      <c r="E67" s="48" t="s">
        <v>1380</v>
      </c>
      <c r="F67" s="118"/>
      <c r="G67" s="66"/>
      <c r="H67" s="88" t="s">
        <v>1381</v>
      </c>
      <c r="I67" s="88">
        <f t="shared" si="1"/>
        <v>0</v>
      </c>
      <c r="J67" s="135" t="s">
        <v>1438</v>
      </c>
      <c r="K67" s="104"/>
      <c r="L67" s="66"/>
      <c r="M67" s="26" t="s">
        <v>1027</v>
      </c>
      <c r="N67" s="26" t="s">
        <v>1028</v>
      </c>
      <c r="O67" s="28" t="s">
        <v>1029</v>
      </c>
      <c r="P67" s="28" t="s">
        <v>1030</v>
      </c>
      <c r="Q67" s="120" t="s">
        <v>1535</v>
      </c>
      <c r="R67" s="29"/>
      <c r="S67" s="29">
        <v>0.0</v>
      </c>
      <c r="T67" s="29">
        <v>0.0</v>
      </c>
      <c r="U67" s="29">
        <v>0.0</v>
      </c>
      <c r="V67" s="30" t="s">
        <v>810</v>
      </c>
      <c r="W67" s="48" t="s">
        <v>1380</v>
      </c>
      <c r="X67" s="66"/>
      <c r="Y67" s="48" t="s">
        <v>50</v>
      </c>
      <c r="Z67" s="28" t="s">
        <v>1031</v>
      </c>
      <c r="AA67" s="28">
        <v>1.8880857E7</v>
      </c>
      <c r="AB67" s="106"/>
      <c r="AC67" s="66"/>
      <c r="AD67" s="66"/>
      <c r="AE67" s="81"/>
      <c r="AF67" s="121" t="str">
        <f>IFERROR(__xludf.DUMMYFUNCTION("HYPERLINK(
""https://wa.me/""&amp;REGEXREPLACE(Q67,""[^0-9]"","""")&amp;
""?text=""&amp;
ENCODEURL(
""Hola *""&amp;B67&amp;""*.
Te recordamos que la factura Nº *""&amp;J67&amp;""* por el plan """"""&amp;E67&amp;"""""" se encuentra disponible para pago y vence hoy.
Monto: *$""&amp;I67&amp;""*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*$""&amp;AG67&amp;""*
Valor total febrero (con IVA): *$""&amp;AH67&amp;""*
A partir de mañana el valor aument"&amp;"a un 25%, correspondiente al valor de diciembre.
Simple Pyme""
),
""Enviar WhatsApp""
)"),"Enviar WhatsApp")</f>
        <v>Enviar WhatsApp</v>
      </c>
      <c r="AG67" s="81"/>
      <c r="AH67" s="81"/>
      <c r="AI67" s="81"/>
      <c r="AJ67" s="81"/>
      <c r="AK67" s="81"/>
    </row>
    <row r="68" hidden="1">
      <c r="A68" s="126" t="s">
        <v>1456</v>
      </c>
      <c r="B68" s="25" t="s">
        <v>1032</v>
      </c>
      <c r="C68" s="66"/>
      <c r="D68" s="66"/>
      <c r="E68" s="48" t="s">
        <v>1380</v>
      </c>
      <c r="F68" s="118"/>
      <c r="G68" s="66"/>
      <c r="H68" s="88" t="s">
        <v>1381</v>
      </c>
      <c r="I68" s="88">
        <f t="shared" si="1"/>
        <v>0</v>
      </c>
      <c r="J68" s="135" t="s">
        <v>1438</v>
      </c>
      <c r="K68" s="104"/>
      <c r="L68" s="66"/>
      <c r="M68" s="26" t="s">
        <v>1033</v>
      </c>
      <c r="N68" s="26" t="s">
        <v>1034</v>
      </c>
      <c r="O68" s="28" t="s">
        <v>1035</v>
      </c>
      <c r="P68" s="28" t="s">
        <v>1036</v>
      </c>
      <c r="Q68" s="120" t="s">
        <v>1536</v>
      </c>
      <c r="R68" s="29"/>
      <c r="S68" s="29">
        <v>0.0</v>
      </c>
      <c r="T68" s="29">
        <v>0.0</v>
      </c>
      <c r="U68" s="29">
        <v>0.0</v>
      </c>
      <c r="V68" s="30" t="s">
        <v>810</v>
      </c>
      <c r="W68" s="48" t="s">
        <v>1380</v>
      </c>
      <c r="X68" s="66"/>
      <c r="Y68" s="48" t="s">
        <v>50</v>
      </c>
      <c r="Z68" s="28" t="s">
        <v>1038</v>
      </c>
      <c r="AA68" s="28">
        <v>1.8782436E7</v>
      </c>
      <c r="AB68" s="106"/>
      <c r="AC68" s="66"/>
      <c r="AD68" s="66"/>
      <c r="AE68" s="81"/>
      <c r="AF68" s="121" t="str">
        <f>IFERROR(__xludf.DUMMYFUNCTION("HYPERLINK(
""https://wa.me/""&amp;REGEXREPLACE(Q68,""[^0-9]"","""")&amp;
""?text=""&amp;
ENCODEURL(
""Hola *""&amp;B68&amp;""*.
Te recordamos que la factura Nº *""&amp;J68&amp;""* por el plan """"""&amp;E68&amp;"""""" se encuentra disponible para pago y vence hoy.
Monto: *$""&amp;I68&amp;""*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*$""&amp;AG68&amp;""*
Valor total febrero (con IVA): *$""&amp;AH68&amp;""*
A partir de mañana el valor aument"&amp;"a un 25%, correspondiente al valor de diciembre.
Simple Pyme""
),
""Enviar WhatsApp""
)"),"Enviar WhatsApp")</f>
        <v>Enviar WhatsApp</v>
      </c>
      <c r="AG68" s="81"/>
      <c r="AH68" s="81"/>
      <c r="AI68" s="81"/>
      <c r="AJ68" s="81"/>
      <c r="AK68" s="81"/>
    </row>
    <row r="69" hidden="1">
      <c r="A69" s="126" t="s">
        <v>1456</v>
      </c>
      <c r="B69" s="25" t="s">
        <v>1039</v>
      </c>
      <c r="C69" s="66"/>
      <c r="D69" s="66"/>
      <c r="E69" s="48" t="s">
        <v>1380</v>
      </c>
      <c r="F69" s="118"/>
      <c r="G69" s="66"/>
      <c r="H69" s="88" t="s">
        <v>1381</v>
      </c>
      <c r="I69" s="88">
        <f t="shared" si="1"/>
        <v>0</v>
      </c>
      <c r="J69" s="135" t="s">
        <v>1438</v>
      </c>
      <c r="K69" s="104"/>
      <c r="L69" s="66"/>
      <c r="M69" s="26" t="s">
        <v>1040</v>
      </c>
      <c r="N69" s="26" t="s">
        <v>1041</v>
      </c>
      <c r="O69" s="28" t="s">
        <v>1042</v>
      </c>
      <c r="P69" s="28" t="s">
        <v>1043</v>
      </c>
      <c r="Q69" s="120" t="s">
        <v>1536</v>
      </c>
      <c r="R69" s="29"/>
      <c r="S69" s="29">
        <v>0.0</v>
      </c>
      <c r="T69" s="29">
        <v>0.0</v>
      </c>
      <c r="U69" s="29">
        <v>0.0</v>
      </c>
      <c r="V69" s="30" t="s">
        <v>810</v>
      </c>
      <c r="W69" s="48" t="s">
        <v>1380</v>
      </c>
      <c r="X69" s="66"/>
      <c r="Y69" s="48" t="s">
        <v>50</v>
      </c>
      <c r="Z69" s="28" t="s">
        <v>1046</v>
      </c>
      <c r="AA69" s="28" t="s">
        <v>1044</v>
      </c>
      <c r="AB69" s="106"/>
      <c r="AC69" s="66"/>
      <c r="AD69" s="66"/>
      <c r="AE69" s="81"/>
      <c r="AF69" s="121" t="str">
        <f>IFERROR(__xludf.DUMMYFUNCTION("HYPERLINK(
""https://wa.me/""&amp;REGEXREPLACE(Q69,""[^0-9]"","""")&amp;
""?text=""&amp;
ENCODEURL(
""Hola *""&amp;B69&amp;""*.
Te recordamos que la factura Nº *""&amp;J69&amp;""* por el plan """"""&amp;E69&amp;"""""" se encuentra disponible para pago y vence hoy.
Monto: *$""&amp;I69&amp;""*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*$""&amp;AG69&amp;""*
Valor total febrero (con IVA): *$""&amp;AH69&amp;""*
A partir de mañana el valor aument"&amp;"a un 25%, correspondiente al valor de diciembre.
Simple Pyme""
),
""Enviar WhatsApp""
)"),"Enviar WhatsApp")</f>
        <v>Enviar WhatsApp</v>
      </c>
      <c r="AG69" s="81"/>
      <c r="AH69" s="81"/>
      <c r="AI69" s="81"/>
      <c r="AJ69" s="81"/>
      <c r="AK69" s="81"/>
    </row>
    <row r="70" hidden="1">
      <c r="A70" s="126" t="s">
        <v>1456</v>
      </c>
      <c r="B70" s="25" t="s">
        <v>1047</v>
      </c>
      <c r="C70" s="66"/>
      <c r="D70" s="66"/>
      <c r="E70" s="48" t="s">
        <v>1380</v>
      </c>
      <c r="F70" s="118"/>
      <c r="G70" s="66"/>
      <c r="H70" s="88" t="s">
        <v>1381</v>
      </c>
      <c r="I70" s="88">
        <f t="shared" si="1"/>
        <v>0</v>
      </c>
      <c r="J70" s="135" t="s">
        <v>1438</v>
      </c>
      <c r="K70" s="104"/>
      <c r="L70" s="66"/>
      <c r="M70" s="26" t="s">
        <v>1048</v>
      </c>
      <c r="N70" s="26" t="s">
        <v>1049</v>
      </c>
      <c r="O70" s="28" t="s">
        <v>1050</v>
      </c>
      <c r="P70" s="28" t="s">
        <v>1051</v>
      </c>
      <c r="Q70" s="120" t="s">
        <v>1536</v>
      </c>
      <c r="R70" s="29"/>
      <c r="S70" s="29">
        <v>0.0</v>
      </c>
      <c r="T70" s="29">
        <v>0.0</v>
      </c>
      <c r="U70" s="29">
        <v>0.0</v>
      </c>
      <c r="V70" s="30" t="s">
        <v>810</v>
      </c>
      <c r="W70" s="48" t="s">
        <v>1380</v>
      </c>
      <c r="X70" s="66"/>
      <c r="Y70" s="48" t="s">
        <v>50</v>
      </c>
      <c r="Z70" s="28" t="s">
        <v>1053</v>
      </c>
      <c r="AA70" s="28" t="s">
        <v>1052</v>
      </c>
      <c r="AB70" s="106"/>
      <c r="AC70" s="66"/>
      <c r="AD70" s="66"/>
      <c r="AE70" s="81"/>
      <c r="AF70" s="121" t="str">
        <f>IFERROR(__xludf.DUMMYFUNCTION("HYPERLINK(
""https://wa.me/""&amp;REGEXREPLACE(Q70,""[^0-9]"","""")&amp;
""?text=""&amp;
ENCODEURL(
""Hola *""&amp;B70&amp;""*.
Te recordamos que la factura Nº *""&amp;J70&amp;""* por el plan """"""&amp;E70&amp;"""""" se encuentra disponible para pago y vence hoy.
Monto: *$""&amp;I70&amp;""*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*$""&amp;AG70&amp;""*
Valor total febrero (con IVA): *$""&amp;AH70&amp;""*
A partir de mañana el valor aument"&amp;"a un 25%, correspondiente al valor de diciembre.
Simple Pyme""
),
""Enviar WhatsApp""
)"),"Enviar WhatsApp")</f>
        <v>Enviar WhatsApp</v>
      </c>
      <c r="AG70" s="81"/>
      <c r="AH70" s="81"/>
      <c r="AI70" s="81"/>
      <c r="AJ70" s="81"/>
      <c r="AK70" s="81"/>
    </row>
    <row r="71" hidden="1">
      <c r="A71" s="126" t="s">
        <v>1456</v>
      </c>
      <c r="B71" s="25" t="s">
        <v>1054</v>
      </c>
      <c r="C71" s="66"/>
      <c r="D71" s="66"/>
      <c r="E71" s="48" t="s">
        <v>1380</v>
      </c>
      <c r="F71" s="118"/>
      <c r="G71" s="66"/>
      <c r="H71" s="88" t="s">
        <v>1381</v>
      </c>
      <c r="I71" s="88">
        <f t="shared" si="1"/>
        <v>0</v>
      </c>
      <c r="J71" s="135" t="s">
        <v>1438</v>
      </c>
      <c r="K71" s="104"/>
      <c r="L71" s="66"/>
      <c r="M71" s="26">
        <v>1.43516717E8</v>
      </c>
      <c r="N71" s="26" t="s">
        <v>1055</v>
      </c>
      <c r="O71" s="28" t="s">
        <v>1056</v>
      </c>
      <c r="P71" s="28" t="s">
        <v>1057</v>
      </c>
      <c r="Q71" s="120" t="s">
        <v>1536</v>
      </c>
      <c r="R71" s="29"/>
      <c r="S71" s="29"/>
      <c r="T71" s="29">
        <v>0.0</v>
      </c>
      <c r="U71" s="29">
        <v>0.0</v>
      </c>
      <c r="V71" s="30" t="s">
        <v>810</v>
      </c>
      <c r="W71" s="48" t="s">
        <v>1380</v>
      </c>
      <c r="X71" s="66"/>
      <c r="Y71" s="48" t="s">
        <v>50</v>
      </c>
      <c r="Z71" s="28" t="s">
        <v>1054</v>
      </c>
      <c r="AA71" s="28" t="s">
        <v>1055</v>
      </c>
      <c r="AB71" s="106"/>
      <c r="AC71" s="66"/>
      <c r="AD71" s="66"/>
      <c r="AE71" s="81"/>
      <c r="AF71" s="121" t="str">
        <f>IFERROR(__xludf.DUMMYFUNCTION("HYPERLINK(
""https://wa.me/""&amp;REGEXREPLACE(Q71,""[^0-9]"","""")&amp;
""?text=""&amp;
ENCODEURL(
""Hola *""&amp;B71&amp;""*.
Te recordamos que la factura Nº *""&amp;J71&amp;""* por el plan """"""&amp;E71&amp;"""""" se encuentra disponible para pago y vence hoy.
Monto: *$""&amp;I71&amp;""*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*$""&amp;AG71&amp;""*
Valor total febrero (con IVA): *$""&amp;AH71&amp;""*
A partir de mañana el valor aument"&amp;"a un 25%, correspondiente al valor de diciembre.
Simple Pyme""
),
""Enviar WhatsApp""
)"),"Enviar WhatsApp")</f>
        <v>Enviar WhatsApp</v>
      </c>
      <c r="AG71" s="81"/>
      <c r="AH71" s="81"/>
      <c r="AI71" s="81"/>
      <c r="AJ71" s="81"/>
      <c r="AK71" s="81"/>
    </row>
    <row r="72" hidden="1">
      <c r="A72" s="126" t="s">
        <v>1456</v>
      </c>
      <c r="B72" s="25" t="s">
        <v>1058</v>
      </c>
      <c r="C72" s="66"/>
      <c r="D72" s="66"/>
      <c r="E72" s="48" t="s">
        <v>1380</v>
      </c>
      <c r="F72" s="118"/>
      <c r="G72" s="66"/>
      <c r="H72" s="88" t="s">
        <v>1381</v>
      </c>
      <c r="I72" s="88">
        <f t="shared" si="1"/>
        <v>0</v>
      </c>
      <c r="J72" s="135" t="s">
        <v>1438</v>
      </c>
      <c r="K72" s="104"/>
      <c r="L72" s="66"/>
      <c r="M72" s="26" t="s">
        <v>1059</v>
      </c>
      <c r="N72" s="26" t="s">
        <v>1060</v>
      </c>
      <c r="O72" s="28" t="s">
        <v>1061</v>
      </c>
      <c r="P72" s="28" t="s">
        <v>981</v>
      </c>
      <c r="Q72" s="120" t="s">
        <v>1536</v>
      </c>
      <c r="R72" s="62"/>
      <c r="S72" s="62">
        <v>0.0</v>
      </c>
      <c r="T72" s="62">
        <v>0.0</v>
      </c>
      <c r="U72" s="62">
        <v>0.0</v>
      </c>
      <c r="V72" s="30" t="s">
        <v>810</v>
      </c>
      <c r="W72" s="48" t="s">
        <v>1380</v>
      </c>
      <c r="X72" s="66"/>
      <c r="Y72" s="48" t="s">
        <v>50</v>
      </c>
      <c r="Z72" s="28" t="s">
        <v>1062</v>
      </c>
      <c r="AA72" s="28">
        <v>2.60616528E8</v>
      </c>
      <c r="AB72" s="106"/>
      <c r="AC72" s="66"/>
      <c r="AD72" s="66"/>
      <c r="AE72" s="81"/>
      <c r="AF72" s="121" t="str">
        <f>IFERROR(__xludf.DUMMYFUNCTION("HYPERLINK(
""https://wa.me/""&amp;REGEXREPLACE(Q72,""[^0-9]"","""")&amp;
""?text=""&amp;
ENCODEURL(
""Hola *""&amp;B72&amp;""*.
Te recordamos que la factura Nº *""&amp;J72&amp;""* por el plan """"""&amp;E72&amp;"""""" se encuentra disponible para pago y vence hoy.
Monto: *$""&amp;I72&amp;""*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*$""&amp;AG72&amp;""*
Valor total febrero (con IVA): *$""&amp;AH72&amp;""*
A partir de mañana el valor aument"&amp;"a un 25%, correspondiente al valor de diciembre.
Simple Pyme""
),
""Enviar WhatsApp""
)"),"Enviar WhatsApp")</f>
        <v>Enviar WhatsApp</v>
      </c>
      <c r="AG72" s="81"/>
      <c r="AH72" s="81"/>
      <c r="AI72" s="81"/>
      <c r="AJ72" s="81"/>
      <c r="AK72" s="81"/>
    </row>
    <row r="73" hidden="1">
      <c r="A73" s="126" t="s">
        <v>1456</v>
      </c>
      <c r="B73" s="25" t="s">
        <v>1063</v>
      </c>
      <c r="C73" s="30" t="s">
        <v>38</v>
      </c>
      <c r="D73" s="30" t="s">
        <v>38</v>
      </c>
      <c r="E73" s="48" t="s">
        <v>1362</v>
      </c>
      <c r="F73" s="118"/>
      <c r="G73" s="66"/>
      <c r="H73" s="88">
        <v>30000.0</v>
      </c>
      <c r="I73" s="88">
        <f t="shared" si="1"/>
        <v>35700</v>
      </c>
      <c r="J73" s="30">
        <v>574.0</v>
      </c>
      <c r="K73" s="104"/>
      <c r="L73" s="66"/>
      <c r="M73" s="26" t="s">
        <v>720</v>
      </c>
      <c r="N73" s="26" t="s">
        <v>721</v>
      </c>
      <c r="O73" s="28" t="s">
        <v>718</v>
      </c>
      <c r="P73" s="28" t="s">
        <v>1064</v>
      </c>
      <c r="Q73" s="120" t="s">
        <v>1537</v>
      </c>
      <c r="R73" s="29"/>
      <c r="S73" s="29">
        <v>184981.0</v>
      </c>
      <c r="T73" s="29">
        <v>430000.0</v>
      </c>
      <c r="U73" s="29">
        <v>57726.0</v>
      </c>
      <c r="V73" s="30" t="s">
        <v>1672</v>
      </c>
      <c r="W73" s="30" t="s">
        <v>1411</v>
      </c>
      <c r="X73" s="127">
        <v>46084.0</v>
      </c>
      <c r="Y73" s="48" t="s">
        <v>50</v>
      </c>
      <c r="Z73" s="28" t="s">
        <v>1065</v>
      </c>
      <c r="AA73" s="28">
        <v>2.6671708E7</v>
      </c>
      <c r="AB73" s="106"/>
      <c r="AC73" s="66"/>
      <c r="AD73" s="66"/>
      <c r="AE73" s="81"/>
      <c r="AF73" s="121" t="str">
        <f>IFERROR(__xludf.DUMMYFUNCTION("HYPERLINK(
""https://wa.me/""&amp;REGEXREPLACE(Q73,""[^0-9]"","""")&amp;
""?text=""&amp;
ENCODEURL(
""Buenas tardes *""&amp;B73&amp;""*.
Te recordamos que tu plan """"""&amp;E73&amp;"""""" no incluye la declaración de renta. Te enviamos varios correos informando sobre este proceso."&amp;" Esta semana vencen las primeras declaraciones juradas, lo que generará multas
Valor: *$""&amp;AG73&amp;""* + IVA = *$""&amp;AH73&amp;""*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73" s="123">
        <v>125000.0</v>
      </c>
      <c r="AH73" s="123">
        <f t="shared" ref="AH73:AH75" si="8">AG73*1.19</f>
        <v>148750</v>
      </c>
      <c r="AI73" s="81"/>
      <c r="AJ73" s="81"/>
      <c r="AK73" s="81"/>
    </row>
    <row r="74" hidden="1">
      <c r="A74" s="126" t="s">
        <v>1456</v>
      </c>
      <c r="B74" s="25" t="s">
        <v>1066</v>
      </c>
      <c r="C74" s="30" t="s">
        <v>38</v>
      </c>
      <c r="D74" s="30" t="s">
        <v>38</v>
      </c>
      <c r="E74" s="48" t="s">
        <v>1362</v>
      </c>
      <c r="F74" s="118"/>
      <c r="G74" s="66"/>
      <c r="H74" s="88">
        <v>30000.0</v>
      </c>
      <c r="I74" s="88">
        <f t="shared" si="1"/>
        <v>35700</v>
      </c>
      <c r="J74" s="30">
        <v>575.0</v>
      </c>
      <c r="K74" s="97">
        <v>119000.0</v>
      </c>
      <c r="L74" s="66"/>
      <c r="M74" s="26" t="s">
        <v>696</v>
      </c>
      <c r="N74" s="26" t="s">
        <v>697</v>
      </c>
      <c r="O74" s="28" t="s">
        <v>694</v>
      </c>
      <c r="P74" s="28" t="s">
        <v>696</v>
      </c>
      <c r="Q74" s="120" t="s">
        <v>1538</v>
      </c>
      <c r="R74" s="29"/>
      <c r="S74" s="29">
        <v>68900.0</v>
      </c>
      <c r="T74" s="29">
        <v>0.0</v>
      </c>
      <c r="U74" s="29">
        <v>0.0</v>
      </c>
      <c r="V74" s="30" t="s">
        <v>810</v>
      </c>
      <c r="W74" s="30" t="s">
        <v>1411</v>
      </c>
      <c r="X74" s="132">
        <v>46087.0</v>
      </c>
      <c r="Y74" s="48" t="s">
        <v>50</v>
      </c>
      <c r="Z74" s="28" t="s">
        <v>1066</v>
      </c>
      <c r="AA74" s="28" t="s">
        <v>697</v>
      </c>
      <c r="AB74" s="106"/>
      <c r="AC74" s="66"/>
      <c r="AD74" s="66"/>
      <c r="AE74" s="81"/>
      <c r="AF74" s="121" t="str">
        <f>IFERROR(__xludf.DUMMYFUNCTION("HYPERLINK(
""https://wa.me/""&amp;REGEXREPLACE(Q74,""[^0-9]"","""")&amp;
""?text=""&amp;
ENCODEURL(
""Hola *""&amp;B74&amp;""*.
Te recordamos que la factura Nº *""&amp;J74&amp;""* por el plan """"""&amp;E74&amp;"""""" se encuentra disponible para pago y vence hoy.
Monto: *$""&amp;I74&amp;""*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*$""&amp;AG74&amp;""*
Valor total febrero (con IVA): *$""&amp;AH74&amp;""*
A partir de mañana el valor aument"&amp;"a un 25%, correspondiente al valor de diciembre.
Simple Pyme""
),
""Enviar WhatsApp""
)"),"Enviar WhatsApp")</f>
        <v>Enviar WhatsApp</v>
      </c>
      <c r="AG74" s="122">
        <v>100000.0</v>
      </c>
      <c r="AH74" s="123">
        <f t="shared" si="8"/>
        <v>119000</v>
      </c>
      <c r="AI74" s="81"/>
      <c r="AJ74" s="81"/>
      <c r="AK74" s="81"/>
    </row>
    <row r="75" hidden="1">
      <c r="A75" s="126" t="s">
        <v>1456</v>
      </c>
      <c r="B75" s="25" t="s">
        <v>1067</v>
      </c>
      <c r="C75" s="30" t="s">
        <v>38</v>
      </c>
      <c r="D75" s="30" t="s">
        <v>38</v>
      </c>
      <c r="E75" s="48" t="s">
        <v>1372</v>
      </c>
      <c r="F75" s="118"/>
      <c r="G75" s="28">
        <v>2.0</v>
      </c>
      <c r="H75" s="88">
        <v>50000.0</v>
      </c>
      <c r="I75" s="88">
        <f t="shared" si="1"/>
        <v>59500</v>
      </c>
      <c r="J75" s="30">
        <v>576.0</v>
      </c>
      <c r="K75" s="97">
        <v>119000.0</v>
      </c>
      <c r="L75" s="28" t="s">
        <v>1539</v>
      </c>
      <c r="M75" s="26" t="s">
        <v>433</v>
      </c>
      <c r="N75" s="26" t="s">
        <v>426</v>
      </c>
      <c r="O75" s="25" t="s">
        <v>855</v>
      </c>
      <c r="P75" s="28" t="s">
        <v>856</v>
      </c>
      <c r="Q75" s="30" t="s">
        <v>1540</v>
      </c>
      <c r="R75" s="29"/>
      <c r="S75" s="29">
        <v>2.8831868E7</v>
      </c>
      <c r="T75" s="29">
        <v>3.4660116E7</v>
      </c>
      <c r="U75" s="29">
        <v>828190.0</v>
      </c>
      <c r="V75" s="30" t="s">
        <v>810</v>
      </c>
      <c r="W75" s="30" t="s">
        <v>1411</v>
      </c>
      <c r="X75" s="132">
        <v>46090.0</v>
      </c>
      <c r="Y75" s="48" t="s">
        <v>50</v>
      </c>
      <c r="Z75" s="28" t="s">
        <v>858</v>
      </c>
      <c r="AA75" s="28" t="s">
        <v>857</v>
      </c>
      <c r="AB75" s="106"/>
      <c r="AC75" s="66"/>
      <c r="AD75" s="66"/>
      <c r="AE75" s="81"/>
      <c r="AF75" s="121" t="str">
        <f>IFERROR(__xludf.DUMMYFUNCTION("HYPERLINK(
""https://wa.me/""&amp;REGEXREPLACE(Q75,""[^0-9]"","""")&amp;
""?text=""&amp;
ENCODEURL(
""Hola *""&amp;B75&amp;""*.
Te recordamos que la factura Nº *""&amp;J75&amp;""* por el plan """"""&amp;E75&amp;"""""" se encuentra disponible para pago y vence hoy.
Monto: *$""&amp;I75&amp;""*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75" s="81"/>
      <c r="AH75" s="81">
        <f t="shared" si="8"/>
        <v>0</v>
      </c>
      <c r="AI75" s="81"/>
      <c r="AJ75" s="81"/>
      <c r="AK75" s="81"/>
    </row>
    <row r="76" hidden="1">
      <c r="A76" s="126" t="s">
        <v>1456</v>
      </c>
      <c r="B76" s="25" t="s">
        <v>1068</v>
      </c>
      <c r="C76" s="30" t="s">
        <v>38</v>
      </c>
      <c r="D76" s="30" t="s">
        <v>38</v>
      </c>
      <c r="E76" s="48" t="s">
        <v>1362</v>
      </c>
      <c r="F76" s="118"/>
      <c r="G76" s="66"/>
      <c r="H76" s="88">
        <v>30000.0</v>
      </c>
      <c r="I76" s="88">
        <f t="shared" si="1"/>
        <v>35700</v>
      </c>
      <c r="J76" s="30">
        <v>577.0</v>
      </c>
      <c r="K76" s="97">
        <v>119000.0</v>
      </c>
      <c r="L76" s="25"/>
      <c r="M76" s="26" t="s">
        <v>395</v>
      </c>
      <c r="N76" s="26" t="s">
        <v>396</v>
      </c>
      <c r="O76" s="28" t="s">
        <v>393</v>
      </c>
      <c r="P76" s="28" t="s">
        <v>936</v>
      </c>
      <c r="Q76" s="139">
        <v>9.85582338E8</v>
      </c>
      <c r="R76" s="29"/>
      <c r="S76" s="29">
        <v>71400.0</v>
      </c>
      <c r="T76" s="29">
        <v>0.0</v>
      </c>
      <c r="U76" s="29">
        <v>0.0</v>
      </c>
      <c r="V76" s="30" t="s">
        <v>810</v>
      </c>
      <c r="W76" s="30" t="s">
        <v>1411</v>
      </c>
      <c r="X76" s="141">
        <v>46084.0</v>
      </c>
      <c r="Y76" s="48" t="s">
        <v>50</v>
      </c>
      <c r="Z76" s="28" t="s">
        <v>937</v>
      </c>
      <c r="AA76" s="28" t="s">
        <v>399</v>
      </c>
      <c r="AB76" s="106"/>
      <c r="AC76" s="66"/>
      <c r="AD76" s="66"/>
      <c r="AE76" s="81"/>
      <c r="AF76" s="81" t="str">
        <f>IFERROR(__xludf.DUMMYFUNCTION("HYPERLINK(
""https://wa.me/""&amp;REGEXREPLACE(Q76,""[^0-9]"","""")&amp;
""?text=""&amp;
ENCODEURL(
""Hola *""&amp;B76&amp;""*.
Te recordamos que la factura Nº *""&amp;J76&amp;""* por el plan """"""&amp;E76&amp;"""""" se encuentra disponible para pago y vence hoy.
Monto: *$""&amp;I76&amp;""*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*$""&amp;AG76&amp;""*
Valor total febrero (con IVA): *$""&amp;AH76&amp;""*
A partir de mañana el valor aument"&amp;"a un 25%, correspondiente al valor de diciembre.
Simple Pyme""
),
""Enviar WhatsApp""
)"),"Enviar WhatsApp")</f>
        <v>Enviar WhatsApp</v>
      </c>
      <c r="AG76" s="81"/>
      <c r="AH76" s="81"/>
      <c r="AI76" s="81"/>
      <c r="AJ76" s="81"/>
      <c r="AK76" s="81"/>
    </row>
    <row r="77" hidden="1">
      <c r="A77" s="126" t="s">
        <v>1456</v>
      </c>
      <c r="B77" s="51" t="s">
        <v>1069</v>
      </c>
      <c r="C77" s="30" t="s">
        <v>38</v>
      </c>
      <c r="D77" s="30" t="s">
        <v>38</v>
      </c>
      <c r="E77" s="48" t="s">
        <v>1362</v>
      </c>
      <c r="F77" s="153"/>
      <c r="G77" s="106"/>
      <c r="H77" s="151">
        <v>30000.0</v>
      </c>
      <c r="I77" s="88">
        <f t="shared" si="1"/>
        <v>35700</v>
      </c>
      <c r="J77" s="30">
        <v>578.0</v>
      </c>
      <c r="K77" s="154">
        <v>85200.0</v>
      </c>
      <c r="L77" s="28"/>
      <c r="M77" s="155" t="s">
        <v>379</v>
      </c>
      <c r="N77" s="155" t="s">
        <v>380</v>
      </c>
      <c r="O77" s="48" t="s">
        <v>377</v>
      </c>
      <c r="P77" s="48" t="s">
        <v>1070</v>
      </c>
      <c r="Q77" s="70" t="s">
        <v>1541</v>
      </c>
      <c r="R77" s="47"/>
      <c r="S77" s="47">
        <v>7346299.0</v>
      </c>
      <c r="T77" s="47">
        <v>6594380.0</v>
      </c>
      <c r="U77" s="47">
        <v>6927.0</v>
      </c>
      <c r="V77" s="30" t="s">
        <v>810</v>
      </c>
      <c r="W77" s="30" t="s">
        <v>1411</v>
      </c>
      <c r="X77" s="156"/>
      <c r="Y77" s="48" t="s">
        <v>50</v>
      </c>
      <c r="Z77" s="48" t="s">
        <v>1072</v>
      </c>
      <c r="AA77" s="48" t="s">
        <v>1071</v>
      </c>
      <c r="AB77" s="106"/>
      <c r="AC77" s="106"/>
      <c r="AD77" s="106"/>
      <c r="AE77" s="94"/>
      <c r="AF77" s="121" t="str">
        <f>IFERROR(__xludf.DUMMYFUNCTION("HYPERLINK(
""https://wa.me/""&amp;REGEXREPLACE(Q77,""[^0-9]"","""")&amp;
""?text=""&amp;
ENCODEURL(
""Buenas tardes *""&amp;B77&amp;""*. *HOY SE PAGA EL IVA Y TU SERVICIO ESTÁ SUSPENDIDO*
Te recordamos que la factura """"""&amp;J77&amp;"""""" de tu plan """"""&amp;E77&amp;"""""" se encuent"&amp;"re impaga a la fecha, lo que implica que tu servicio se encuentra suspendido. Para reactivar el servicio y que hagamos la declaración mensual debes realizar el pago lo antes posible.
Valor: *$""&amp;H77&amp;""* + IVA = *$""&amp;I77&amp;""*
*CUENTA BANCARIA*
VOLLAIRE &amp; O"&amp;"LIVOS SIMPLE PYME LTDA
Banco BCI
Cuenta corriente
RUT 78.306.207-0
Número de cuenta: 70809538
MATIAS.OLIVOS@VSVCONSULTORES.COM
También puedes pagar con tarjeta de débito o crédito en el siguiente link:
https://www.flow.cl/btn.php?token=xe78c9acb73c3eff5e"&amp;"917d5c932a4a2f7f971abe
Simple Pyme""
),
""Enviar WhatsApp""
)"),"Enviar WhatsApp")</f>
        <v>Enviar WhatsApp</v>
      </c>
      <c r="AG77" s="81"/>
      <c r="AH77" s="81">
        <f>AG77*1.19</f>
        <v>0</v>
      </c>
      <c r="AI77" s="81"/>
      <c r="AJ77" s="81"/>
      <c r="AK77" s="81"/>
    </row>
    <row r="78" hidden="1">
      <c r="A78" s="126" t="s">
        <v>1542</v>
      </c>
      <c r="B78" s="51" t="s">
        <v>1073</v>
      </c>
      <c r="C78" s="30" t="s">
        <v>38</v>
      </c>
      <c r="D78" s="30" t="s">
        <v>38</v>
      </c>
      <c r="E78" s="48" t="s">
        <v>1413</v>
      </c>
      <c r="F78" s="118"/>
      <c r="G78" s="28" t="s">
        <v>1543</v>
      </c>
      <c r="H78" s="157">
        <v>60504.0</v>
      </c>
      <c r="I78" s="88">
        <f t="shared" si="1"/>
        <v>71999.76</v>
      </c>
      <c r="J78" s="30">
        <v>579.0</v>
      </c>
      <c r="K78" s="151">
        <v>59500.0</v>
      </c>
      <c r="L78" s="66"/>
      <c r="M78" s="61" t="s">
        <v>67</v>
      </c>
      <c r="N78" s="26" t="s">
        <v>68</v>
      </c>
      <c r="O78" s="28" t="s">
        <v>65</v>
      </c>
      <c r="P78" s="28" t="s">
        <v>1074</v>
      </c>
      <c r="Q78" s="120" t="s">
        <v>1544</v>
      </c>
      <c r="R78" s="29"/>
      <c r="S78" s="29">
        <v>1221591.0</v>
      </c>
      <c r="T78" s="29">
        <v>0.0</v>
      </c>
      <c r="U78" s="29">
        <v>0.0</v>
      </c>
      <c r="V78" s="30" t="s">
        <v>810</v>
      </c>
      <c r="W78" s="30" t="s">
        <v>1411</v>
      </c>
      <c r="X78" s="132">
        <v>46084.0</v>
      </c>
      <c r="Y78" s="48" t="s">
        <v>50</v>
      </c>
      <c r="Z78" s="28" t="s">
        <v>1075</v>
      </c>
      <c r="AA78" s="28" t="s">
        <v>71</v>
      </c>
      <c r="AB78" s="106"/>
      <c r="AC78" s="66"/>
      <c r="AD78" s="66"/>
      <c r="AE78" s="81"/>
      <c r="AF78" s="121" t="str">
        <f>IFERROR(__xludf.DUMMYFUNCTION("HYPERLINK(
""https://wa.me/""&amp;REGEXREPLACE(Q78,""[^0-9]"","""")&amp;
""?text=""&amp;
ENCODEURL(
""Hola *""&amp;B78&amp;""*.
Te recordamos que la factura Nº *""&amp;J78&amp;""* por el plan """"""&amp;E78&amp;"""""" se encuentra disponible para pago y vence hoy.
Monto: *$""&amp;I78&amp;""*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*$""&amp;AG78&amp;""*
Valor total febrero (con IVA): *$""&amp;AH78&amp;""*
A partir de mañana el valor aument"&amp;"a un 25%, correspondiente al valor de diciembre.
Simple Pyme""
),
""Enviar WhatsApp""
)"),"Enviar WhatsApp")</f>
        <v>Enviar WhatsApp</v>
      </c>
      <c r="AG78" s="81"/>
      <c r="AH78" s="81"/>
      <c r="AI78" s="81"/>
      <c r="AJ78" s="81"/>
      <c r="AK78" s="81"/>
    </row>
    <row r="79" hidden="1">
      <c r="A79" s="126" t="s">
        <v>1542</v>
      </c>
      <c r="B79" s="25" t="s">
        <v>1076</v>
      </c>
      <c r="C79" s="66"/>
      <c r="D79" s="66"/>
      <c r="E79" s="48" t="s">
        <v>1380</v>
      </c>
      <c r="F79" s="118"/>
      <c r="G79" s="66"/>
      <c r="H79" s="88" t="s">
        <v>1381</v>
      </c>
      <c r="I79" s="88">
        <f t="shared" si="1"/>
        <v>0</v>
      </c>
      <c r="J79" s="135" t="s">
        <v>1438</v>
      </c>
      <c r="K79" s="104"/>
      <c r="L79" s="66"/>
      <c r="M79" s="26" t="s">
        <v>1077</v>
      </c>
      <c r="N79" s="26" t="s">
        <v>1078</v>
      </c>
      <c r="O79" s="28" t="s">
        <v>1079</v>
      </c>
      <c r="P79" s="56" t="s">
        <v>1080</v>
      </c>
      <c r="Q79" s="120" t="s">
        <v>1545</v>
      </c>
      <c r="R79" s="29"/>
      <c r="S79" s="29">
        <v>0.0</v>
      </c>
      <c r="T79" s="29">
        <v>0.0</v>
      </c>
      <c r="U79" s="29">
        <v>0.0</v>
      </c>
      <c r="V79" s="30" t="s">
        <v>810</v>
      </c>
      <c r="W79" s="48" t="s">
        <v>1380</v>
      </c>
      <c r="X79" s="66"/>
      <c r="Y79" s="48" t="s">
        <v>50</v>
      </c>
      <c r="Z79" s="28" t="s">
        <v>1081</v>
      </c>
      <c r="AA79" s="28" t="s">
        <v>1078</v>
      </c>
      <c r="AB79" s="106"/>
      <c r="AC79" s="66"/>
      <c r="AD79" s="66"/>
      <c r="AE79" s="81"/>
      <c r="AF79" s="121" t="str">
        <f>IFERROR(__xludf.DUMMYFUNCTION("HYPERLINK(
""https://wa.me/""&amp;REGEXREPLACE(Q79,""[^0-9]"","""")&amp;
""?text=""&amp;
ENCODEURL(
""Hola *""&amp;B79&amp;""*.
Te recordamos que la factura Nº *""&amp;J79&amp;""* por el plan """"""&amp;E79&amp;"""""" se encuentra disponible para pago y vence hoy.
Monto: *$""&amp;I79&amp;""*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*$""&amp;AG79&amp;""*
Valor total febrero (con IVA): *$""&amp;AH79&amp;""*
A partir de mañana el valor aument"&amp;"a un 25%, correspondiente al valor de diciembre.
Simple Pyme""
),
""Enviar WhatsApp""
)"),"Enviar WhatsApp")</f>
        <v>Enviar WhatsApp</v>
      </c>
      <c r="AG79" s="81"/>
      <c r="AH79" s="81"/>
      <c r="AI79" s="81"/>
      <c r="AJ79" s="81"/>
      <c r="AK79" s="81"/>
    </row>
    <row r="80" hidden="1">
      <c r="A80" s="126" t="s">
        <v>1542</v>
      </c>
      <c r="B80" s="25" t="s">
        <v>1082</v>
      </c>
      <c r="C80" s="66"/>
      <c r="D80" s="66"/>
      <c r="E80" s="48" t="s">
        <v>1380</v>
      </c>
      <c r="F80" s="118"/>
      <c r="G80" s="66"/>
      <c r="H80" s="88" t="s">
        <v>1381</v>
      </c>
      <c r="I80" s="88">
        <f t="shared" si="1"/>
        <v>0</v>
      </c>
      <c r="J80" s="135" t="s">
        <v>1438</v>
      </c>
      <c r="K80" s="104"/>
      <c r="L80" s="66"/>
      <c r="M80" s="26" t="s">
        <v>1083</v>
      </c>
      <c r="N80" s="26" t="s">
        <v>1084</v>
      </c>
      <c r="O80" s="28" t="s">
        <v>1085</v>
      </c>
      <c r="P80" s="56" t="s">
        <v>1086</v>
      </c>
      <c r="Q80" s="30" t="s">
        <v>1546</v>
      </c>
      <c r="R80" s="29"/>
      <c r="S80" s="29">
        <v>0.0</v>
      </c>
      <c r="T80" s="29">
        <v>0.0</v>
      </c>
      <c r="U80" s="29">
        <v>0.0</v>
      </c>
      <c r="V80" s="30" t="s">
        <v>810</v>
      </c>
      <c r="W80" s="48" t="s">
        <v>1380</v>
      </c>
      <c r="X80" s="66"/>
      <c r="Y80" s="48" t="s">
        <v>50</v>
      </c>
      <c r="Z80" s="28" t="s">
        <v>1088</v>
      </c>
      <c r="AA80" s="56" t="s">
        <v>1087</v>
      </c>
      <c r="AB80" s="106"/>
      <c r="AC80" s="66"/>
      <c r="AD80" s="66"/>
      <c r="AE80" s="81"/>
      <c r="AF80" s="121" t="str">
        <f>IFERROR(__xludf.DUMMYFUNCTION("HYPERLINK(
""https://wa.me/""&amp;REGEXREPLACE(Q80,""[^0-9]"","""")&amp;
""?text=""&amp;
ENCODEURL(
""Hola *""&amp;B80&amp;""*.
Te recordamos que la factura Nº *""&amp;J80&amp;""* por el plan """"""&amp;E80&amp;"""""" se encuentra disponible para pago y vence hoy.
Monto: *$""&amp;I80&amp;""*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*$""&amp;AG80&amp;""*
Valor total febrero (con IVA): *$""&amp;AH80&amp;""*
A partir de mañana el valor aument"&amp;"a un 25%, correspondiente al valor de diciembre.
Simple Pyme""
),
""Enviar WhatsApp""
)"),"Enviar WhatsApp")</f>
        <v>Enviar WhatsApp</v>
      </c>
      <c r="AG80" s="81"/>
      <c r="AH80" s="81"/>
      <c r="AI80" s="81"/>
      <c r="AJ80" s="81"/>
      <c r="AK80" s="81"/>
    </row>
    <row r="81" hidden="1">
      <c r="A81" s="126" t="s">
        <v>1542</v>
      </c>
      <c r="B81" s="25" t="s">
        <v>1089</v>
      </c>
      <c r="C81" s="30" t="s">
        <v>38</v>
      </c>
      <c r="D81" s="30" t="s">
        <v>38</v>
      </c>
      <c r="E81" s="48" t="s">
        <v>1416</v>
      </c>
      <c r="F81" s="118"/>
      <c r="G81" s="66"/>
      <c r="H81" s="88">
        <v>10000.0</v>
      </c>
      <c r="I81" s="88">
        <f t="shared" si="1"/>
        <v>11900</v>
      </c>
      <c r="J81" s="30">
        <v>580.0</v>
      </c>
      <c r="K81" s="97">
        <v>93000.0</v>
      </c>
      <c r="L81" s="30" t="s">
        <v>1547</v>
      </c>
      <c r="M81" s="26" t="s">
        <v>515</v>
      </c>
      <c r="N81" s="62" t="s">
        <v>516</v>
      </c>
      <c r="O81" s="28" t="s">
        <v>513</v>
      </c>
      <c r="P81" s="28"/>
      <c r="Q81" s="120" t="s">
        <v>1548</v>
      </c>
      <c r="R81" s="29"/>
      <c r="S81" s="29">
        <v>38090.0</v>
      </c>
      <c r="T81" s="29">
        <v>0.0</v>
      </c>
      <c r="U81" s="29">
        <v>0.0</v>
      </c>
      <c r="V81" s="30" t="s">
        <v>810</v>
      </c>
      <c r="W81" s="30" t="s">
        <v>1411</v>
      </c>
      <c r="X81" s="128">
        <v>46086.0</v>
      </c>
      <c r="Y81" s="48" t="s">
        <v>50</v>
      </c>
      <c r="Z81" s="28" t="s">
        <v>1091</v>
      </c>
      <c r="AA81" s="28" t="s">
        <v>1090</v>
      </c>
      <c r="AB81" s="106"/>
      <c r="AC81" s="66"/>
      <c r="AD81" s="66"/>
      <c r="AE81" s="81"/>
      <c r="AF81" s="121" t="str">
        <f>IFERROR(__xludf.DUMMYFUNCTION("HYPERLINK(
""https://wa.me/""&amp;REGEXREPLACE(Q81,""[^0-9]"","""")&amp;
""?text=""&amp;
ENCODEURL(
""Buenas tardes *""&amp;B81&amp;""*.
Te recordamos que tu plan """"""&amp;E81&amp;"""""" no incluye la declaración de renta. Te enviamos varios correos informando sobre este proceso."&amp;" Esta semana vencen las primeras declaraciones juradas, lo que generará multas
Valor: *$""&amp;AG81&amp;""* + IVA = *$""&amp;AH81&amp;""*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81" s="123">
        <v>78125.0</v>
      </c>
      <c r="AH81" s="123">
        <f>AG81*1.19</f>
        <v>92968.75</v>
      </c>
      <c r="AI81" s="81"/>
      <c r="AJ81" s="81"/>
      <c r="AK81" s="81"/>
    </row>
    <row r="82" hidden="1">
      <c r="A82" s="79" t="s">
        <v>1542</v>
      </c>
      <c r="B82" s="25" t="s">
        <v>1093</v>
      </c>
      <c r="C82" s="30" t="s">
        <v>38</v>
      </c>
      <c r="D82" s="30" t="s">
        <v>38</v>
      </c>
      <c r="E82" s="28" t="s">
        <v>1372</v>
      </c>
      <c r="F82" s="118"/>
      <c r="G82" s="28">
        <v>1.0</v>
      </c>
      <c r="H82" s="88">
        <v>60000.0</v>
      </c>
      <c r="I82" s="88">
        <f t="shared" si="1"/>
        <v>71400</v>
      </c>
      <c r="J82" s="30">
        <v>581.0</v>
      </c>
      <c r="K82" s="104"/>
      <c r="L82" s="28"/>
      <c r="M82" s="26" t="s">
        <v>112</v>
      </c>
      <c r="N82" s="26" t="s">
        <v>113</v>
      </c>
      <c r="O82" s="28" t="s">
        <v>110</v>
      </c>
      <c r="P82" s="56" t="s">
        <v>1094</v>
      </c>
      <c r="Q82" s="28" t="s">
        <v>1549</v>
      </c>
      <c r="R82" s="29"/>
      <c r="S82" s="29">
        <v>450292.0</v>
      </c>
      <c r="T82" s="29">
        <v>1168000.0</v>
      </c>
      <c r="U82" s="29">
        <v>1155.0</v>
      </c>
      <c r="V82" s="30" t="s">
        <v>810</v>
      </c>
      <c r="W82" s="30" t="s">
        <v>1411</v>
      </c>
      <c r="X82" s="134"/>
      <c r="Y82" s="28" t="s">
        <v>50</v>
      </c>
      <c r="Z82" s="28" t="s">
        <v>1095</v>
      </c>
      <c r="AA82" s="28" t="s">
        <v>113</v>
      </c>
      <c r="AB82" s="66"/>
      <c r="AC82" s="66"/>
      <c r="AD82" s="66"/>
      <c r="AE82" s="81"/>
      <c r="AF82" s="121" t="str">
        <f>IFERROR(__xludf.DUMMYFUNCTION("HYPERLINK(
""https://wa.me/""&amp;REGEXREPLACE(Q82,""[^0-9]"","""")&amp;
""?text=""&amp;
ENCODEURL(
""Hola *""&amp;B82&amp;""*.
Te recordamos que la factura Nº *""&amp;J82&amp;""* por el plan """"""&amp;E82&amp;"""""" se encuentra disponible para pago y vence hoy.
Monto: *$""&amp;I82&amp;""*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*$""&amp;AG82&amp;""*
Valor total febrero (con IVA): *$""&amp;AH82&amp;""*
A partir de mañana el valor aument"&amp;"a un 25%, correspondiente al valor de diciembre.
Simple Pyme""
),
""Enviar WhatsApp""
)"),"Enviar WhatsApp")</f>
        <v>Enviar WhatsApp</v>
      </c>
      <c r="AG82" s="81"/>
      <c r="AH82" s="81"/>
      <c r="AI82" s="81"/>
      <c r="AJ82" s="81"/>
      <c r="AK82" s="81"/>
    </row>
    <row r="83" hidden="1">
      <c r="A83" s="126" t="s">
        <v>1542</v>
      </c>
      <c r="B83" s="25" t="s">
        <v>1550</v>
      </c>
      <c r="C83" s="28" t="s">
        <v>50</v>
      </c>
      <c r="D83" s="28"/>
      <c r="E83" s="48" t="s">
        <v>1362</v>
      </c>
      <c r="F83" s="118"/>
      <c r="G83" s="66"/>
      <c r="H83" s="88">
        <v>30000.0</v>
      </c>
      <c r="I83" s="88">
        <f t="shared" si="1"/>
        <v>35700</v>
      </c>
      <c r="J83" s="30">
        <v>582.0</v>
      </c>
      <c r="K83" s="104"/>
      <c r="L83" s="28"/>
      <c r="M83" s="26" t="s">
        <v>1551</v>
      </c>
      <c r="N83" s="26" t="s">
        <v>1552</v>
      </c>
      <c r="O83" s="28" t="s">
        <v>1553</v>
      </c>
      <c r="P83" s="28" t="s">
        <v>1554</v>
      </c>
      <c r="Q83" s="120" t="s">
        <v>1555</v>
      </c>
      <c r="R83" s="47"/>
      <c r="S83" s="47">
        <v>5199813.0</v>
      </c>
      <c r="T83" s="47">
        <v>1.152048E7</v>
      </c>
      <c r="U83" s="47">
        <v>1032336.0</v>
      </c>
      <c r="V83" s="30" t="s">
        <v>810</v>
      </c>
      <c r="W83" s="30" t="s">
        <v>1411</v>
      </c>
      <c r="X83" s="131"/>
      <c r="Y83" s="48" t="s">
        <v>50</v>
      </c>
      <c r="Z83" s="28" t="s">
        <v>1556</v>
      </c>
      <c r="AA83" s="28" t="s">
        <v>1552</v>
      </c>
      <c r="AB83" s="106"/>
      <c r="AC83" s="66"/>
      <c r="AD83" s="66"/>
      <c r="AE83" s="81"/>
      <c r="AF83" s="121" t="str">
        <f>IFERROR(__xludf.DUMMYFUNCTION("HYPERLINK(
""https://wa.me/""&amp;REGEXREPLACE(Q83,""[^0-9]"","""")&amp;
""?text=""&amp;
ENCODEURL(
""Buenas tardes *""&amp;B83&amp;""*.
Te recordamos que tu plan *""""""&amp;E83&amp;""""""* *no incluye* la declaración de renta. Te enviamos varios correos informando sobre este proc"&amp;"eso. Esta semana vencen las primeras declaraciones juradas, lo que generará multas
Valor: *$""&amp;AG83&amp;""* + IVA = *$""&amp;AH83&amp;""*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83" s="123">
        <v>187500.0</v>
      </c>
      <c r="AH83" s="123">
        <v>223125.0</v>
      </c>
      <c r="AI83" s="123"/>
      <c r="AJ83" s="123"/>
      <c r="AK83" s="123"/>
    </row>
    <row r="84" hidden="1">
      <c r="A84" s="126" t="s">
        <v>1542</v>
      </c>
      <c r="B84" s="25" t="s">
        <v>184</v>
      </c>
      <c r="C84" s="30" t="s">
        <v>38</v>
      </c>
      <c r="D84" s="30" t="s">
        <v>38</v>
      </c>
      <c r="E84" s="48" t="s">
        <v>1362</v>
      </c>
      <c r="F84" s="118"/>
      <c r="G84" s="66"/>
      <c r="H84" s="124">
        <v>30000.0</v>
      </c>
      <c r="I84" s="88">
        <f t="shared" si="1"/>
        <v>35700</v>
      </c>
      <c r="J84" s="30">
        <v>583.0</v>
      </c>
      <c r="K84" s="97">
        <v>95200.0</v>
      </c>
      <c r="L84" s="66"/>
      <c r="M84" s="26" t="s">
        <v>185</v>
      </c>
      <c r="N84" s="26" t="s">
        <v>186</v>
      </c>
      <c r="O84" s="28" t="s">
        <v>1096</v>
      </c>
      <c r="P84" s="28" t="s">
        <v>1097</v>
      </c>
      <c r="Q84" s="139" t="s">
        <v>1557</v>
      </c>
      <c r="R84" s="29"/>
      <c r="S84" s="29">
        <v>916488.0</v>
      </c>
      <c r="T84" s="29">
        <v>0.0</v>
      </c>
      <c r="U84" s="29">
        <v>0.0</v>
      </c>
      <c r="V84" s="30" t="s">
        <v>810</v>
      </c>
      <c r="W84" s="30" t="s">
        <v>1411</v>
      </c>
      <c r="X84" s="141">
        <v>46083.0</v>
      </c>
      <c r="Y84" s="48" t="s">
        <v>50</v>
      </c>
      <c r="Z84" s="30" t="s">
        <v>1099</v>
      </c>
      <c r="AA84" s="28" t="s">
        <v>1098</v>
      </c>
      <c r="AB84" s="106"/>
      <c r="AC84" s="66"/>
      <c r="AD84" s="66"/>
      <c r="AE84" s="81"/>
      <c r="AF84" s="121" t="str">
        <f>IFERROR(__xludf.DUMMYFUNCTION("HYPERLINK(
""https://wa.me/""&amp;REGEXREPLACE(Q84,""[^0-9]"","""")&amp;
""?text=""&amp;
ENCODEURL(
""Hola *""&amp;B84&amp;""*.
Te recordamos que la factura Nº *""&amp;J84&amp;""* por el plan """"""&amp;E84&amp;"""""" se encuentra disponible para pago y vence hoy.
Monto: *$""&amp;I84&amp;""*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84" s="81"/>
      <c r="AH84" s="81">
        <f>AG84*1.19</f>
        <v>0</v>
      </c>
      <c r="AI84" s="81"/>
      <c r="AJ84" s="81"/>
      <c r="AK84" s="81"/>
    </row>
    <row r="85" hidden="1">
      <c r="A85" s="126" t="s">
        <v>1542</v>
      </c>
      <c r="B85" s="25" t="s">
        <v>1100</v>
      </c>
      <c r="C85" s="66"/>
      <c r="D85" s="66"/>
      <c r="E85" s="48" t="s">
        <v>1380</v>
      </c>
      <c r="F85" s="118"/>
      <c r="G85" s="66"/>
      <c r="H85" s="88" t="s">
        <v>1381</v>
      </c>
      <c r="I85" s="88">
        <f t="shared" si="1"/>
        <v>0</v>
      </c>
      <c r="J85" s="135" t="s">
        <v>1438</v>
      </c>
      <c r="K85" s="104"/>
      <c r="L85" s="66"/>
      <c r="M85" s="26" t="s">
        <v>1101</v>
      </c>
      <c r="N85" s="26" t="s">
        <v>1102</v>
      </c>
      <c r="O85" s="28" t="s">
        <v>1103</v>
      </c>
      <c r="P85" s="28">
        <v>2.76641999E8</v>
      </c>
      <c r="Q85" s="120" t="s">
        <v>1558</v>
      </c>
      <c r="R85" s="29"/>
      <c r="S85" s="29">
        <v>0.0</v>
      </c>
      <c r="T85" s="29">
        <v>0.0</v>
      </c>
      <c r="U85" s="29">
        <v>0.0</v>
      </c>
      <c r="V85" s="30" t="s">
        <v>810</v>
      </c>
      <c r="W85" s="48" t="s">
        <v>1380</v>
      </c>
      <c r="X85" s="66"/>
      <c r="Y85" s="48" t="s">
        <v>50</v>
      </c>
      <c r="Z85" s="28" t="s">
        <v>1105</v>
      </c>
      <c r="AA85" s="28" t="s">
        <v>1104</v>
      </c>
      <c r="AB85" s="106"/>
      <c r="AC85" s="66"/>
      <c r="AD85" s="66"/>
      <c r="AE85" s="81"/>
      <c r="AF85" s="121" t="str">
        <f>IFERROR(__xludf.DUMMYFUNCTION("HYPERLINK(
""https://wa.me/""&amp;REGEXREPLACE(Q85,""[^0-9]"","""")&amp;
""?text=""&amp;
ENCODEURL(
""Hola *""&amp;B85&amp;""*.
Te recordamos que la factura Nº *""&amp;J85&amp;""* por el plan """"""&amp;E85&amp;"""""" se encuentra disponible para pago y vence hoy.
Monto: *$""&amp;I85&amp;""*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*$""&amp;AG85&amp;""*
Valor total febrero (con IVA): *$""&amp;AH85&amp;""*
A partir de mañana el valor aument"&amp;"a un 25%, correspondiente al valor de diciembre.
Simple Pyme""
),
""Enviar WhatsApp""
)"),"Enviar WhatsApp")</f>
        <v>Enviar WhatsApp</v>
      </c>
      <c r="AG85" s="81"/>
      <c r="AH85" s="81"/>
      <c r="AI85" s="81"/>
      <c r="AJ85" s="81"/>
      <c r="AK85" s="81"/>
    </row>
    <row r="86" hidden="1">
      <c r="A86" s="79" t="s">
        <v>1542</v>
      </c>
      <c r="B86" s="25" t="s">
        <v>1106</v>
      </c>
      <c r="C86" s="30" t="s">
        <v>38</v>
      </c>
      <c r="D86" s="30" t="s">
        <v>38</v>
      </c>
      <c r="E86" s="28" t="s">
        <v>1362</v>
      </c>
      <c r="F86" s="118"/>
      <c r="G86" s="28">
        <v>1.0</v>
      </c>
      <c r="H86" s="88">
        <v>40000.0</v>
      </c>
      <c r="I86" s="88">
        <f t="shared" si="1"/>
        <v>47600</v>
      </c>
      <c r="J86" s="129" t="s">
        <v>1438</v>
      </c>
      <c r="K86" s="104"/>
      <c r="L86" s="28" t="s">
        <v>1687</v>
      </c>
      <c r="M86" s="26" t="s">
        <v>387</v>
      </c>
      <c r="N86" s="62" t="s">
        <v>388</v>
      </c>
      <c r="O86" s="28" t="s">
        <v>385</v>
      </c>
      <c r="P86" s="28" t="s">
        <v>1107</v>
      </c>
      <c r="Q86" s="120">
        <v>9.36563637E8</v>
      </c>
      <c r="R86" s="29"/>
      <c r="S86" s="29">
        <v>317437.0</v>
      </c>
      <c r="T86" s="29">
        <v>0.0</v>
      </c>
      <c r="U86" s="29">
        <v>0.0</v>
      </c>
      <c r="V86" s="30" t="s">
        <v>1672</v>
      </c>
      <c r="W86" s="30" t="s">
        <v>1411</v>
      </c>
      <c r="X86" s="136"/>
      <c r="Y86" s="28" t="s">
        <v>38</v>
      </c>
      <c r="Z86" s="28" t="s">
        <v>1109</v>
      </c>
      <c r="AA86" s="28" t="s">
        <v>1108</v>
      </c>
      <c r="AB86" s="66"/>
      <c r="AC86" s="66"/>
      <c r="AD86" s="66"/>
      <c r="AE86" s="81"/>
      <c r="AF86" s="81" t="str">
        <f>IFERROR(__xludf.DUMMYFUNCTION("HYPERLINK(
""https://wa.me/""&amp;REGEXREPLACE(Q86,""[^0-9]"","""")&amp;
""?text=""&amp;
ENCODEURL(
""Hola *""&amp;B86&amp;""*.
Te recordamos que la factura Nº *""&amp;J86&amp;""* por el plan """"""&amp;E86&amp;"""""" se encuentra disponible para pago y vence hoy.
Monto: *$""&amp;I86&amp;""*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*$""&amp;AG86&amp;""*
Valor total febrero (con IVA): *$""&amp;AH86&amp;""*
A partir de mañana el valor aument"&amp;"a un 25%, correspondiente al valor de diciembre.
Simple Pyme""
),
""Enviar WhatsApp""
)"),"Enviar WhatsApp")</f>
        <v>Enviar WhatsApp</v>
      </c>
      <c r="AG86" s="81"/>
      <c r="AH86" s="81"/>
      <c r="AI86" s="81"/>
      <c r="AJ86" s="81"/>
      <c r="AK86" s="81"/>
    </row>
    <row r="87" hidden="1">
      <c r="A87" s="126" t="s">
        <v>1542</v>
      </c>
      <c r="B87" s="25" t="s">
        <v>1110</v>
      </c>
      <c r="C87" s="30" t="s">
        <v>38</v>
      </c>
      <c r="D87" s="30" t="s">
        <v>38</v>
      </c>
      <c r="E87" s="48" t="s">
        <v>1416</v>
      </c>
      <c r="F87" s="118"/>
      <c r="G87" s="66"/>
      <c r="H87" s="88">
        <v>10000.0</v>
      </c>
      <c r="I87" s="88">
        <f t="shared" si="1"/>
        <v>11900</v>
      </c>
      <c r="J87" s="30">
        <v>584.0</v>
      </c>
      <c r="K87" s="97">
        <v>59500.0</v>
      </c>
      <c r="L87" s="66"/>
      <c r="M87" s="26" t="s">
        <v>1111</v>
      </c>
      <c r="N87" s="26" t="s">
        <v>283</v>
      </c>
      <c r="O87" s="28" t="s">
        <v>280</v>
      </c>
      <c r="P87" s="28" t="s">
        <v>284</v>
      </c>
      <c r="Q87" s="120">
        <v>9.59527618E8</v>
      </c>
      <c r="R87" s="63"/>
      <c r="S87" s="63">
        <v>23800.0</v>
      </c>
      <c r="T87" s="63">
        <v>0.0</v>
      </c>
      <c r="U87" s="63">
        <v>0.0</v>
      </c>
      <c r="V87" s="30" t="s">
        <v>810</v>
      </c>
      <c r="W87" s="30" t="s">
        <v>1411</v>
      </c>
      <c r="X87" s="132">
        <v>46083.0</v>
      </c>
      <c r="Y87" s="48" t="s">
        <v>50</v>
      </c>
      <c r="Z87" s="28" t="s">
        <v>1112</v>
      </c>
      <c r="AA87" s="28" t="s">
        <v>285</v>
      </c>
      <c r="AB87" s="106"/>
      <c r="AC87" s="66"/>
      <c r="AD87" s="66"/>
      <c r="AE87" s="81"/>
      <c r="AF87" s="81" t="str">
        <f>IFERROR(__xludf.DUMMYFUNCTION("HYPERLINK(
""https://wa.me/""&amp;REGEXREPLACE(Q87,""[^0-9]"","""")&amp;
""?text=""&amp;
ENCODEURL(
""Hola *""&amp;B87&amp;""*.
Te recordamos que la factura Nº *""&amp;J87&amp;""* por el plan """"""&amp;E87&amp;"""""" se encuentra disponible para pago y vence hoy.
Monto: *$""&amp;I87&amp;""*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*$""&amp;AG87&amp;""*
Valor total febrero (con IVA): *$""&amp;AH87&amp;""*
A partir de mañana el valor aument"&amp;"a un 25%, correspondiente al valor de diciembre.
Simple Pyme""
),
""Enviar WhatsApp""
)"),"Enviar WhatsApp")</f>
        <v>Enviar WhatsApp</v>
      </c>
      <c r="AG87" s="81"/>
      <c r="AH87" s="81"/>
      <c r="AI87" s="81"/>
      <c r="AJ87" s="81"/>
      <c r="AK87" s="81"/>
    </row>
    <row r="88" hidden="1">
      <c r="A88" s="126" t="s">
        <v>1542</v>
      </c>
      <c r="B88" s="25" t="s">
        <v>1113</v>
      </c>
      <c r="C88" s="30" t="s">
        <v>38</v>
      </c>
      <c r="D88" s="30" t="s">
        <v>38</v>
      </c>
      <c r="E88" s="48" t="s">
        <v>1416</v>
      </c>
      <c r="F88" s="118"/>
      <c r="G88" s="66"/>
      <c r="H88" s="88">
        <v>10000.0</v>
      </c>
      <c r="I88" s="88">
        <f t="shared" si="1"/>
        <v>11900</v>
      </c>
      <c r="J88" s="30">
        <v>585.0</v>
      </c>
      <c r="K88" s="97">
        <v>92969.0</v>
      </c>
      <c r="L88" s="66"/>
      <c r="M88" s="26" t="s">
        <v>511</v>
      </c>
      <c r="N88" s="26" t="s">
        <v>512</v>
      </c>
      <c r="O88" s="28" t="s">
        <v>1114</v>
      </c>
      <c r="P88" s="28" t="s">
        <v>1115</v>
      </c>
      <c r="Q88" s="120" t="s">
        <v>1559</v>
      </c>
      <c r="R88" s="29"/>
      <c r="S88" s="29">
        <v>23800.0</v>
      </c>
      <c r="T88" s="29">
        <v>0.0</v>
      </c>
      <c r="U88" s="29">
        <v>0.0</v>
      </c>
      <c r="V88" s="30" t="s">
        <v>810</v>
      </c>
      <c r="W88" s="30" t="s">
        <v>1411</v>
      </c>
      <c r="X88" s="127"/>
      <c r="Y88" s="48" t="s">
        <v>50</v>
      </c>
      <c r="Z88" s="28" t="s">
        <v>1116</v>
      </c>
      <c r="AA88" s="28" t="s">
        <v>512</v>
      </c>
      <c r="AB88" s="106"/>
      <c r="AC88" s="66"/>
      <c r="AD88" s="66"/>
      <c r="AE88" s="81"/>
      <c r="AF88" s="121" t="str">
        <f>IFERROR(__xludf.DUMMYFUNCTION("HYPERLINK(
""https://wa.me/""&amp;REGEXREPLACE(Q88,""[^0-9]"","""")&amp;
""?text=""&amp;
ENCODEURL(
""Buenas tardes *""&amp;B88&amp;""*.
Te recordamos que tu plan """"""&amp;E88&amp;"""""" no incluye la declaración de renta. Te enviamos varios correos informando sobre este proceso."&amp;" Esta semana vencen las primeras declaraciones juradas, lo que generará multas
Valor: *$""&amp;AG88&amp;""* + IVA = *$""&amp;AH88&amp;""*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88" s="123">
        <v>78125.0</v>
      </c>
      <c r="AH88" s="123">
        <f t="shared" ref="AH88:AH92" si="9">AG88*1.19</f>
        <v>92968.75</v>
      </c>
      <c r="AI88" s="81"/>
      <c r="AJ88" s="81"/>
      <c r="AK88" s="81"/>
    </row>
    <row r="89" hidden="1">
      <c r="A89" s="126" t="s">
        <v>1542</v>
      </c>
      <c r="B89" s="25" t="s">
        <v>1117</v>
      </c>
      <c r="C89" s="30" t="s">
        <v>38</v>
      </c>
      <c r="D89" s="30" t="s">
        <v>38</v>
      </c>
      <c r="E89" s="48" t="s">
        <v>1372</v>
      </c>
      <c r="F89" s="135">
        <v>2.0</v>
      </c>
      <c r="G89" s="28">
        <v>16.0</v>
      </c>
      <c r="H89" s="88">
        <f>(60500+14*5000)</f>
        <v>130500</v>
      </c>
      <c r="I89" s="88">
        <f t="shared" si="1"/>
        <v>155295</v>
      </c>
      <c r="J89" s="30">
        <v>586.0</v>
      </c>
      <c r="K89" s="97">
        <v>119000.0</v>
      </c>
      <c r="L89" s="28"/>
      <c r="M89" s="26" t="s">
        <v>411</v>
      </c>
      <c r="N89" s="26" t="s">
        <v>412</v>
      </c>
      <c r="O89" s="25" t="s">
        <v>1118</v>
      </c>
      <c r="P89" s="28" t="s">
        <v>1119</v>
      </c>
      <c r="Q89" s="30" t="s">
        <v>1560</v>
      </c>
      <c r="R89" s="158">
        <v>46091.0</v>
      </c>
      <c r="S89" s="47">
        <v>8512679.0</v>
      </c>
      <c r="T89" s="47">
        <v>0.0</v>
      </c>
      <c r="U89" s="47">
        <v>0.0</v>
      </c>
      <c r="V89" s="30" t="s">
        <v>810</v>
      </c>
      <c r="W89" s="30" t="s">
        <v>1411</v>
      </c>
      <c r="X89" s="127"/>
      <c r="Y89" s="48" t="s">
        <v>50</v>
      </c>
      <c r="Z89" s="28" t="s">
        <v>1121</v>
      </c>
      <c r="AA89" s="28" t="s">
        <v>1120</v>
      </c>
      <c r="AB89" s="106"/>
      <c r="AC89" s="66"/>
      <c r="AD89" s="66"/>
      <c r="AE89" s="81"/>
      <c r="AF89" s="121" t="str">
        <f>IFERROR(__xludf.DUMMYFUNCTION("HYPERLINK(
""https://wa.me/""&amp;REGEXREPLACE(Q89,""[^0-9]"","""")&amp;
""?text=""&amp;
ENCODEURL(
""Hola *""&amp;B89&amp;""*.
Te recordamos que la factura Nº *""&amp;J89&amp;""* por el plan """"""&amp;E89&amp;"""""" se encuentra disponible para pago y vence hoy.
Monto: *$""&amp;I89&amp;""*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89" s="81"/>
      <c r="AH89" s="81">
        <f t="shared" si="9"/>
        <v>0</v>
      </c>
      <c r="AI89" s="81"/>
      <c r="AJ89" s="81"/>
      <c r="AK89" s="81"/>
    </row>
    <row r="90" hidden="1">
      <c r="A90" s="126" t="s">
        <v>1542</v>
      </c>
      <c r="B90" s="64" t="s">
        <v>1122</v>
      </c>
      <c r="C90" s="30" t="s">
        <v>38</v>
      </c>
      <c r="D90" s="30" t="s">
        <v>38</v>
      </c>
      <c r="E90" s="48" t="s">
        <v>1372</v>
      </c>
      <c r="F90" s="118"/>
      <c r="G90" s="28">
        <v>1.0</v>
      </c>
      <c r="H90" s="124">
        <v>50000.0</v>
      </c>
      <c r="I90" s="88">
        <f t="shared" si="1"/>
        <v>59500</v>
      </c>
      <c r="J90" s="30">
        <v>587.0</v>
      </c>
      <c r="K90" s="88">
        <v>119000.0</v>
      </c>
      <c r="L90" s="66"/>
      <c r="M90" s="26" t="s">
        <v>1123</v>
      </c>
      <c r="N90" s="26" t="s">
        <v>119</v>
      </c>
      <c r="O90" s="25" t="s">
        <v>123</v>
      </c>
      <c r="P90" s="28" t="s">
        <v>1124</v>
      </c>
      <c r="Q90" s="28" t="s">
        <v>1561</v>
      </c>
      <c r="R90" s="29"/>
      <c r="S90" s="29">
        <v>3855012.0</v>
      </c>
      <c r="T90" s="29">
        <v>1.7134413E7</v>
      </c>
      <c r="U90" s="29">
        <v>21424.0</v>
      </c>
      <c r="V90" s="30" t="s">
        <v>810</v>
      </c>
      <c r="W90" s="30" t="s">
        <v>1411</v>
      </c>
      <c r="X90" s="132">
        <v>46088.0</v>
      </c>
      <c r="Y90" s="48" t="s">
        <v>50</v>
      </c>
      <c r="Z90" s="28" t="s">
        <v>1126</v>
      </c>
      <c r="AA90" s="28" t="s">
        <v>1125</v>
      </c>
      <c r="AB90" s="106"/>
      <c r="AC90" s="66"/>
      <c r="AD90" s="66"/>
      <c r="AE90" s="81"/>
      <c r="AF90" s="121" t="str">
        <f>IFERROR(__xludf.DUMMYFUNCTION("HYPERLINK(
""https://wa.me/""&amp;REGEXREPLACE(Q90,""[^0-9]"","""")&amp;
""?text=""&amp;
ENCODEURL(
""Hola *""&amp;B90&amp;""*.
Te recordamos que la factura Nº *""&amp;J90&amp;""* por el plan """"""&amp;E90&amp;"""""" se encuentra disponible para pago y vence hoy.
Monto: *$""&amp;I90&amp;""*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90" s="81"/>
      <c r="AH90" s="81">
        <f t="shared" si="9"/>
        <v>0</v>
      </c>
      <c r="AI90" s="81"/>
      <c r="AJ90" s="81"/>
      <c r="AK90" s="81"/>
    </row>
    <row r="91" hidden="1">
      <c r="A91" s="126" t="s">
        <v>1542</v>
      </c>
      <c r="B91" s="25" t="s">
        <v>1127</v>
      </c>
      <c r="C91" s="30" t="s">
        <v>38</v>
      </c>
      <c r="D91" s="30" t="s">
        <v>38</v>
      </c>
      <c r="E91" s="48" t="s">
        <v>1362</v>
      </c>
      <c r="F91" s="118"/>
      <c r="G91" s="66"/>
      <c r="H91" s="88">
        <v>30000.0</v>
      </c>
      <c r="I91" s="88">
        <f t="shared" si="1"/>
        <v>35700</v>
      </c>
      <c r="J91" s="30">
        <v>588.0</v>
      </c>
      <c r="K91" s="104"/>
      <c r="L91" s="66"/>
      <c r="M91" s="26" t="s">
        <v>642</v>
      </c>
      <c r="N91" s="26" t="s">
        <v>643</v>
      </c>
      <c r="O91" s="28" t="s">
        <v>1128</v>
      </c>
      <c r="P91" s="28" t="s">
        <v>1129</v>
      </c>
      <c r="Q91" s="28" t="s">
        <v>1562</v>
      </c>
      <c r="R91" s="29"/>
      <c r="S91" s="29">
        <v>4523670.0</v>
      </c>
      <c r="T91" s="29">
        <v>4980800.0</v>
      </c>
      <c r="U91" s="29">
        <v>5232.0</v>
      </c>
      <c r="V91" s="30" t="s">
        <v>810</v>
      </c>
      <c r="W91" s="30" t="s">
        <v>1411</v>
      </c>
      <c r="X91" s="66"/>
      <c r="Y91" s="48" t="s">
        <v>50</v>
      </c>
      <c r="Z91" s="28" t="s">
        <v>1131</v>
      </c>
      <c r="AA91" s="28" t="s">
        <v>1130</v>
      </c>
      <c r="AB91" s="106"/>
      <c r="AC91" s="66"/>
      <c r="AD91" s="66"/>
      <c r="AE91" s="81"/>
      <c r="AF91" s="121" t="str">
        <f>IFERROR(__xludf.DUMMYFUNCTION("HYPERLINK(
""https://wa.me/""&amp;REGEXREPLACE(Q91,""[^0-9]"","""")&amp;
""?text=""&amp;
ENCODEURL(
""Buenas tardes *""&amp;B91&amp;""*.
Te recordamos que la factura """"""&amp;J91&amp;"""""" de tu plan """"""&amp;E91&amp;"""""" se encuentre impaga a la fecha, lo que implica que tu servici"&amp;"o se encuentra suspendido. Para reactivar el servicio y que hagamos la declaración mensual debes realizar el pago lo antes posible.
Valor: *$""&amp;H91&amp;""* + IVA = *$""&amp;I91&amp;""*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91" s="81"/>
      <c r="AH91" s="81">
        <f t="shared" si="9"/>
        <v>0</v>
      </c>
      <c r="AI91" s="81"/>
      <c r="AJ91" s="81"/>
      <c r="AK91" s="81"/>
    </row>
    <row r="92" hidden="1">
      <c r="A92" s="79" t="s">
        <v>1542</v>
      </c>
      <c r="B92" s="25" t="s">
        <v>1132</v>
      </c>
      <c r="C92" s="30" t="s">
        <v>38</v>
      </c>
      <c r="D92" s="30" t="s">
        <v>38</v>
      </c>
      <c r="E92" s="28" t="s">
        <v>1416</v>
      </c>
      <c r="F92" s="118"/>
      <c r="G92" s="66"/>
      <c r="H92" s="88">
        <v>10000.0</v>
      </c>
      <c r="I92" s="88">
        <f t="shared" si="1"/>
        <v>11900</v>
      </c>
      <c r="J92" s="30">
        <v>589.0</v>
      </c>
      <c r="K92" s="104"/>
      <c r="L92" s="66"/>
      <c r="M92" s="26" t="s">
        <v>619</v>
      </c>
      <c r="N92" s="26" t="s">
        <v>1133</v>
      </c>
      <c r="O92" s="52" t="s">
        <v>1688</v>
      </c>
      <c r="P92" s="28" t="s">
        <v>1135</v>
      </c>
      <c r="Q92" s="120" t="s">
        <v>1564</v>
      </c>
      <c r="R92" s="29">
        <v>0.0</v>
      </c>
      <c r="S92" s="29">
        <v>0.0</v>
      </c>
      <c r="T92" s="29">
        <v>0.0</v>
      </c>
      <c r="U92" s="29">
        <v>0.0</v>
      </c>
      <c r="V92" s="30" t="s">
        <v>810</v>
      </c>
      <c r="W92" s="30" t="s">
        <v>1411</v>
      </c>
      <c r="X92" s="130"/>
      <c r="Y92" s="28" t="s">
        <v>50</v>
      </c>
      <c r="Z92" s="28" t="s">
        <v>1137</v>
      </c>
      <c r="AA92" s="28" t="s">
        <v>1136</v>
      </c>
      <c r="AB92" s="66"/>
      <c r="AC92" s="66"/>
      <c r="AD92" s="66"/>
      <c r="AE92" s="81"/>
      <c r="AF92" s="121" t="str">
        <f>IFERROR(__xludf.DUMMYFUNCTION("HYPERLINK(
""https://wa.me/""&amp;REGEXREPLACE(Q92,""[^0-9]"","""")&amp;
""?text=""&amp;
ENCODEURL(
""Buenas tardes *""&amp;B92&amp;""*.
Te recordamos que tu plan """"""&amp;E92&amp;"""""" no incluye la declaración de renta. Te enviamos varios correos informando sobre este proceso."&amp;" Esta semana vencen las primeras declaraciones juradas, lo que generará multas
Valor: *$""&amp;AG92&amp;""* + IVA = *$""&amp;AH92&amp;""*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92" s="123">
        <f>78125+100000</f>
        <v>178125</v>
      </c>
      <c r="AH92" s="123">
        <f t="shared" si="9"/>
        <v>211968.75</v>
      </c>
      <c r="AI92" s="81"/>
      <c r="AJ92" s="81"/>
      <c r="AK92" s="81"/>
    </row>
    <row r="93" hidden="1">
      <c r="A93" s="126" t="s">
        <v>1542</v>
      </c>
      <c r="B93" s="25" t="s">
        <v>1689</v>
      </c>
      <c r="C93" s="28" t="s">
        <v>50</v>
      </c>
      <c r="D93" s="28"/>
      <c r="E93" s="70" t="s">
        <v>1207</v>
      </c>
      <c r="F93" s="118"/>
      <c r="G93" s="28"/>
      <c r="H93" s="88">
        <v>50000.0</v>
      </c>
      <c r="I93" s="88">
        <f t="shared" si="1"/>
        <v>59500</v>
      </c>
      <c r="J93" s="30">
        <v>590.0</v>
      </c>
      <c r="K93" s="104"/>
      <c r="L93" s="66"/>
      <c r="M93" s="26" t="s">
        <v>1690</v>
      </c>
      <c r="N93" s="196" t="s">
        <v>1691</v>
      </c>
      <c r="O93" s="28" t="s">
        <v>1692</v>
      </c>
      <c r="P93" s="28" t="s">
        <v>1693</v>
      </c>
      <c r="Q93" s="120" t="s">
        <v>1694</v>
      </c>
      <c r="R93" s="29"/>
      <c r="S93" s="29"/>
      <c r="T93" s="29"/>
      <c r="U93" s="29" t="s">
        <v>64</v>
      </c>
      <c r="V93" s="30" t="s">
        <v>811</v>
      </c>
      <c r="W93" s="30" t="s">
        <v>1207</v>
      </c>
      <c r="X93" s="134"/>
      <c r="Y93" s="48" t="s">
        <v>50</v>
      </c>
      <c r="Z93" s="28" t="s">
        <v>1695</v>
      </c>
      <c r="AA93" s="28" t="s">
        <v>1696</v>
      </c>
      <c r="AB93" s="106"/>
      <c r="AC93" s="66"/>
      <c r="AD93" s="66"/>
      <c r="AE93" s="81"/>
      <c r="AF93" s="121" t="str">
        <f>IFERROR(__xludf.DUMMYFUNCTION("HYPERLINK(
""https://wa.me/""&amp;REGEXREPLACE(Q93,""[^0-9]"","""")&amp;
""?text=""&amp;
ENCODEURL(
""Buenas tardes *""&amp;B93&amp;""*.
Te recordamos que tu plan *""""""&amp;E93&amp;""""""* *no incluye* la declaración de renta. Te enviamos varios correos informando sobre este proc"&amp;"eso. Esta semana vencen las primeras declaraciones juradas, lo que generará multas
Valor: *$""&amp;AG93&amp;""* + IVA = *$""&amp;AH93&amp;""*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93" s="123">
        <v>156250.0</v>
      </c>
      <c r="AH93" s="123">
        <v>185937.5</v>
      </c>
      <c r="AI93" s="123"/>
      <c r="AJ93" s="123"/>
      <c r="AK93" s="123"/>
    </row>
    <row r="94" hidden="1">
      <c r="A94" s="126" t="s">
        <v>1542</v>
      </c>
      <c r="B94" s="25" t="s">
        <v>1138</v>
      </c>
      <c r="C94" s="30" t="s">
        <v>38</v>
      </c>
      <c r="D94" s="30" t="s">
        <v>38</v>
      </c>
      <c r="E94" s="70" t="s">
        <v>1413</v>
      </c>
      <c r="F94" s="118"/>
      <c r="G94" s="28" t="s">
        <v>1565</v>
      </c>
      <c r="H94" s="124">
        <v>0.0</v>
      </c>
      <c r="I94" s="88">
        <f t="shared" si="1"/>
        <v>0</v>
      </c>
      <c r="J94" s="30" t="s">
        <v>1566</v>
      </c>
      <c r="K94" s="104"/>
      <c r="L94" s="30" t="s">
        <v>1567</v>
      </c>
      <c r="M94" s="26">
        <v>7.81483168E8</v>
      </c>
      <c r="N94" s="26" t="s">
        <v>654</v>
      </c>
      <c r="O94" s="65" t="s">
        <v>1143</v>
      </c>
      <c r="P94" s="28" t="s">
        <v>1140</v>
      </c>
      <c r="Q94" s="30" t="s">
        <v>1568</v>
      </c>
      <c r="R94" s="29"/>
      <c r="S94" s="29">
        <f>673173-50000</f>
        <v>623173</v>
      </c>
      <c r="T94" s="29">
        <v>650808.0</v>
      </c>
      <c r="U94" s="29">
        <v>814.0</v>
      </c>
      <c r="V94" s="30" t="s">
        <v>810</v>
      </c>
      <c r="W94" s="30" t="s">
        <v>1411</v>
      </c>
      <c r="X94" s="125"/>
      <c r="Y94" s="48" t="s">
        <v>50</v>
      </c>
      <c r="Z94" s="28" t="s">
        <v>1142</v>
      </c>
      <c r="AA94" s="28" t="s">
        <v>1141</v>
      </c>
      <c r="AB94" s="106"/>
      <c r="AC94" s="66"/>
      <c r="AD94" s="66"/>
      <c r="AE94" s="81"/>
      <c r="AF94" s="121" t="str">
        <f>IFERROR(__xludf.DUMMYFUNCTION("HYPERLINK(
""https://wa.me/""&amp;REGEXREPLACE(Q94,""[^0-9]"","""")&amp;
""?text=""&amp;
ENCODEURL(
""Hola *""&amp;B94&amp;""*.
Te recordamos que la factura Nº *""&amp;J94&amp;""* por el plan """"""&amp;E94&amp;"""""" se encuentra disponible para pago y vence hoy.
Monto: *$""&amp;I94&amp;""*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94" s="81"/>
      <c r="AH94" s="81">
        <f t="shared" ref="AH94:AH97" si="10">AG94*1.19</f>
        <v>0</v>
      </c>
      <c r="AI94" s="81"/>
      <c r="AJ94" s="81"/>
      <c r="AK94" s="81"/>
    </row>
    <row r="95" hidden="1">
      <c r="A95" s="126" t="s">
        <v>1542</v>
      </c>
      <c r="B95" s="25" t="s">
        <v>645</v>
      </c>
      <c r="C95" s="30" t="s">
        <v>38</v>
      </c>
      <c r="D95" s="30" t="s">
        <v>38</v>
      </c>
      <c r="E95" s="48" t="s">
        <v>1413</v>
      </c>
      <c r="F95" s="118"/>
      <c r="G95" s="28">
        <v>2.0</v>
      </c>
      <c r="H95" s="124">
        <v>150000.0</v>
      </c>
      <c r="I95" s="88">
        <f t="shared" si="1"/>
        <v>178500</v>
      </c>
      <c r="J95" s="30">
        <v>625.0</v>
      </c>
      <c r="K95" s="104"/>
      <c r="L95" s="66"/>
      <c r="M95" s="26" t="s">
        <v>646</v>
      </c>
      <c r="N95" s="26" t="s">
        <v>647</v>
      </c>
      <c r="O95" s="28" t="s">
        <v>1143</v>
      </c>
      <c r="P95" s="28" t="s">
        <v>1140</v>
      </c>
      <c r="Q95" s="30" t="s">
        <v>1568</v>
      </c>
      <c r="R95" s="29">
        <v>830361.0</v>
      </c>
      <c r="S95" s="29">
        <f>3979676-251259</f>
        <v>3728417</v>
      </c>
      <c r="T95" s="29">
        <v>930992.0</v>
      </c>
      <c r="U95" s="29">
        <v>831525.0</v>
      </c>
      <c r="V95" s="30" t="s">
        <v>810</v>
      </c>
      <c r="W95" s="30" t="s">
        <v>1411</v>
      </c>
      <c r="X95" s="132">
        <v>46094.0</v>
      </c>
      <c r="Y95" s="48" t="s">
        <v>38</v>
      </c>
      <c r="Z95" s="66"/>
      <c r="AA95" s="66"/>
      <c r="AB95" s="48" t="s">
        <v>811</v>
      </c>
      <c r="AC95" s="66"/>
      <c r="AD95" s="137"/>
      <c r="AE95" s="81"/>
      <c r="AF95" s="121" t="str">
        <f>IFERROR(__xludf.DUMMYFUNCTION("HYPERLINK(
""https://wa.me/""&amp;REGEXREPLACE(Q95,""[^0-9]"","""")&amp;
""?text=""&amp;
ENCODEURL(
""Hola *""&amp;B95&amp;""*.
Te recordamos que la factura Nº *""&amp;J95&amp;""* por el plan """"""&amp;E95&amp;"""""" se encuentra disponible para pago y vence hoy.
Monto: *$""&amp;I95&amp;""*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95" s="81"/>
      <c r="AH95" s="81">
        <f t="shared" si="10"/>
        <v>0</v>
      </c>
      <c r="AI95" s="81"/>
      <c r="AJ95" s="81"/>
      <c r="AK95" s="81"/>
    </row>
    <row r="96" hidden="1">
      <c r="A96" s="126" t="s">
        <v>1542</v>
      </c>
      <c r="B96" s="25" t="s">
        <v>575</v>
      </c>
      <c r="C96" s="30" t="s">
        <v>38</v>
      </c>
      <c r="D96" s="30" t="s">
        <v>38</v>
      </c>
      <c r="E96" s="48" t="s">
        <v>1362</v>
      </c>
      <c r="F96" s="118"/>
      <c r="G96" s="66"/>
      <c r="H96" s="124">
        <v>30000.0</v>
      </c>
      <c r="I96" s="88">
        <f t="shared" si="1"/>
        <v>35700</v>
      </c>
      <c r="J96" s="30">
        <v>592.0</v>
      </c>
      <c r="K96" s="97">
        <v>69727.0</v>
      </c>
      <c r="L96" s="66"/>
      <c r="M96" s="26" t="s">
        <v>576</v>
      </c>
      <c r="N96" s="26" t="s">
        <v>577</v>
      </c>
      <c r="O96" s="28" t="s">
        <v>1144</v>
      </c>
      <c r="P96" s="28" t="s">
        <v>1145</v>
      </c>
      <c r="Q96" s="143" t="s">
        <v>1569</v>
      </c>
      <c r="R96" s="29"/>
      <c r="S96" s="29">
        <v>668684.0</v>
      </c>
      <c r="T96" s="29">
        <v>185000.0</v>
      </c>
      <c r="U96" s="29">
        <v>231.0</v>
      </c>
      <c r="V96" s="30" t="s">
        <v>810</v>
      </c>
      <c r="W96" s="70" t="s">
        <v>1411</v>
      </c>
      <c r="X96" s="141">
        <v>46083.0</v>
      </c>
      <c r="Y96" s="48" t="s">
        <v>50</v>
      </c>
      <c r="Z96" s="28" t="s">
        <v>1147</v>
      </c>
      <c r="AA96" s="28" t="s">
        <v>1146</v>
      </c>
      <c r="AB96" s="106"/>
      <c r="AC96" s="66"/>
      <c r="AD96" s="66"/>
      <c r="AE96" s="81"/>
      <c r="AF96" s="121" t="str">
        <f>IFERROR(__xludf.DUMMYFUNCTION("HYPERLINK(
""https://wa.me/""&amp;REGEXREPLACE(Q96,""[^0-9]"","""")&amp;
""?text=""&amp;
ENCODEURL(
""Buenas tardes *""&amp;B96&amp;""*.
Te recordamos que tu plan """"""&amp;E96&amp;"""""" no incluye la declaración de renta. Te enviamos varios correos informando sobre este proceso."&amp;" Esta semana vencen las primeras declaraciones juradas, lo que generará multas
Valor: *$""&amp;AG96&amp;""* + IVA = *$""&amp;AH96&amp;""*
Podemos darte la opción de pagar en 2 cuotas
El pago puedes hacerlo vía transferencia en la siguiente cuenta:
*CUENTA BANCARIA*
VO"&amp;"LLAIRE &amp; OLIVOS SIMPLE PYME LTDA
Banco BCI
Cuenta corriente
RUT 78.306.207-0
Número de cuenta: 70809538
MATIAS.OLIVOS@VSVCONSULTORES.COM
También puedes pagar con tarjeta de débito o crédito en el siguiente link:
https://www.flow.cl/btn.php?token=xe78c9ac"&amp;"b73c3eff5e917d5c932a4a2f7f971abe
Simple Pyme""
),
""Enviar WhatsApp""
)"),"Enviar WhatsApp")</f>
        <v>Enviar WhatsApp</v>
      </c>
      <c r="AG96" s="122">
        <v>117188.0</v>
      </c>
      <c r="AH96" s="123">
        <f t="shared" si="10"/>
        <v>139453.72</v>
      </c>
      <c r="AI96" s="81"/>
      <c r="AJ96" s="81"/>
      <c r="AK96" s="81"/>
    </row>
    <row r="97" hidden="1">
      <c r="A97" s="126" t="s">
        <v>1542</v>
      </c>
      <c r="B97" s="25" t="s">
        <v>146</v>
      </c>
      <c r="C97" s="30" t="s">
        <v>38</v>
      </c>
      <c r="D97" s="30" t="s">
        <v>38</v>
      </c>
      <c r="E97" s="48" t="s">
        <v>1362</v>
      </c>
      <c r="F97" s="118"/>
      <c r="G97" s="66"/>
      <c r="H97" s="88">
        <v>30000.0</v>
      </c>
      <c r="I97" s="88">
        <f t="shared" si="1"/>
        <v>35700</v>
      </c>
      <c r="J97" s="30">
        <v>593.0</v>
      </c>
      <c r="K97" s="97">
        <v>95200.0</v>
      </c>
      <c r="L97" s="66"/>
      <c r="M97" s="67" t="s">
        <v>147</v>
      </c>
      <c r="N97" s="26" t="s">
        <v>148</v>
      </c>
      <c r="O97" s="28" t="s">
        <v>1148</v>
      </c>
      <c r="P97" s="28" t="s">
        <v>1149</v>
      </c>
      <c r="Q97" s="30" t="s">
        <v>1570</v>
      </c>
      <c r="R97" s="29"/>
      <c r="S97" s="29">
        <f>3463235-71076</f>
        <v>3392159</v>
      </c>
      <c r="T97" s="29">
        <v>6015495.0</v>
      </c>
      <c r="U97" s="29">
        <v>505951.0</v>
      </c>
      <c r="V97" s="30" t="s">
        <v>810</v>
      </c>
      <c r="W97" s="70" t="s">
        <v>1411</v>
      </c>
      <c r="X97" s="127"/>
      <c r="Y97" s="48" t="s">
        <v>50</v>
      </c>
      <c r="Z97" s="28" t="s">
        <v>1151</v>
      </c>
      <c r="AA97" s="28" t="s">
        <v>1150</v>
      </c>
      <c r="AB97" s="106"/>
      <c r="AC97" s="66"/>
      <c r="AD97" s="66"/>
      <c r="AE97" s="81"/>
      <c r="AF97" s="121" t="str">
        <f>IFERROR(__xludf.DUMMYFUNCTION("HYPERLINK(
""https://wa.me/""&amp;REGEXREPLACE(Q97,""[^0-9]"","""")&amp;
""?text=""&amp;
ENCODEURL(
""Buenas tardes *""&amp;B97&amp;""*.
Te recordamos que la factura """"""&amp;J97&amp;"""""" de tu plan """"""&amp;E97&amp;"""""" se encuentre impaga a la fecha, lo que implica que tu servici"&amp;"o se encuentra suspendido. Para reactivar el servicio y que hagamos la declaración mensual debes realizar el pago lo antes posible.
Valor: *$""&amp;H97&amp;""* + IVA = *$""&amp;I97&amp;""*
*CUENTA BANCARIA*
VOLLAIRE &amp; OLIVOS SIMPLE PYME LTDA
Banco BCI
Cuenta corriente
R"&amp;"UT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  <c r="AG97" s="81"/>
      <c r="AH97" s="81">
        <f t="shared" si="10"/>
        <v>0</v>
      </c>
      <c r="AI97" s="81"/>
      <c r="AJ97" s="81"/>
      <c r="AK97" s="81"/>
    </row>
    <row r="98" hidden="1">
      <c r="A98" s="126" t="s">
        <v>1542</v>
      </c>
      <c r="B98" s="25" t="s">
        <v>1571</v>
      </c>
      <c r="C98" s="28" t="s">
        <v>50</v>
      </c>
      <c r="D98" s="28"/>
      <c r="E98" s="48" t="s">
        <v>1416</v>
      </c>
      <c r="F98" s="118"/>
      <c r="G98" s="66"/>
      <c r="H98" s="88">
        <v>10000.0</v>
      </c>
      <c r="I98" s="88">
        <f t="shared" si="1"/>
        <v>11900</v>
      </c>
      <c r="J98" s="30">
        <v>594.0</v>
      </c>
      <c r="K98" s="104"/>
      <c r="L98" s="28"/>
      <c r="M98" s="26" t="s">
        <v>1572</v>
      </c>
      <c r="N98" s="26" t="s">
        <v>1573</v>
      </c>
      <c r="O98" s="28" t="s">
        <v>1574</v>
      </c>
      <c r="P98" s="28" t="s">
        <v>1575</v>
      </c>
      <c r="Q98" s="28" t="s">
        <v>1576</v>
      </c>
      <c r="R98" s="47"/>
      <c r="S98" s="47"/>
      <c r="T98" s="47"/>
      <c r="U98" s="47"/>
      <c r="V98" s="30" t="s">
        <v>810</v>
      </c>
      <c r="W98" s="70" t="s">
        <v>1411</v>
      </c>
      <c r="X98" s="131">
        <v>46091.0</v>
      </c>
      <c r="Y98" s="48" t="s">
        <v>50</v>
      </c>
      <c r="Z98" s="28" t="s">
        <v>1577</v>
      </c>
      <c r="AA98" s="28" t="s">
        <v>1578</v>
      </c>
      <c r="AB98" s="106"/>
      <c r="AC98" s="66"/>
      <c r="AD98" s="66"/>
      <c r="AE98" s="81"/>
      <c r="AF98" s="121" t="str">
        <f>IFERROR(__xludf.DUMMYFUNCTION("HYPERLINK(
""https://wa.me/""&amp;REGEXREPLACE(Q98,""[^0-9]"","""")&amp;
""?text=""&amp;
ENCODEURL(
""Buenas tardes *""&amp;B98&amp;""*.
Te recordamos que tu plan *""""""&amp;E98&amp;""""""* *no incluye* la declaración de renta. Te enviamos varios correos informando sobre este proc"&amp;"eso. Esta semana vencen las primeras declaraciones juradas, lo que generará multas
Valor: *$""&amp;AG98&amp;""* + IVA = *$""&amp;AH98&amp;""*
El pago puedes hacerlo vía transferencia en la siguiente *EN HASTA DOS CUOTAS* cuenta:
*CUENTA BANCARIA*
VOLLAIRE &amp; OLIVOS SIM"&amp;"PLE PYME LTDA
Banco BCI
Cuenta corriente
RUT 78.306.207-0
Número de cuenta: 70809538
MATIAS.OLIVOS@VSVCONSULTORES.COM
También puedes pagar con tarjeta de débito o crédito en el siguiente link:
https://www.flow.cl/btn.php?token=xe78c9acb73c3eff5e917d5c932"&amp;"a4a2f7f971abe
Simple Pyme""
),
""Enviar WhatsApp""
)"),"Enviar WhatsApp")</f>
        <v>Enviar WhatsApp</v>
      </c>
      <c r="AG98" s="123">
        <v>78125.0</v>
      </c>
      <c r="AH98" s="123">
        <v>92968.75</v>
      </c>
      <c r="AI98" s="123"/>
      <c r="AJ98" s="123"/>
      <c r="AK98" s="123"/>
    </row>
    <row r="99" hidden="1">
      <c r="A99" s="126" t="s">
        <v>1542</v>
      </c>
      <c r="B99" s="25" t="s">
        <v>1152</v>
      </c>
      <c r="C99" s="30" t="s">
        <v>38</v>
      </c>
      <c r="D99" s="30" t="s">
        <v>38</v>
      </c>
      <c r="E99" s="48" t="s">
        <v>1362</v>
      </c>
      <c r="F99" s="118"/>
      <c r="G99" s="66"/>
      <c r="H99" s="88">
        <v>30000.0</v>
      </c>
      <c r="I99" s="88">
        <f t="shared" si="1"/>
        <v>35700</v>
      </c>
      <c r="J99" s="30">
        <v>595.0</v>
      </c>
      <c r="K99" s="97">
        <v>238000.0</v>
      </c>
      <c r="L99" s="66"/>
      <c r="M99" s="26" t="s">
        <v>466</v>
      </c>
      <c r="N99" s="26" t="s">
        <v>462</v>
      </c>
      <c r="O99" s="28" t="s">
        <v>459</v>
      </c>
      <c r="P99" s="66"/>
      <c r="Q99" s="120" t="s">
        <v>1579</v>
      </c>
      <c r="R99" s="29"/>
      <c r="S99" s="29"/>
      <c r="T99" s="29"/>
      <c r="U99" s="29"/>
      <c r="V99" s="30" t="s">
        <v>810</v>
      </c>
      <c r="W99" s="70" t="s">
        <v>1411</v>
      </c>
      <c r="X99" s="127">
        <v>46085.0</v>
      </c>
      <c r="Y99" s="48" t="s">
        <v>50</v>
      </c>
      <c r="Z99" s="28" t="s">
        <v>1153</v>
      </c>
      <c r="AA99" s="66"/>
      <c r="AB99" s="106"/>
      <c r="AC99" s="66"/>
      <c r="AD99" s="66"/>
      <c r="AE99" s="81"/>
      <c r="AF99" s="121" t="str">
        <f>IFERROR(__xludf.DUMMYFUNCTION("HYPERLINK(
""https://wa.me/""&amp;REGEXREPLACE(Q99,""[^0-9]"","""")&amp;
""?text=""&amp;
ENCODEURL(
""Hola *""&amp;B99&amp;""*.
Te recordamos que la factura Nº *""&amp;J99&amp;""* por el plan """"""&amp;E99&amp;"""""" se encuentra disponible para pago y vence hoy.
Monto: *$""&amp;I99&amp;""*
El "&amp;"pago puedes hacerlo vía transferencia en la siguiente cuenta:
*CUENTA BANCARIA*
VOLLAIRE &amp; OLIVOS SIMPLE PYME LTDA
Banco BCI
Cuenta corriente
RUT 78.306.207-0
Número de cuenta: 70809538
MATIAS.OLIVOS@VSVCONSULTORES.COM
También puedes pagar con tarjeta d"&amp;"e débito o crédito en el siguiente link:
https://www.flow.cl/btn.php?token=xe78c9acb73c3eff5e917d5c932a4a2f7f971abe
Agradecemos realizar el pago dentro del plazo para evitar la suspensión del servicio.
También te recordamos que tu servicio contable no i"&amp;"ncluye la Operación Renta. Te enviamos correos informando sobre este proceso. Si pagas el servicio hoy, puedo mantener el valor de febrero:
Valor neto febrero: *$""&amp;AG99&amp;""*
Valor total febrero (con IVA): *$""&amp;AH99&amp;""*
A partir de mañana el valor aument"&amp;"a un 25%, correspondiente al valor de diciembre.
Simple Pyme""
),
""Enviar WhatsApp""
)"),"Enviar WhatsApp")</f>
        <v>Enviar WhatsApp</v>
      </c>
      <c r="AG99" s="81"/>
      <c r="AH99" s="81"/>
      <c r="AI99" s="81"/>
      <c r="AJ99" s="81"/>
      <c r="AK99" s="81"/>
    </row>
    <row r="100" hidden="1">
      <c r="A100" s="126" t="s">
        <v>1542</v>
      </c>
      <c r="B100" s="25" t="s">
        <v>1154</v>
      </c>
      <c r="C100" s="30" t="s">
        <v>38</v>
      </c>
      <c r="D100" s="30" t="s">
        <v>38</v>
      </c>
      <c r="E100" s="48" t="s">
        <v>1362</v>
      </c>
      <c r="F100" s="118"/>
      <c r="G100" s="66"/>
      <c r="H100" s="88">
        <v>30000.0</v>
      </c>
      <c r="I100" s="88">
        <f t="shared" si="1"/>
        <v>35700</v>
      </c>
      <c r="J100" s="30">
        <v>597.0</v>
      </c>
      <c r="K100" s="104"/>
      <c r="L100" s="66"/>
      <c r="M100" s="26" t="s">
        <v>570</v>
      </c>
      <c r="N100" s="62" t="s">
        <v>571</v>
      </c>
      <c r="O100" s="28" t="s">
        <v>568</v>
      </c>
      <c r="P100" s="28" t="s">
        <v>1155</v>
      </c>
      <c r="Q100" s="28" t="s">
        <v>1580</v>
      </c>
      <c r="R100" s="29"/>
      <c r="S100" s="29">
        <v>1520119.0</v>
      </c>
      <c r="T100" s="29">
        <v>981324.0</v>
      </c>
      <c r="U100" s="29">
        <v>1227.0</v>
      </c>
      <c r="V100" s="30" t="s">
        <v>810</v>
      </c>
      <c r="W100" s="70" t="s">
        <v>1411</v>
      </c>
      <c r="X100" s="136"/>
      <c r="Y100" s="48" t="s">
        <v>50</v>
      </c>
      <c r="Z100" s="28" t="s">
        <v>1157</v>
      </c>
      <c r="AA100" s="28" t="s">
        <v>1156</v>
      </c>
      <c r="AB100" s="106"/>
      <c r="AC100" s="66"/>
      <c r="AD100" s="66"/>
      <c r="AE100" s="81"/>
      <c r="AF100" s="121" t="str">
        <f>IFERROR(__xludf.DUMMYFUNCTION("HYPERLINK(
""https://wa.me/""&amp;REGEXREPLACE(Q100,""[^0-9]"","""")&amp;
""?text=""&amp;
ENCODEURL(
""Buenas tardes *""&amp;B100&amp;""*.
Te recordamos que tu plan """"""&amp;E100&amp;"""""" no incluye la declaración de renta. Te enviamos varios correos informando sobre este proce"&amp;"so. Esta semana vencen las primeras declaraciones juradas, lo que generará multas
Valor: *$""&amp;AG100&amp;""* + IVA = *$""&amp;AH100&amp;""*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0" s="123">
        <v>125000.0</v>
      </c>
      <c r="AH100" s="123">
        <f>AG100*1.19</f>
        <v>148750</v>
      </c>
      <c r="AI100" s="81"/>
      <c r="AJ100" s="81"/>
      <c r="AK100" s="81"/>
    </row>
    <row r="101" hidden="1">
      <c r="A101" s="126" t="s">
        <v>1542</v>
      </c>
      <c r="B101" s="25" t="s">
        <v>1158</v>
      </c>
      <c r="C101" s="30" t="s">
        <v>38</v>
      </c>
      <c r="D101" s="30" t="s">
        <v>38</v>
      </c>
      <c r="E101" s="48" t="s">
        <v>1362</v>
      </c>
      <c r="F101" s="118"/>
      <c r="G101" s="66"/>
      <c r="H101" s="88">
        <v>30000.0</v>
      </c>
      <c r="I101" s="88">
        <f t="shared" si="1"/>
        <v>35700</v>
      </c>
      <c r="J101" s="30">
        <v>598.0</v>
      </c>
      <c r="K101" s="97">
        <v>95200.0</v>
      </c>
      <c r="L101" s="66"/>
      <c r="M101" s="26" t="s">
        <v>191</v>
      </c>
      <c r="N101" s="26" t="s">
        <v>192</v>
      </c>
      <c r="O101" s="28" t="s">
        <v>189</v>
      </c>
      <c r="P101" s="28" t="s">
        <v>1159</v>
      </c>
      <c r="Q101" s="28" t="s">
        <v>1581</v>
      </c>
      <c r="R101" s="29"/>
      <c r="S101" s="29">
        <v>155123.0</v>
      </c>
      <c r="T101" s="29">
        <v>2367900.0</v>
      </c>
      <c r="U101" s="29">
        <v>423388.0</v>
      </c>
      <c r="V101" s="30" t="s">
        <v>810</v>
      </c>
      <c r="W101" s="70" t="s">
        <v>1411</v>
      </c>
      <c r="X101" s="127">
        <v>46083.0</v>
      </c>
      <c r="Y101" s="48" t="s">
        <v>50</v>
      </c>
      <c r="Z101" s="28" t="s">
        <v>1160</v>
      </c>
      <c r="AA101" s="28" t="s">
        <v>192</v>
      </c>
      <c r="AB101" s="106"/>
      <c r="AC101" s="66"/>
      <c r="AD101" s="66"/>
      <c r="AE101" s="81"/>
      <c r="AF101" s="121" t="str">
        <f>IFERROR(__xludf.DUMMYFUNCTION("HYPERLINK(
""https://wa.me/""&amp;REGEXREPLACE(Q101,""[^0-9]"","""")&amp;
""?text=""&amp;
ENCODEURL(
""Hola *""&amp;B101&amp;""*.
Te recordamos que la factura Nº *""&amp;J101&amp;""* por el plan """"""&amp;E101&amp;"""""" se encuentra disponible para pago y vence hoy.
Monto: *$""&amp;I101&amp;""*"&amp;"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*$""&amp;AG101&amp;""*
Valor total febrero (con IVA): *$""&amp;AH101&amp;""*
A partir de mañana el valor"&amp;" aumenta un 25%, correspondiente al valor de diciembre.
Simple Pyme""
),
""Enviar WhatsApp""
)"),"Enviar WhatsApp")</f>
        <v>Enviar WhatsApp</v>
      </c>
      <c r="AG101" s="81"/>
      <c r="AH101" s="81"/>
      <c r="AI101" s="81"/>
      <c r="AJ101" s="81"/>
      <c r="AK101" s="81"/>
    </row>
    <row r="102" hidden="1">
      <c r="A102" s="126" t="s">
        <v>1542</v>
      </c>
      <c r="B102" s="25" t="s">
        <v>1161</v>
      </c>
      <c r="C102" s="30" t="s">
        <v>38</v>
      </c>
      <c r="D102" s="30" t="s">
        <v>38</v>
      </c>
      <c r="E102" s="48" t="s">
        <v>1413</v>
      </c>
      <c r="F102" s="118"/>
      <c r="G102" s="66"/>
      <c r="H102" s="88">
        <v>60504.0</v>
      </c>
      <c r="I102" s="88">
        <f t="shared" si="1"/>
        <v>71999.76</v>
      </c>
      <c r="J102" s="30">
        <v>599.0</v>
      </c>
      <c r="K102" s="88">
        <v>59500.0</v>
      </c>
      <c r="L102" s="66"/>
      <c r="M102" s="26" t="s">
        <v>196</v>
      </c>
      <c r="N102" s="26" t="s">
        <v>1162</v>
      </c>
      <c r="O102" s="28" t="s">
        <v>194</v>
      </c>
      <c r="P102" s="28" t="s">
        <v>1163</v>
      </c>
      <c r="Q102" s="120" t="s">
        <v>1582</v>
      </c>
      <c r="R102" s="29"/>
      <c r="S102" s="29">
        <v>271068.0</v>
      </c>
      <c r="T102" s="29">
        <v>1212790.0</v>
      </c>
      <c r="U102" s="29">
        <v>30892.0</v>
      </c>
      <c r="V102" s="30" t="s">
        <v>810</v>
      </c>
      <c r="W102" s="70" t="s">
        <v>1411</v>
      </c>
      <c r="X102" s="127">
        <v>46086.0</v>
      </c>
      <c r="Y102" s="48" t="s">
        <v>50</v>
      </c>
      <c r="Z102" s="28" t="s">
        <v>1165</v>
      </c>
      <c r="AA102" s="28" t="s">
        <v>1164</v>
      </c>
      <c r="AB102" s="106"/>
      <c r="AC102" s="66"/>
      <c r="AD102" s="66"/>
      <c r="AE102" s="81"/>
      <c r="AF102" s="121" t="str">
        <f>IFERROR(__xludf.DUMMYFUNCTION("HYPERLINK(
""https://wa.me/""&amp;REGEXREPLACE(Q102,""[^0-9]"","""")&amp;
""?text=""&amp;
ENCODEURL(
""Hola *""&amp;B102&amp;""*.
Te recordamos que la factura Nº *""&amp;J102&amp;""* por el plan """"""&amp;E102&amp;"""""" se encuentra disponible para pago y vence hoy.
Monto: *$""&amp;I102&amp;""*"&amp;"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02" s="81"/>
      <c r="AH102" s="81">
        <f t="shared" ref="AH102:AH105" si="11">AG102*1.19</f>
        <v>0</v>
      </c>
      <c r="AI102" s="81"/>
      <c r="AJ102" s="81"/>
      <c r="AK102" s="81"/>
    </row>
    <row r="103" hidden="1">
      <c r="A103" s="79" t="s">
        <v>1542</v>
      </c>
      <c r="B103" s="25" t="s">
        <v>1166</v>
      </c>
      <c r="C103" s="30" t="s">
        <v>38</v>
      </c>
      <c r="D103" s="30" t="s">
        <v>38</v>
      </c>
      <c r="E103" s="28" t="s">
        <v>1413</v>
      </c>
      <c r="F103" s="118"/>
      <c r="G103" s="66"/>
      <c r="H103" s="88">
        <v>60504.0</v>
      </c>
      <c r="I103" s="88">
        <f t="shared" si="1"/>
        <v>71999.76</v>
      </c>
      <c r="J103" s="30">
        <v>600.0</v>
      </c>
      <c r="K103" s="104"/>
      <c r="L103" s="66"/>
      <c r="M103" s="26" t="s">
        <v>356</v>
      </c>
      <c r="N103" s="26" t="s">
        <v>359</v>
      </c>
      <c r="O103" s="28" t="s">
        <v>1167</v>
      </c>
      <c r="P103" s="28" t="s">
        <v>1168</v>
      </c>
      <c r="Q103" s="120" t="s">
        <v>1583</v>
      </c>
      <c r="R103" s="29"/>
      <c r="S103" s="29">
        <v>1.0817513E7</v>
      </c>
      <c r="T103" s="29">
        <f>105000+12813054</f>
        <v>12918054</v>
      </c>
      <c r="U103" s="29">
        <v>415248.0</v>
      </c>
      <c r="V103" s="30" t="s">
        <v>810</v>
      </c>
      <c r="W103" s="70" t="s">
        <v>1411</v>
      </c>
      <c r="X103" s="127"/>
      <c r="Y103" s="28" t="s">
        <v>50</v>
      </c>
      <c r="Z103" s="28" t="s">
        <v>1170</v>
      </c>
      <c r="AA103" s="28" t="s">
        <v>1169</v>
      </c>
      <c r="AB103" s="66"/>
      <c r="AC103" s="66"/>
      <c r="AD103" s="66"/>
      <c r="AE103" s="81"/>
      <c r="AF103" s="121" t="str">
        <f>IFERROR(__xludf.DUMMYFUNCTION("HYPERLINK(
""https://wa.me/""&amp;REGEXREPLACE(Q103,""[^0-9]"","""")&amp;
""?text=""&amp;
ENCODEURL(
""Buenas tardes *""&amp;B103&amp;""*.
Te recordamos que la factura """"""&amp;J103&amp;"""""" de tu plan """"""&amp;E103&amp;"""""" se encuentre impaga a la fecha, lo que implica que tu ser"&amp;"vicio se encuentra suspendido. Para reactivar el servicio y que hagamos la declaración mensual debes realizar el pago lo antes posible.
Valor: *$""&amp;H103&amp;""* + IVA = *$""&amp;I103&amp;""*
*CUENTA BANCARIA*
VOLLAIRE &amp; OLIVOS SIMPLE PYME LTDA
Banco BCI
Cuenta corri"&amp;"ente
RUT 78.306.207-0
Número de cuenta: 70809538
MATIAS.OLIVOS@VSVCONSULTORES.COM
También puedes pagar con tarjeta de débito o crédito en el siguiente link:
https://www.flow.cl/btn.php?token=xe78c9acb73c3eff5e917d5c932a4a2f7f971abe
Simple Pyme""
),
""En"&amp;"viar WhatsApp""
)"),"Enviar WhatsApp")</f>
        <v>Enviar WhatsApp</v>
      </c>
      <c r="AG103" s="81"/>
      <c r="AH103" s="81">
        <f t="shared" si="11"/>
        <v>0</v>
      </c>
      <c r="AI103" s="81"/>
      <c r="AJ103" s="81"/>
      <c r="AK103" s="81"/>
    </row>
    <row r="104" hidden="1">
      <c r="A104" s="126" t="s">
        <v>1542</v>
      </c>
      <c r="B104" s="25" t="s">
        <v>1172</v>
      </c>
      <c r="C104" s="28"/>
      <c r="D104" s="66"/>
      <c r="E104" s="48" t="s">
        <v>1413</v>
      </c>
      <c r="F104" s="137"/>
      <c r="G104" s="66"/>
      <c r="H104" s="159">
        <v>60500.0</v>
      </c>
      <c r="I104" s="88">
        <f t="shared" si="1"/>
        <v>71995</v>
      </c>
      <c r="J104" s="135" t="s">
        <v>1438</v>
      </c>
      <c r="K104" s="104"/>
      <c r="L104" s="71" t="s">
        <v>1584</v>
      </c>
      <c r="M104" s="34" t="s">
        <v>1173</v>
      </c>
      <c r="N104" s="34" t="s">
        <v>1174</v>
      </c>
      <c r="O104" s="68" t="s">
        <v>1175</v>
      </c>
      <c r="P104" s="28" t="s">
        <v>1176</v>
      </c>
      <c r="Q104" s="120">
        <v>9.95993291E8</v>
      </c>
      <c r="R104" s="29"/>
      <c r="S104" s="29"/>
      <c r="T104" s="29"/>
      <c r="U104" s="29"/>
      <c r="V104" s="48" t="s">
        <v>811</v>
      </c>
      <c r="W104" s="48" t="s">
        <v>1585</v>
      </c>
      <c r="X104" s="66"/>
      <c r="Y104" s="48" t="s">
        <v>50</v>
      </c>
      <c r="Z104" s="28" t="s">
        <v>1179</v>
      </c>
      <c r="AA104" s="28" t="s">
        <v>1177</v>
      </c>
      <c r="AB104" s="106"/>
      <c r="AC104" s="66"/>
      <c r="AD104" s="66"/>
      <c r="AE104" s="81"/>
      <c r="AF104" s="81" t="str">
        <f>IFERROR(__xludf.DUMMYFUNCTION("HYPERLINK(
""https://wa.me/""&amp;REGEXREPLACE(Q104,""[^0-9]"","""")&amp;
""?text=""&amp;
ENCODEURL(
""Hola *""&amp;B104&amp;""*.
Te recordamos que la factura Nº *""&amp;J104&amp;""* por el plan """"""&amp;E104&amp;"""""" se encuentra disponible para pago y vence hoy.
Monto: *$""&amp;I104&amp;""*"&amp;"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*$""&amp;AG104&amp;""*
Valor total febrero (con IVA): *$""&amp;AH104&amp;""*
A partir de mañana el valor"&amp;" aumenta un 25%, correspondiente al valor de diciembre.
Simple Pyme""
),
""Enviar WhatsApp""
)"),"Enviar WhatsApp")</f>
        <v>Enviar WhatsApp</v>
      </c>
      <c r="AG104" s="81">
        <v>0.0</v>
      </c>
      <c r="AH104" s="81">
        <f t="shared" si="11"/>
        <v>0</v>
      </c>
      <c r="AI104" s="81"/>
      <c r="AJ104" s="81"/>
      <c r="AK104" s="81"/>
    </row>
    <row r="105" hidden="1">
      <c r="A105" s="79" t="s">
        <v>1542</v>
      </c>
      <c r="B105" s="25" t="s">
        <v>604</v>
      </c>
      <c r="C105" s="30" t="s">
        <v>38</v>
      </c>
      <c r="D105" s="30" t="s">
        <v>38</v>
      </c>
      <c r="E105" s="28" t="s">
        <v>1372</v>
      </c>
      <c r="F105" s="118"/>
      <c r="G105" s="28">
        <v>1.0</v>
      </c>
      <c r="H105" s="88">
        <v>50000.0</v>
      </c>
      <c r="I105" s="88">
        <f t="shared" si="1"/>
        <v>59500</v>
      </c>
      <c r="J105" s="30">
        <v>602.0</v>
      </c>
      <c r="K105" s="104"/>
      <c r="L105" s="66"/>
      <c r="M105" s="26" t="s">
        <v>605</v>
      </c>
      <c r="N105" s="26" t="s">
        <v>606</v>
      </c>
      <c r="O105" s="28" t="s">
        <v>603</v>
      </c>
      <c r="P105" s="28" t="s">
        <v>1180</v>
      </c>
      <c r="Q105" s="30" t="s">
        <v>1586</v>
      </c>
      <c r="R105" s="29"/>
      <c r="S105" s="29">
        <v>109076.0</v>
      </c>
      <c r="T105" s="29">
        <v>7230000.0</v>
      </c>
      <c r="U105" s="29">
        <v>1360206.0</v>
      </c>
      <c r="V105" s="30" t="s">
        <v>1672</v>
      </c>
      <c r="W105" s="70" t="s">
        <v>1411</v>
      </c>
      <c r="X105" s="128">
        <v>46091.0</v>
      </c>
      <c r="Y105" s="28" t="s">
        <v>50</v>
      </c>
      <c r="Z105" s="28" t="s">
        <v>1181</v>
      </c>
      <c r="AA105" s="66"/>
      <c r="AB105" s="66"/>
      <c r="AC105" s="66"/>
      <c r="AD105" s="66"/>
      <c r="AE105" s="81"/>
      <c r="AF105" s="121" t="str">
        <f>IFERROR(__xludf.DUMMYFUNCTION("HYPERLINK(
""https://wa.me/""&amp;REGEXREPLACE(Q105,""[^0-9]"","""")&amp;
""?text=""&amp;
ENCODEURL(
""Buenas tardes *""&amp;B105&amp;""*.
Te recordamos que tu plan """"""&amp;E105&amp;"""""" no incluye la declaración de renta. Te enviamos varios correos informando sobre este proce"&amp;"so. Esta semana vencen las primeras declaraciones juradas, lo que generará multas
Valor: *$""&amp;AG105&amp;""* + IVA = *$""&amp;AH105&amp;""*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5" s="123">
        <v>156250.0</v>
      </c>
      <c r="AH105" s="123">
        <f t="shared" si="11"/>
        <v>185937.5</v>
      </c>
      <c r="AI105" s="81"/>
      <c r="AJ105" s="81"/>
      <c r="AK105" s="81"/>
    </row>
    <row r="106" hidden="1">
      <c r="A106" s="126" t="s">
        <v>1542</v>
      </c>
      <c r="B106" s="25" t="s">
        <v>1183</v>
      </c>
      <c r="C106" s="66"/>
      <c r="D106" s="66"/>
      <c r="E106" s="48" t="s">
        <v>1380</v>
      </c>
      <c r="F106" s="137"/>
      <c r="G106" s="66"/>
      <c r="H106" s="159">
        <v>0.0</v>
      </c>
      <c r="I106" s="88">
        <f t="shared" si="1"/>
        <v>0</v>
      </c>
      <c r="J106" s="135" t="s">
        <v>1438</v>
      </c>
      <c r="K106" s="104"/>
      <c r="L106" s="66"/>
      <c r="M106" s="26" t="s">
        <v>1184</v>
      </c>
      <c r="N106" s="26" t="s">
        <v>1185</v>
      </c>
      <c r="O106" s="160" t="s">
        <v>1186</v>
      </c>
      <c r="P106" s="81"/>
      <c r="Q106" s="120" t="s">
        <v>1587</v>
      </c>
      <c r="R106" s="29"/>
      <c r="S106" s="29"/>
      <c r="T106" s="29"/>
      <c r="U106" s="29"/>
      <c r="V106" s="30" t="s">
        <v>810</v>
      </c>
      <c r="W106" s="48" t="s">
        <v>1380</v>
      </c>
      <c r="X106" s="66"/>
      <c r="Y106" s="48" t="s">
        <v>50</v>
      </c>
      <c r="Z106" s="66"/>
      <c r="AA106" s="66"/>
      <c r="AB106" s="106"/>
      <c r="AC106" s="66"/>
      <c r="AD106" s="66"/>
      <c r="AE106" s="81"/>
      <c r="AF106" s="121" t="str">
        <f>IFERROR(__xludf.DUMMYFUNCTION("HYPERLINK(
""https://wa.me/""&amp;REGEXREPLACE(Q106,""[^0-9]"","""")&amp;
""?text=""&amp;
ENCODEURL(
""Hola *""&amp;B106&amp;""*.
Te recordamos que la factura Nº *""&amp;J106&amp;""* por el plan """"""&amp;E106&amp;"""""" se encuentra disponible para pago y vence hoy.
Monto: *$""&amp;I106&amp;""*"&amp;"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*$""&amp;AG106&amp;""*
Valor total febrero (con IVA): *$""&amp;AH106&amp;""*
A partir de mañana el valor"&amp;" aumenta un 25%, correspondiente al valor de diciembre.
Simple Pyme""
),
""Enviar WhatsApp""
)"),"Enviar WhatsApp")</f>
        <v>Enviar WhatsApp</v>
      </c>
      <c r="AG106" s="81"/>
      <c r="AH106" s="81"/>
      <c r="AI106" s="81"/>
      <c r="AJ106" s="81"/>
      <c r="AK106" s="81"/>
    </row>
    <row r="107" hidden="1">
      <c r="A107" s="126" t="s">
        <v>1542</v>
      </c>
      <c r="B107" s="74" t="s">
        <v>1187</v>
      </c>
      <c r="C107" s="30" t="s">
        <v>38</v>
      </c>
      <c r="D107" s="30" t="s">
        <v>38</v>
      </c>
      <c r="E107" s="70" t="s">
        <v>1380</v>
      </c>
      <c r="F107" s="161"/>
      <c r="G107" s="162"/>
      <c r="H107" s="163">
        <v>60504.0</v>
      </c>
      <c r="I107" s="163">
        <f t="shared" si="1"/>
        <v>71999.76</v>
      </c>
      <c r="J107" s="30">
        <v>603.0</v>
      </c>
      <c r="K107" s="164">
        <v>192969.0</v>
      </c>
      <c r="L107" s="162"/>
      <c r="M107" s="75" t="s">
        <v>612</v>
      </c>
      <c r="N107" s="75" t="s">
        <v>613</v>
      </c>
      <c r="O107" s="76" t="s">
        <v>616</v>
      </c>
      <c r="P107" s="76" t="s">
        <v>1188</v>
      </c>
      <c r="Q107" s="165" t="s">
        <v>1588</v>
      </c>
      <c r="R107" s="77"/>
      <c r="S107" s="77"/>
      <c r="T107" s="77"/>
      <c r="U107" s="77"/>
      <c r="V107" s="30" t="s">
        <v>810</v>
      </c>
      <c r="W107" s="48" t="s">
        <v>1380</v>
      </c>
      <c r="X107" s="166"/>
      <c r="Y107" s="48" t="s">
        <v>50</v>
      </c>
      <c r="Z107" s="78" t="s">
        <v>1189</v>
      </c>
      <c r="AA107" s="76" t="s">
        <v>615</v>
      </c>
      <c r="AB107" s="106"/>
      <c r="AC107" s="162"/>
      <c r="AD107" s="162"/>
      <c r="AE107" s="167"/>
      <c r="AF107" s="121" t="str">
        <f>IFERROR(__xludf.DUMMYFUNCTION("HYPERLINK(
""https://wa.me/""&amp;REGEXREPLACE(Q107,""[^0-9]"","""")&amp;
""?text=""&amp;
ENCODEURL(
""Buenas tardes *""&amp;B107&amp;""*.
Te recordamos que tu plan """"""&amp;E107&amp;"""""" no incluye la declaración de renta. Te enviamos varios correos informando sobre este proce"&amp;"so. Esta semana vencen las primeras declaraciones juradas, lo que generará multas
Valor: *$""&amp;AG107&amp;""* + IVA = *$""&amp;AH107&amp;""*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07" s="123">
        <v>78125.0</v>
      </c>
      <c r="AH107" s="123">
        <f>AG107*1.19</f>
        <v>92968.75</v>
      </c>
      <c r="AI107" s="81"/>
      <c r="AJ107" s="81"/>
      <c r="AK107" s="81"/>
    </row>
    <row r="108" hidden="1">
      <c r="A108" s="79" t="s">
        <v>1542</v>
      </c>
      <c r="B108" s="79" t="s">
        <v>1589</v>
      </c>
      <c r="C108" s="28" t="s">
        <v>50</v>
      </c>
      <c r="D108" s="28"/>
      <c r="E108" s="28" t="s">
        <v>1362</v>
      </c>
      <c r="F108" s="118"/>
      <c r="G108" s="66"/>
      <c r="H108" s="124">
        <v>30000.0</v>
      </c>
      <c r="I108" s="88">
        <f t="shared" si="1"/>
        <v>35700</v>
      </c>
      <c r="J108" s="30"/>
      <c r="K108" s="104"/>
      <c r="L108" s="71"/>
      <c r="M108" s="26" t="s">
        <v>1590</v>
      </c>
      <c r="N108" s="26" t="s">
        <v>1591</v>
      </c>
      <c r="O108" s="28" t="s">
        <v>1592</v>
      </c>
      <c r="P108" s="28" t="s">
        <v>1593</v>
      </c>
      <c r="Q108" s="28" t="s">
        <v>1594</v>
      </c>
      <c r="R108" s="29"/>
      <c r="S108" s="29"/>
      <c r="T108" s="29"/>
      <c r="U108" s="29"/>
      <c r="V108" s="30" t="s">
        <v>810</v>
      </c>
      <c r="W108" s="30" t="s">
        <v>1411</v>
      </c>
      <c r="X108" s="132">
        <v>46094.0</v>
      </c>
      <c r="Y108" s="28" t="s">
        <v>50</v>
      </c>
      <c r="Z108" s="28" t="s">
        <v>1595</v>
      </c>
      <c r="AA108" s="28" t="s">
        <v>1596</v>
      </c>
      <c r="AB108" s="66"/>
      <c r="AC108" s="66"/>
      <c r="AD108" s="66"/>
      <c r="AE108" s="81"/>
      <c r="AF108" s="121" t="str">
        <f>IFERROR(__xludf.DUMMYFUNCTION("HYPERLINK(
""https://wa.me/""&amp;REGEXREPLACE(Q108,""[^0-9]"","""")&amp;
""?text=""&amp;
ENCODEURL(
""Buenas tardes *""&amp;B108&amp;""*.
Te recordamos que tu plan *""""""&amp;E108&amp;""""""* *no incluye* la declaración de renta. Te enviamos varios correos informando sobre este p"&amp;"roceso. Esta semana vencen las primeras declaraciones juradas, lo que generará multas
Valor: *$""&amp;AG108&amp;""* + IVA = *$""&amp;AH108&amp;""*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08" s="122">
        <v>125000.0</v>
      </c>
      <c r="AH108" s="123">
        <v>148750.0</v>
      </c>
      <c r="AI108" s="123"/>
      <c r="AJ108" s="123"/>
      <c r="AK108" s="123"/>
    </row>
    <row r="109" hidden="1">
      <c r="A109" s="126" t="s">
        <v>1542</v>
      </c>
      <c r="B109" s="79" t="s">
        <v>469</v>
      </c>
      <c r="C109" s="30" t="s">
        <v>38</v>
      </c>
      <c r="D109" s="30" t="s">
        <v>38</v>
      </c>
      <c r="E109" s="48" t="s">
        <v>1362</v>
      </c>
      <c r="F109" s="118"/>
      <c r="G109" s="66"/>
      <c r="H109" s="88">
        <v>30000.0</v>
      </c>
      <c r="I109" s="88">
        <f t="shared" si="1"/>
        <v>35700</v>
      </c>
      <c r="J109" s="30">
        <v>604.0</v>
      </c>
      <c r="K109" s="97">
        <v>59500.0</v>
      </c>
      <c r="L109" s="28"/>
      <c r="M109" s="26" t="s">
        <v>470</v>
      </c>
      <c r="N109" s="26" t="s">
        <v>471</v>
      </c>
      <c r="O109" s="28" t="s">
        <v>1190</v>
      </c>
      <c r="P109" s="28" t="s">
        <v>1191</v>
      </c>
      <c r="Q109" s="149" t="s">
        <v>1597</v>
      </c>
      <c r="R109" s="47"/>
      <c r="S109" s="47"/>
      <c r="T109" s="47"/>
      <c r="U109" s="47"/>
      <c r="V109" s="70" t="s">
        <v>810</v>
      </c>
      <c r="W109" s="70" t="s">
        <v>1411</v>
      </c>
      <c r="X109" s="168"/>
      <c r="Y109" s="48" t="s">
        <v>50</v>
      </c>
      <c r="Z109" s="28" t="s">
        <v>1193</v>
      </c>
      <c r="AA109" s="28" t="s">
        <v>1192</v>
      </c>
      <c r="AB109" s="106"/>
      <c r="AC109" s="66"/>
      <c r="AD109" s="66"/>
      <c r="AE109" s="81"/>
      <c r="AF109" s="121" t="str">
        <f>IFERROR(__xludf.DUMMYFUNCTION("HYPERLINK(
""https://wa.me/""&amp;REGEXREPLACE(Q109,""[^0-9]"","""")&amp;
""?text=""&amp;
ENCODEURL(
""Buenas tardes *""&amp;B109&amp;""*. *HOY SE PAGA EL IVA Y TU SERVICIO ESTÁ SUSPENDIDO*
Te recordamos que la factura """"""&amp;J109&amp;"""""" de tu plan """"""&amp;E109&amp;"""""" se enc"&amp;"uentre impaga a la fecha, lo que implica que tu servicio se encuentra suspendido. Para reactivar el servicio y que hagamos la declaración mensual debes realizar el pago lo antes posible.
Valor: *$""&amp;H109&amp;""* + IVA = *$""&amp;I109&amp;""*
*CUENTA BANCARIA*
VOLLAI"&amp;"RE &amp; OLIVOS SIMPLE PYME LTDA
Banco BCI
Cuenta corriente
RUT 78.306.207-0
Número de cuenta: 70809538
MATIAS.OLIVOS@VSVCONSULTORES.COM
También puedes pagar con tarjeta de débito o crédito en el siguiente link:
https://www.flow.cl/btn.php?token=xe78c9acb73c"&amp;"3eff5e917d5c932a4a2f7f971abe
Simple Pyme""
),
""Enviar WhatsApp""
)"),"Enviar WhatsApp")</f>
        <v>Enviar WhatsApp</v>
      </c>
      <c r="AG109" s="81"/>
      <c r="AH109" s="81">
        <f t="shared" ref="AH109:AH110" si="12">AG109*1.19</f>
        <v>0</v>
      </c>
      <c r="AI109" s="81"/>
      <c r="AJ109" s="81"/>
      <c r="AK109" s="81"/>
    </row>
    <row r="110" hidden="1">
      <c r="A110" s="126" t="s">
        <v>1542</v>
      </c>
      <c r="B110" s="25" t="s">
        <v>1194</v>
      </c>
      <c r="C110" s="30" t="s">
        <v>38</v>
      </c>
      <c r="D110" s="30" t="s">
        <v>38</v>
      </c>
      <c r="E110" s="70" t="s">
        <v>1362</v>
      </c>
      <c r="F110" s="118"/>
      <c r="G110" s="71" t="s">
        <v>1598</v>
      </c>
      <c r="H110" s="54">
        <v>30000.0</v>
      </c>
      <c r="I110" s="88">
        <f t="shared" si="1"/>
        <v>35700</v>
      </c>
      <c r="J110" s="30">
        <v>605.0</v>
      </c>
      <c r="K110" s="104"/>
      <c r="L110" s="66"/>
      <c r="M110" s="26" t="s">
        <v>1195</v>
      </c>
      <c r="N110" s="26" t="s">
        <v>546</v>
      </c>
      <c r="O110" s="28" t="s">
        <v>1196</v>
      </c>
      <c r="P110" s="28" t="s">
        <v>1197</v>
      </c>
      <c r="Q110" s="139" t="s">
        <v>1599</v>
      </c>
      <c r="R110" s="29"/>
      <c r="S110" s="29">
        <f>307778-60504</f>
        <v>247274</v>
      </c>
      <c r="T110" s="29">
        <v>79833.0</v>
      </c>
      <c r="U110" s="29">
        <v>100.0</v>
      </c>
      <c r="V110" s="30" t="s">
        <v>810</v>
      </c>
      <c r="W110" s="70" t="s">
        <v>1411</v>
      </c>
      <c r="X110" s="140">
        <v>46085.0</v>
      </c>
      <c r="Y110" s="48" t="s">
        <v>50</v>
      </c>
      <c r="Z110" s="28" t="s">
        <v>1198</v>
      </c>
      <c r="AA110" s="28" t="s">
        <v>550</v>
      </c>
      <c r="AB110" s="106"/>
      <c r="AC110" s="66"/>
      <c r="AD110" s="66"/>
      <c r="AE110" s="81"/>
      <c r="AF110" s="121" t="str">
        <f>IFERROR(__xludf.DUMMYFUNCTION("HYPERLINK(
""https://wa.me/""&amp;REGEXREPLACE(Q110,""[^0-9]"","""")&amp;
""?text=""&amp;
ENCODEURL(
""Buenas tardes *""&amp;B110&amp;""*.
Te recordamos que tu plan """"""&amp;E110&amp;"""""" no incluye la declaración de renta. Te enviamos varios correos informando sobre este proce"&amp;"so. Esta semana vencen las primeras declaraciones juradas, lo que generará multas
Valor: *$""&amp;AG110&amp;""* + IVA = *$""&amp;AH110&amp;""*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10" s="122">
        <v>78125.0</v>
      </c>
      <c r="AH110" s="123">
        <f t="shared" si="12"/>
        <v>92968.75</v>
      </c>
      <c r="AI110" s="81"/>
      <c r="AJ110" s="81"/>
      <c r="AK110" s="81"/>
    </row>
    <row r="111" hidden="1">
      <c r="A111" s="126" t="s">
        <v>1542</v>
      </c>
      <c r="B111" s="25" t="s">
        <v>1600</v>
      </c>
      <c r="C111" s="66"/>
      <c r="D111" s="66"/>
      <c r="E111" s="48" t="s">
        <v>1380</v>
      </c>
      <c r="F111" s="118"/>
      <c r="G111" s="66"/>
      <c r="H111" s="88">
        <v>0.0</v>
      </c>
      <c r="I111" s="88">
        <f t="shared" si="1"/>
        <v>0</v>
      </c>
      <c r="J111" s="135" t="s">
        <v>1438</v>
      </c>
      <c r="K111" s="104"/>
      <c r="L111" s="66"/>
      <c r="M111" s="45" t="s">
        <v>1020</v>
      </c>
      <c r="N111" s="26" t="s">
        <v>1021</v>
      </c>
      <c r="O111" s="25" t="s">
        <v>1601</v>
      </c>
      <c r="P111" s="66"/>
      <c r="Q111" s="120" t="s">
        <v>1534</v>
      </c>
      <c r="R111" s="29"/>
      <c r="S111" s="29"/>
      <c r="T111" s="29"/>
      <c r="U111" s="29"/>
      <c r="V111" s="30" t="s">
        <v>810</v>
      </c>
      <c r="W111" s="48" t="s">
        <v>1380</v>
      </c>
      <c r="X111" s="66"/>
      <c r="Y111" s="48" t="s">
        <v>50</v>
      </c>
      <c r="Z111" s="66"/>
      <c r="AA111" s="66"/>
      <c r="AB111" s="106"/>
      <c r="AC111" s="66"/>
      <c r="AD111" s="66"/>
      <c r="AE111" s="81"/>
      <c r="AF111" s="121" t="str">
        <f>IFERROR(__xludf.DUMMYFUNCTION("HYPERLINK(
""https://wa.me/""&amp;REGEXREPLACE(Q111,""[^0-9]"","""")&amp;
""?text=""&amp;
ENCODEURL(
""Hola *""&amp;B111&amp;""*.
Te recordamos que la factura Nº *""&amp;J111&amp;""* por el plan """"""&amp;E111&amp;"""""" se encuentra disponible para pago y vence hoy.
Monto: *$""&amp;I111&amp;""*"&amp;"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*$""&amp;AG111&amp;""*
Valor total febrero (con IVA): *$""&amp;AH111&amp;""*
A partir de mañana el valor"&amp;" aumenta un 25%, correspondiente al valor de diciembre.
Simple Pyme""
),
""Enviar WhatsApp""
)"),"Enviar WhatsApp")</f>
        <v>Enviar WhatsApp</v>
      </c>
      <c r="AG111" s="81"/>
      <c r="AH111" s="81"/>
      <c r="AI111" s="81"/>
      <c r="AJ111" s="81"/>
      <c r="AK111" s="81"/>
    </row>
    <row r="112" hidden="1">
      <c r="A112" s="79">
        <v>0.0</v>
      </c>
      <c r="B112" s="25" t="s">
        <v>1199</v>
      </c>
      <c r="C112" s="30" t="s">
        <v>38</v>
      </c>
      <c r="D112" s="30" t="s">
        <v>38</v>
      </c>
      <c r="E112" s="70" t="s">
        <v>1416</v>
      </c>
      <c r="F112" s="118"/>
      <c r="G112" s="66"/>
      <c r="H112" s="54">
        <v>10000.0</v>
      </c>
      <c r="I112" s="88">
        <f t="shared" si="1"/>
        <v>11900</v>
      </c>
      <c r="J112" s="30" t="s">
        <v>1438</v>
      </c>
      <c r="K112" s="104"/>
      <c r="L112" s="71" t="s">
        <v>1602</v>
      </c>
      <c r="M112" s="26" t="s">
        <v>584</v>
      </c>
      <c r="N112" s="28" t="s">
        <v>585</v>
      </c>
      <c r="O112" s="81" t="s">
        <v>582</v>
      </c>
      <c r="P112" s="28" t="s">
        <v>1200</v>
      </c>
      <c r="Q112" s="28" t="s">
        <v>1603</v>
      </c>
      <c r="R112" s="54"/>
      <c r="S112" s="54"/>
      <c r="T112" s="54"/>
      <c r="U112" s="54"/>
      <c r="V112" s="30" t="s">
        <v>810</v>
      </c>
      <c r="W112" s="70" t="s">
        <v>1411</v>
      </c>
      <c r="X112" s="136"/>
      <c r="Y112" s="48" t="s">
        <v>50</v>
      </c>
      <c r="Z112" s="28" t="s">
        <v>1201</v>
      </c>
      <c r="AA112" s="28" t="s">
        <v>585</v>
      </c>
      <c r="AB112" s="106"/>
      <c r="AC112" s="66"/>
      <c r="AD112" s="66"/>
      <c r="AE112" s="81"/>
      <c r="AF112" s="121" t="str">
        <f>IFERROR(__xludf.DUMMYFUNCTION("HYPERLINK(
""https://wa.me/""&amp;REGEXREPLACE(Q112,""[^0-9]"","""")&amp;
""?text=""&amp;
ENCODEURL(
""Buenas tardes *""&amp;B112&amp;""*.
Te recordamos que tu plan """"""&amp;E112&amp;"""""" no incluye la declaración de renta. Te enviamos varios correos informando sobre este proce"&amp;"so. Esta semana vencen las primeras declaraciones juradas, lo que generará multas
Valor: *$""&amp;AG112&amp;""* + IVA = *$""&amp;AH112&amp;""*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12" s="122">
        <v>78125.0</v>
      </c>
      <c r="AH112" s="123">
        <f>AG112*1.19</f>
        <v>92968.75</v>
      </c>
      <c r="AI112" s="81"/>
      <c r="AJ112" s="81"/>
      <c r="AK112" s="81"/>
    </row>
    <row r="113" hidden="1">
      <c r="A113" s="197" t="s">
        <v>1604</v>
      </c>
      <c r="B113" s="33" t="s">
        <v>1202</v>
      </c>
      <c r="C113" s="30" t="s">
        <v>38</v>
      </c>
      <c r="D113" s="30" t="s">
        <v>50</v>
      </c>
      <c r="E113" s="37" t="s">
        <v>1207</v>
      </c>
      <c r="F113" s="198"/>
      <c r="G113" s="35">
        <v>2.0</v>
      </c>
      <c r="H113" s="199">
        <v>110000.0</v>
      </c>
      <c r="I113" s="200">
        <v>8.0</v>
      </c>
      <c r="J113" s="37" t="s">
        <v>1376</v>
      </c>
      <c r="K113" s="201"/>
      <c r="L113" s="202" t="s">
        <v>1697</v>
      </c>
      <c r="M113" s="34" t="s">
        <v>1203</v>
      </c>
      <c r="N113" s="35" t="s">
        <v>1204</v>
      </c>
      <c r="O113" s="35" t="s">
        <v>1205</v>
      </c>
      <c r="P113" s="82" t="s">
        <v>1206</v>
      </c>
      <c r="Q113" s="203" t="s">
        <v>1698</v>
      </c>
      <c r="R113" s="36"/>
      <c r="S113" s="36"/>
      <c r="T113" s="36"/>
      <c r="U113" s="36"/>
      <c r="V113" s="37" t="s">
        <v>1207</v>
      </c>
      <c r="W113" s="37" t="s">
        <v>1207</v>
      </c>
      <c r="X113" s="204"/>
      <c r="Y113" s="35" t="s">
        <v>50</v>
      </c>
      <c r="Z113" s="84" t="s">
        <v>1208</v>
      </c>
      <c r="AA113" s="83"/>
      <c r="AB113" s="35" t="s">
        <v>1612</v>
      </c>
      <c r="AC113" s="83"/>
      <c r="AD113" s="83"/>
      <c r="AE113" s="205"/>
      <c r="AF113" s="121" t="str">
        <f>IFERROR(__xludf.DUMMYFUNCTION("HYPERLINK(
""https://wa.me/""&amp;REGEXREPLACE(Q113,""[^0-9]"","""")&amp;
""?text=""&amp;
ENCODEURL(
""Hola *""&amp;B113&amp;""*.
Te recordamos que la factura Nº *""&amp;J113&amp;""* por el plan """"""&amp;E113&amp;"""""" se encuentra disponible para pago y vence hoy.
Monto: *$""&amp;I113&amp;""*"&amp;"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*$""&amp;AG113&amp;""*
Valor total febrero (con IVA): *$""&amp;AH113&amp;""*
A partir de mañana el valor"&amp;" aumenta un 25%, correspondiente al valor de diciembre.
Simple Pyme""
),
""Enviar WhatsApp""
)"),"Enviar WhatsApp")</f>
        <v>Enviar WhatsApp</v>
      </c>
      <c r="AG113" s="205"/>
      <c r="AH113" s="205"/>
      <c r="AI113" s="205"/>
      <c r="AJ113" s="205"/>
      <c r="AK113" s="205"/>
    </row>
    <row r="114" hidden="1">
      <c r="A114" s="126" t="s">
        <v>1604</v>
      </c>
      <c r="B114" s="25" t="s">
        <v>1209</v>
      </c>
      <c r="C114" s="30" t="s">
        <v>38</v>
      </c>
      <c r="D114" s="30" t="s">
        <v>38</v>
      </c>
      <c r="E114" s="70" t="s">
        <v>1416</v>
      </c>
      <c r="F114" s="137"/>
      <c r="G114" s="66"/>
      <c r="H114" s="88">
        <v>10000.0</v>
      </c>
      <c r="I114" s="88">
        <f t="shared" ref="I114:I147" si="13">H114*1.19</f>
        <v>11900</v>
      </c>
      <c r="J114" s="30">
        <v>606.0</v>
      </c>
      <c r="K114" s="97">
        <v>71995.0</v>
      </c>
      <c r="L114" s="66"/>
      <c r="M114" s="26" t="s">
        <v>590</v>
      </c>
      <c r="N114" s="28" t="s">
        <v>1210</v>
      </c>
      <c r="O114" s="28" t="s">
        <v>1211</v>
      </c>
      <c r="P114" s="66"/>
      <c r="Q114" s="120" t="s">
        <v>1605</v>
      </c>
      <c r="R114" s="54"/>
      <c r="S114" s="54"/>
      <c r="T114" s="54"/>
      <c r="U114" s="54"/>
      <c r="V114" s="30" t="s">
        <v>810</v>
      </c>
      <c r="W114" s="70" t="s">
        <v>1411</v>
      </c>
      <c r="X114" s="128"/>
      <c r="Y114" s="48" t="s">
        <v>50</v>
      </c>
      <c r="Z114" s="71" t="s">
        <v>1606</v>
      </c>
      <c r="AA114" s="66"/>
      <c r="AB114" s="106"/>
      <c r="AC114" s="66"/>
      <c r="AD114" s="66"/>
      <c r="AE114" s="81"/>
      <c r="AF114" s="121" t="str">
        <f>IFERROR(__xludf.DUMMYFUNCTION("HYPERLINK(
""https://wa.me/""&amp;REGEXREPLACE(Q114,""[^0-9]"","""")&amp;
""?text=""&amp;
ENCODEURL(
""Buenas tardes *""&amp;B114&amp;""*.
Te recordamos que tu plan """"""&amp;E114&amp;"""""" no incluye la declaración de renta. Te enviamos varios correos informando sobre este proce"&amp;"so. Esta semana vencen las primeras declaraciones juradas, lo que generará multas
Valor: *$""&amp;AG114&amp;""* + IVA = *$""&amp;AH114&amp;""*
Podemos darte la opción de pagar en 2 cuotas
El pago puedes hacerlo vía transferencia en la siguiente cuenta:
*CUENTA BANCARI"&amp;"A*
VOLLAIRE &amp; OLIVOS SIMPLE PYME LTDA
Banco BCI
Cuenta corriente
RUT 78.306.207-0
Número de cuenta: 70809538
MATIAS.OLIVOS@VSVCONSULTORES.COM
También puedes pagar con tarjeta de débito o crédito en el siguiente link:
https://www.flow.cl/btn.php?token=xe7"&amp;"8c9acb73c3eff5e917d5c932a4a2f7f971abe
Simple Pyme""
),
""Enviar WhatsApp""
)"),"Enviar WhatsApp")</f>
        <v>Enviar WhatsApp</v>
      </c>
      <c r="AG114" s="123">
        <v>125000.0</v>
      </c>
      <c r="AH114" s="123">
        <f t="shared" ref="AH114:AH126" si="14">AG114*1.19</f>
        <v>148750</v>
      </c>
      <c r="AI114" s="81"/>
      <c r="AJ114" s="81"/>
      <c r="AK114" s="81"/>
    </row>
    <row r="115" hidden="1">
      <c r="A115" s="126" t="s">
        <v>1604</v>
      </c>
      <c r="B115" s="25" t="s">
        <v>1212</v>
      </c>
      <c r="C115" s="30" t="s">
        <v>38</v>
      </c>
      <c r="D115" s="30" t="s">
        <v>38</v>
      </c>
      <c r="E115" s="48" t="s">
        <v>1416</v>
      </c>
      <c r="F115" s="137"/>
      <c r="G115" s="66"/>
      <c r="H115" s="88">
        <v>10000.0</v>
      </c>
      <c r="I115" s="88">
        <f t="shared" si="13"/>
        <v>11900</v>
      </c>
      <c r="J115" s="30">
        <v>607.0</v>
      </c>
      <c r="K115" s="88">
        <v>119000.0</v>
      </c>
      <c r="L115" s="71" t="s">
        <v>1699</v>
      </c>
      <c r="M115" s="85" t="s">
        <v>256</v>
      </c>
      <c r="N115" s="86" t="s">
        <v>257</v>
      </c>
      <c r="O115" s="85" t="s">
        <v>260</v>
      </c>
      <c r="P115" s="87" t="s">
        <v>1213</v>
      </c>
      <c r="Q115" s="139" t="s">
        <v>1607</v>
      </c>
      <c r="R115" s="54"/>
      <c r="S115" s="54"/>
      <c r="T115" s="54"/>
      <c r="U115" s="54"/>
      <c r="V115" s="30" t="s">
        <v>810</v>
      </c>
      <c r="W115" s="70" t="s">
        <v>1411</v>
      </c>
      <c r="X115" s="141">
        <v>46086.0</v>
      </c>
      <c r="Y115" s="48" t="s">
        <v>50</v>
      </c>
      <c r="Z115" s="66"/>
      <c r="AA115" s="66"/>
      <c r="AB115" s="106"/>
      <c r="AC115" s="66"/>
      <c r="AD115" s="66"/>
      <c r="AE115" s="81"/>
      <c r="AF115" s="121" t="str">
        <f>IFERROR(__xludf.DUMMYFUNCTION("HYPERLINK(
""https://wa.me/""&amp;REGEXREPLACE(Q115,""[^0-9]"","""")&amp;
""?text=""&amp;
ENCODEURL(
""Hola *""&amp;B115&amp;""*.
Te recordamos que la factura Nº *""&amp;J115&amp;""* por el plan """"""&amp;E115&amp;"""""" se encuentra disponible para pago y vence hoy.
Monto: *$""&amp;I115&amp;""*"&amp;"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*$""&amp;AG115&amp;""*
Valor total febrero (con IVA): *$""&amp;AH115&amp;""*
A partir de mañana el valor"&amp;" aumenta un 25%, correspondiente al valor de diciembre.
Simple Pyme""
),
""Enviar WhatsApp""
)"),"Enviar WhatsApp")</f>
        <v>Enviar WhatsApp</v>
      </c>
      <c r="AG115" s="81"/>
      <c r="AH115" s="81">
        <f t="shared" si="14"/>
        <v>0</v>
      </c>
      <c r="AI115" s="81"/>
      <c r="AJ115" s="81"/>
      <c r="AK115" s="81"/>
    </row>
    <row r="116" hidden="1">
      <c r="A116" s="79" t="s">
        <v>1604</v>
      </c>
      <c r="B116" s="25" t="s">
        <v>1214</v>
      </c>
      <c r="C116" s="30" t="s">
        <v>38</v>
      </c>
      <c r="D116" s="30" t="s">
        <v>38</v>
      </c>
      <c r="E116" s="28" t="s">
        <v>1372</v>
      </c>
      <c r="F116" s="137"/>
      <c r="G116" s="30">
        <v>0.0</v>
      </c>
      <c r="H116" s="169">
        <v>50000.0</v>
      </c>
      <c r="I116" s="88">
        <f t="shared" si="13"/>
        <v>59500</v>
      </c>
      <c r="J116" s="30">
        <v>624.0</v>
      </c>
      <c r="K116" s="104"/>
      <c r="L116" s="30"/>
      <c r="M116" s="26" t="s">
        <v>300</v>
      </c>
      <c r="N116" s="28" t="s">
        <v>301</v>
      </c>
      <c r="O116" s="28" t="s">
        <v>298</v>
      </c>
      <c r="P116" s="87" t="s">
        <v>1215</v>
      </c>
      <c r="Q116" s="120" t="s">
        <v>1608</v>
      </c>
      <c r="R116" s="54"/>
      <c r="S116" s="54">
        <f>2417102-42152</f>
        <v>2374950</v>
      </c>
      <c r="T116" s="54">
        <v>6429.0</v>
      </c>
      <c r="U116" s="54">
        <v>8.0</v>
      </c>
      <c r="V116" s="30" t="s">
        <v>810</v>
      </c>
      <c r="W116" s="30" t="s">
        <v>1411</v>
      </c>
      <c r="X116" s="128">
        <v>45790.0</v>
      </c>
      <c r="Y116" s="28" t="s">
        <v>50</v>
      </c>
      <c r="Z116" s="66"/>
      <c r="AA116" s="66"/>
      <c r="AB116" s="66"/>
      <c r="AC116" s="66"/>
      <c r="AD116" s="66"/>
      <c r="AE116" s="81"/>
      <c r="AF116" s="121" t="str">
        <f>IFERROR(__xludf.DUMMYFUNCTION("HYPERLINK(
""https://wa.me/""&amp;REGEXREPLACE(Q116,""[^0-9]"","""")&amp;
""?text=""&amp;
ENCODEURL(
""Buenas tardes *""&amp;B116&amp;""*.
Te recordamos que la factura """"""&amp;J116&amp;"""""" de tu plan """"""&amp;E116&amp;"""""" se encuentre impaga a la fecha, lo que implica que tu ser"&amp;"vicio se encuentra suspendido. Para reactivar el servicio y que hagamos la declaración mensual debes realizar el pago lo antes posible.
Valor: *$""&amp;H116&amp;""* + IVA = *$""&amp;I116&amp;""*
*CUENTA BANCARIA*
VOLLAIRE &amp; OLIVOS SIMPLE PYME LTDA
Banco BCI
Cuenta corri"&amp;"ente
RUT 78.306.207-0
Número de cuenta: 70809538
MATIAS.OLIVOS@VSVCONSULTORES.COM
También puedes pagar con tarjeta de débito o crédito en el siguiente link:
https://www.flow.cl/btn.php?token=xe78c9acb73c3eff5e917d5c932a4a2f7f971abe
Simple Pyme""
),
""En"&amp;"viar WhatsApp""
)"),"Enviar WhatsApp")</f>
        <v>Enviar WhatsApp</v>
      </c>
      <c r="AG116" s="81"/>
      <c r="AH116" s="81">
        <f t="shared" si="14"/>
        <v>0</v>
      </c>
      <c r="AI116" s="81"/>
      <c r="AJ116" s="81"/>
      <c r="AK116" s="81"/>
    </row>
    <row r="117" hidden="1">
      <c r="A117" s="126" t="s">
        <v>1604</v>
      </c>
      <c r="B117" s="25" t="s">
        <v>1216</v>
      </c>
      <c r="C117" s="28"/>
      <c r="D117" s="66"/>
      <c r="E117" s="48" t="s">
        <v>1413</v>
      </c>
      <c r="F117" s="138"/>
      <c r="G117" s="81"/>
      <c r="H117" s="170">
        <v>60500.0</v>
      </c>
      <c r="I117" s="88">
        <f t="shared" si="13"/>
        <v>71995</v>
      </c>
      <c r="J117" s="135" t="s">
        <v>1438</v>
      </c>
      <c r="K117" s="171"/>
      <c r="L117" s="71" t="s">
        <v>1609</v>
      </c>
      <c r="M117" s="26" t="s">
        <v>1217</v>
      </c>
      <c r="N117" s="30" t="s">
        <v>1218</v>
      </c>
      <c r="O117" s="28" t="s">
        <v>1219</v>
      </c>
      <c r="P117" s="66"/>
      <c r="Q117" s="120" t="s">
        <v>1610</v>
      </c>
      <c r="R117" s="88"/>
      <c r="S117" s="88"/>
      <c r="T117" s="88"/>
      <c r="U117" s="88"/>
      <c r="V117" s="70" t="s">
        <v>810</v>
      </c>
      <c r="W117" s="48" t="s">
        <v>1585</v>
      </c>
      <c r="X117" s="66"/>
      <c r="Y117" s="48" t="s">
        <v>50</v>
      </c>
      <c r="Z117" s="66"/>
      <c r="AA117" s="66"/>
      <c r="AB117" s="106"/>
      <c r="AC117" s="66"/>
      <c r="AD117" s="66"/>
      <c r="AE117" s="81"/>
      <c r="AF117" s="121" t="str">
        <f>IFERROR(__xludf.DUMMYFUNCTION("HYPERLINK(
""https://wa.me/""&amp;REGEXREPLACE(Q117,""[^0-9]"","""")&amp;
""?text=""&amp;
ENCODEURL(
""Hola *""&amp;B117&amp;""*.
Te recordamos que la factura Nº *""&amp;J117&amp;""* por el plan """"""&amp;E117&amp;"""""" se encuentra disponible para pago y vence hoy.
Monto: *$""&amp;I117&amp;""*"&amp;"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*$""&amp;AG117&amp;""*
Valor total febrero (con IVA): *$""&amp;AH117&amp;""*
A partir de mañana el valor"&amp;" aumenta un 25%, correspondiente al valor de diciembre.
Simple Pyme""
),
""Enviar WhatsApp""
)"),"Enviar WhatsApp")</f>
        <v>Enviar WhatsApp</v>
      </c>
      <c r="AG117" s="81">
        <v>0.0</v>
      </c>
      <c r="AH117" s="81">
        <f t="shared" si="14"/>
        <v>0</v>
      </c>
      <c r="AI117" s="81"/>
      <c r="AJ117" s="81"/>
      <c r="AK117" s="81"/>
    </row>
    <row r="118" hidden="1">
      <c r="A118" s="126" t="s">
        <v>1604</v>
      </c>
      <c r="B118" s="25" t="s">
        <v>1220</v>
      </c>
      <c r="C118" s="30" t="s">
        <v>38</v>
      </c>
      <c r="D118" s="30" t="s">
        <v>38</v>
      </c>
      <c r="E118" s="48" t="s">
        <v>1372</v>
      </c>
      <c r="F118" s="137"/>
      <c r="G118" s="66"/>
      <c r="H118" s="159">
        <v>50000.0</v>
      </c>
      <c r="I118" s="88">
        <f t="shared" si="13"/>
        <v>59500</v>
      </c>
      <c r="J118" s="30">
        <v>608.0</v>
      </c>
      <c r="K118" s="97">
        <v>59500.0</v>
      </c>
      <c r="L118" s="66"/>
      <c r="M118" s="26" t="s">
        <v>530</v>
      </c>
      <c r="N118" s="28" t="s">
        <v>531</v>
      </c>
      <c r="O118" s="28" t="s">
        <v>528</v>
      </c>
      <c r="P118" s="87" t="s">
        <v>1221</v>
      </c>
      <c r="Q118" s="120" t="s">
        <v>1611</v>
      </c>
      <c r="R118" s="54"/>
      <c r="S118" s="54"/>
      <c r="T118" s="54"/>
      <c r="U118" s="54"/>
      <c r="V118" s="30" t="s">
        <v>810</v>
      </c>
      <c r="W118" s="70" t="s">
        <v>1411</v>
      </c>
      <c r="X118" s="127">
        <v>46090.0</v>
      </c>
      <c r="Y118" s="48" t="s">
        <v>50</v>
      </c>
      <c r="Z118" s="28" t="s">
        <v>1222</v>
      </c>
      <c r="AA118" s="71" t="s">
        <v>531</v>
      </c>
      <c r="AB118" s="48" t="s">
        <v>1612</v>
      </c>
      <c r="AC118" s="66"/>
      <c r="AD118" s="66"/>
      <c r="AE118" s="81"/>
      <c r="AF118" s="121" t="str">
        <f>IFERROR(__xludf.DUMMYFUNCTION("HYPERLINK(
""https://wa.me/""&amp;REGEXREPLACE(Q118,""[^0-9]"","""")&amp;
""?text=""&amp;
ENCODEURL(
""Hola *""&amp;B118&amp;""*.
Te recordamos que la factura Nº *""&amp;J118&amp;""* por el plan """"""&amp;E118&amp;"""""" se encuentra disponible para pago y vence hoy.
Monto: *$""&amp;I118&amp;""*"&amp;"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*$""&amp;AG118&amp;""*
Valor total febrero (con IVA): *$""&amp;AH118&amp;""*
A partir de mañana el valor"&amp;" aumenta un 25%, correspondiente al valor de diciembre.
Simple Pyme""
),
""Enviar WhatsApp""
)"),"Enviar WhatsApp")</f>
        <v>Enviar WhatsApp</v>
      </c>
      <c r="AG118" s="122">
        <v>125000.0</v>
      </c>
      <c r="AH118" s="123">
        <f t="shared" si="14"/>
        <v>148750</v>
      </c>
      <c r="AI118" s="81"/>
      <c r="AJ118" s="81"/>
      <c r="AK118" s="81"/>
    </row>
    <row r="119" hidden="1">
      <c r="A119" s="126" t="s">
        <v>1604</v>
      </c>
      <c r="B119" s="81" t="s">
        <v>1223</v>
      </c>
      <c r="C119" s="28"/>
      <c r="D119" s="66"/>
      <c r="E119" s="48" t="s">
        <v>1413</v>
      </c>
      <c r="F119" s="137"/>
      <c r="G119" s="66"/>
      <c r="H119" s="159">
        <v>60500.0</v>
      </c>
      <c r="I119" s="88">
        <f t="shared" si="13"/>
        <v>71995</v>
      </c>
      <c r="J119" s="135" t="s">
        <v>1438</v>
      </c>
      <c r="K119" s="104"/>
      <c r="L119" s="71" t="s">
        <v>1613</v>
      </c>
      <c r="M119" s="89" t="s">
        <v>1224</v>
      </c>
      <c r="N119" s="86" t="s">
        <v>1225</v>
      </c>
      <c r="O119" s="28" t="s">
        <v>1226</v>
      </c>
      <c r="P119" s="81"/>
      <c r="Q119" s="172"/>
      <c r="R119" s="54"/>
      <c r="S119" s="54"/>
      <c r="T119" s="54"/>
      <c r="U119" s="54" t="s">
        <v>64</v>
      </c>
      <c r="V119" s="48" t="s">
        <v>811</v>
      </c>
      <c r="W119" s="48" t="s">
        <v>1585</v>
      </c>
      <c r="X119" s="66"/>
      <c r="Y119" s="48" t="s">
        <v>50</v>
      </c>
      <c r="Z119" s="66"/>
      <c r="AA119" s="66"/>
      <c r="AB119" s="106"/>
      <c r="AC119" s="66"/>
      <c r="AD119" s="66"/>
      <c r="AE119" s="81"/>
      <c r="AF119" s="121" t="str">
        <f>IFERROR(__xludf.DUMMYFUNCTION("HYPERLINK(
""https://wa.me/""&amp;REGEXREPLACE(Q119,""[^0-9]"","""")&amp;
""?text=""&amp;
ENCODEURL(
""Hola *""&amp;B119&amp;""*.
Te recordamos que la factura Nº *""&amp;J119&amp;""* por el plan """"""&amp;E119&amp;"""""" se encuentra disponible para pago y vence hoy.
Monto: *$""&amp;I119&amp;""*"&amp;"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*$""&amp;AG119&amp;""*
Valor total febrero (con IVA): *$""&amp;AH119&amp;""*
A partir de mañana el valor"&amp;" aumenta un 25%, correspondiente al valor de diciembre.
Simple Pyme""
),
""Enviar WhatsApp""
)"),"Enviar WhatsApp")</f>
        <v>Enviar WhatsApp</v>
      </c>
      <c r="AG119" s="81">
        <v>0.0</v>
      </c>
      <c r="AH119" s="81">
        <f t="shared" si="14"/>
        <v>0</v>
      </c>
      <c r="AI119" s="81"/>
      <c r="AJ119" s="81"/>
      <c r="AK119" s="81"/>
    </row>
    <row r="120" hidden="1">
      <c r="A120" s="126" t="s">
        <v>1604</v>
      </c>
      <c r="B120" s="81" t="s">
        <v>1227</v>
      </c>
      <c r="C120" s="28"/>
      <c r="D120" s="66"/>
      <c r="E120" s="48" t="s">
        <v>1416</v>
      </c>
      <c r="F120" s="137"/>
      <c r="G120" s="66"/>
      <c r="H120" s="159">
        <v>30000.0</v>
      </c>
      <c r="I120" s="88">
        <f t="shared" si="13"/>
        <v>35700</v>
      </c>
      <c r="J120" s="135" t="s">
        <v>1438</v>
      </c>
      <c r="K120" s="104"/>
      <c r="L120" s="71" t="s">
        <v>1613</v>
      </c>
      <c r="M120" s="26" t="s">
        <v>1228</v>
      </c>
      <c r="N120" s="28" t="s">
        <v>1229</v>
      </c>
      <c r="O120" s="28" t="s">
        <v>1230</v>
      </c>
      <c r="P120" s="66"/>
      <c r="Q120" s="172"/>
      <c r="R120" s="88"/>
      <c r="S120" s="88"/>
      <c r="T120" s="88"/>
      <c r="U120" s="54" t="s">
        <v>1700</v>
      </c>
      <c r="V120" s="48" t="s">
        <v>811</v>
      </c>
      <c r="W120" s="48" t="s">
        <v>1585</v>
      </c>
      <c r="X120" s="66"/>
      <c r="Y120" s="48" t="s">
        <v>50</v>
      </c>
      <c r="Z120" s="66"/>
      <c r="AA120" s="66"/>
      <c r="AB120" s="106"/>
      <c r="AC120" s="66"/>
      <c r="AD120" s="66"/>
      <c r="AE120" s="81"/>
      <c r="AF120" s="121" t="str">
        <f>IFERROR(__xludf.DUMMYFUNCTION("HYPERLINK(
""https://wa.me/""&amp;REGEXREPLACE(Q120,""[^0-9]"","""")&amp;
""?text=""&amp;
ENCODEURL(
""Hola *""&amp;B120&amp;""*.
Te recordamos que la factura Nº *""&amp;J120&amp;""* por el plan """"""&amp;E120&amp;"""""" se encuentra disponible para pago y vence hoy.
Monto: *$""&amp;I120&amp;""*"&amp;"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*$""&amp;AG120&amp;""*
Valor total febrero (con IVA): *$""&amp;AH120&amp;""*
A partir de mañana el valor"&amp;" aumenta un 25%, correspondiente al valor de diciembre.
Simple Pyme""
),
""Enviar WhatsApp""
)"),"Enviar WhatsApp")</f>
        <v>Enviar WhatsApp</v>
      </c>
      <c r="AG120" s="81">
        <v>0.0</v>
      </c>
      <c r="AH120" s="81">
        <f t="shared" si="14"/>
        <v>0</v>
      </c>
      <c r="AI120" s="81"/>
      <c r="AJ120" s="81"/>
      <c r="AK120" s="81"/>
    </row>
    <row r="121" hidden="1">
      <c r="A121" s="126" t="s">
        <v>1604</v>
      </c>
      <c r="B121" s="25" t="s">
        <v>1231</v>
      </c>
      <c r="C121" s="28"/>
      <c r="D121" s="66"/>
      <c r="E121" s="48" t="s">
        <v>1362</v>
      </c>
      <c r="F121" s="137"/>
      <c r="G121" s="66"/>
      <c r="H121" s="159">
        <v>30000.0</v>
      </c>
      <c r="I121" s="88">
        <f t="shared" si="13"/>
        <v>35700</v>
      </c>
      <c r="J121" s="135" t="s">
        <v>1438</v>
      </c>
      <c r="K121" s="104"/>
      <c r="L121" s="71" t="s">
        <v>1584</v>
      </c>
      <c r="M121" s="85" t="s">
        <v>1232</v>
      </c>
      <c r="N121" s="28" t="s">
        <v>1233</v>
      </c>
      <c r="O121" s="28" t="s">
        <v>1234</v>
      </c>
      <c r="P121" s="66"/>
      <c r="Q121" s="172"/>
      <c r="R121" s="54"/>
      <c r="S121" s="54">
        <v>0.0</v>
      </c>
      <c r="T121" s="54">
        <v>0.0</v>
      </c>
      <c r="U121" s="54">
        <v>0.0</v>
      </c>
      <c r="V121" s="70" t="s">
        <v>810</v>
      </c>
      <c r="W121" s="48" t="s">
        <v>1585</v>
      </c>
      <c r="X121" s="66"/>
      <c r="Y121" s="48" t="s">
        <v>50</v>
      </c>
      <c r="Z121" s="66"/>
      <c r="AA121" s="66"/>
      <c r="AB121" s="106"/>
      <c r="AC121" s="66"/>
      <c r="AD121" s="66"/>
      <c r="AE121" s="81"/>
      <c r="AF121" s="121" t="str">
        <f>IFERROR(__xludf.DUMMYFUNCTION("HYPERLINK(
""https://wa.me/""&amp;REGEXREPLACE(Q121,""[^0-9]"","""")&amp;
""?text=""&amp;
ENCODEURL(
""Hola *""&amp;B121&amp;""*.
Te recordamos que la factura Nº *""&amp;J121&amp;""* por el plan """"""&amp;E121&amp;"""""" se encuentra disponible para pago y vence hoy.
Monto: *$""&amp;I121&amp;""*"&amp;"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*$""&amp;AG121&amp;""*
Valor total febrero (con IVA): *$""&amp;AH121&amp;""*
A partir de mañana el valor"&amp;" aumenta un 25%, correspondiente al valor de diciembre.
Simple Pyme""
),
""Enviar WhatsApp""
)"),"Enviar WhatsApp")</f>
        <v>Enviar WhatsApp</v>
      </c>
      <c r="AG121" s="81">
        <v>0.0</v>
      </c>
      <c r="AH121" s="81">
        <f t="shared" si="14"/>
        <v>0</v>
      </c>
      <c r="AI121" s="81"/>
      <c r="AJ121" s="81"/>
      <c r="AK121" s="81"/>
    </row>
    <row r="122" hidden="1">
      <c r="A122" s="126" t="s">
        <v>1604</v>
      </c>
      <c r="B122" s="25" t="s">
        <v>1235</v>
      </c>
      <c r="C122" s="28"/>
      <c r="D122" s="66"/>
      <c r="E122" s="48" t="s">
        <v>1413</v>
      </c>
      <c r="F122" s="137"/>
      <c r="G122" s="66"/>
      <c r="H122" s="159">
        <v>60500.0</v>
      </c>
      <c r="I122" s="88">
        <f t="shared" si="13"/>
        <v>71995</v>
      </c>
      <c r="J122" s="135" t="s">
        <v>1438</v>
      </c>
      <c r="K122" s="104"/>
      <c r="L122" s="71" t="s">
        <v>1614</v>
      </c>
      <c r="M122" s="26">
        <v>7.82295888E8</v>
      </c>
      <c r="N122" s="30" t="s">
        <v>1236</v>
      </c>
      <c r="O122" s="28" t="s">
        <v>1237</v>
      </c>
      <c r="P122" s="66"/>
      <c r="Q122" s="172"/>
      <c r="R122" s="54"/>
      <c r="S122" s="54"/>
      <c r="T122" s="54"/>
      <c r="U122" s="54" t="s">
        <v>64</v>
      </c>
      <c r="V122" s="48" t="s">
        <v>811</v>
      </c>
      <c r="W122" s="48" t="s">
        <v>1585</v>
      </c>
      <c r="X122" s="66"/>
      <c r="Y122" s="48" t="s">
        <v>50</v>
      </c>
      <c r="Z122" s="66"/>
      <c r="AA122" s="66"/>
      <c r="AB122" s="106"/>
      <c r="AC122" s="66"/>
      <c r="AD122" s="66"/>
      <c r="AE122" s="81"/>
      <c r="AF122" s="121" t="str">
        <f>IFERROR(__xludf.DUMMYFUNCTION("HYPERLINK(
""https://wa.me/""&amp;REGEXREPLACE(Q122,""[^0-9]"","""")&amp;
""?text=""&amp;
ENCODEURL(
""Hola *""&amp;B122&amp;""*.
Te recordamos que la factura Nº *""&amp;J122&amp;""* por el plan """"""&amp;E122&amp;"""""" se encuentra disponible para pago y vence hoy.
Monto: *$""&amp;I122&amp;""*"&amp;"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*$""&amp;AG122&amp;""*
Valor total febrero (con IVA): *$""&amp;AH122&amp;""*
A partir de mañana el valor"&amp;" aumenta un 25%, correspondiente al valor de diciembre.
Simple Pyme""
),
""Enviar WhatsApp""
)"),"Enviar WhatsApp")</f>
        <v>Enviar WhatsApp</v>
      </c>
      <c r="AG122" s="81">
        <v>0.0</v>
      </c>
      <c r="AH122" s="81">
        <f t="shared" si="14"/>
        <v>0</v>
      </c>
      <c r="AI122" s="81"/>
      <c r="AJ122" s="81"/>
      <c r="AK122" s="81"/>
    </row>
    <row r="123" hidden="1">
      <c r="A123" s="126" t="s">
        <v>1604</v>
      </c>
      <c r="B123" s="25" t="s">
        <v>1238</v>
      </c>
      <c r="C123" s="28"/>
      <c r="D123" s="66"/>
      <c r="E123" s="48" t="s">
        <v>1413</v>
      </c>
      <c r="F123" s="137"/>
      <c r="G123" s="66"/>
      <c r="H123" s="159">
        <v>60500.0</v>
      </c>
      <c r="I123" s="88">
        <f t="shared" si="13"/>
        <v>71995</v>
      </c>
      <c r="J123" s="135" t="s">
        <v>1438</v>
      </c>
      <c r="K123" s="104"/>
      <c r="L123" s="71" t="s">
        <v>1584</v>
      </c>
      <c r="M123" s="26" t="s">
        <v>1239</v>
      </c>
      <c r="N123" s="28" t="s">
        <v>1229</v>
      </c>
      <c r="O123" s="28" t="s">
        <v>1240</v>
      </c>
      <c r="P123" s="66"/>
      <c r="Q123" s="173"/>
      <c r="R123" s="88"/>
      <c r="S123" s="88"/>
      <c r="T123" s="88"/>
      <c r="U123" s="88"/>
      <c r="V123" s="48" t="s">
        <v>811</v>
      </c>
      <c r="W123" s="48" t="s">
        <v>1585</v>
      </c>
      <c r="X123" s="149"/>
      <c r="Y123" s="48" t="s">
        <v>50</v>
      </c>
      <c r="Z123" s="66"/>
      <c r="AA123" s="66"/>
      <c r="AB123" s="106"/>
      <c r="AC123" s="66"/>
      <c r="AD123" s="66"/>
      <c r="AE123" s="81"/>
      <c r="AF123" s="121" t="str">
        <f>IFERROR(__xludf.DUMMYFUNCTION("HYPERLINK(
""https://wa.me/""&amp;REGEXREPLACE(Q123,""[^0-9]"","""")&amp;
""?text=""&amp;
ENCODEURL(
""Hola *""&amp;B123&amp;""*.
Te recordamos que la factura Nº *""&amp;J123&amp;""* por el plan """"""&amp;E123&amp;"""""" se encuentra disponible para pago y vence hoy.
Monto: *$""&amp;I123&amp;""*"&amp;"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*$""&amp;AG123&amp;""*
Valor total febrero (con IVA): *$""&amp;AH123&amp;""*
A partir de mañana el valor"&amp;" aumenta un 25%, correspondiente al valor de diciembre.
Simple Pyme""
),
""Enviar WhatsApp""
)"),"Enviar WhatsApp")</f>
        <v>Enviar WhatsApp</v>
      </c>
      <c r="AG123" s="81">
        <v>0.0</v>
      </c>
      <c r="AH123" s="81">
        <f t="shared" si="14"/>
        <v>0</v>
      </c>
      <c r="AI123" s="81"/>
      <c r="AJ123" s="81"/>
      <c r="AK123" s="81"/>
    </row>
    <row r="124" hidden="1">
      <c r="A124" s="126" t="s">
        <v>1604</v>
      </c>
      <c r="B124" s="81" t="s">
        <v>1241</v>
      </c>
      <c r="C124" s="30" t="s">
        <v>38</v>
      </c>
      <c r="D124" s="30" t="s">
        <v>38</v>
      </c>
      <c r="E124" s="48" t="s">
        <v>1372</v>
      </c>
      <c r="F124" s="137"/>
      <c r="G124" s="28">
        <v>1.0</v>
      </c>
      <c r="H124" s="159">
        <v>60000.0</v>
      </c>
      <c r="I124" s="88">
        <f t="shared" si="13"/>
        <v>71400</v>
      </c>
      <c r="J124" s="30">
        <v>609.0</v>
      </c>
      <c r="K124" s="104"/>
      <c r="L124" s="66"/>
      <c r="M124" s="26" t="s">
        <v>1242</v>
      </c>
      <c r="N124" s="28" t="s">
        <v>486</v>
      </c>
      <c r="O124" s="28" t="s">
        <v>483</v>
      </c>
      <c r="P124" s="28" t="s">
        <v>487</v>
      </c>
      <c r="Q124" s="120" t="s">
        <v>1615</v>
      </c>
      <c r="R124" s="54"/>
      <c r="S124" s="54">
        <v>0.0</v>
      </c>
      <c r="T124" s="54">
        <v>0.0</v>
      </c>
      <c r="U124" s="54">
        <v>0.0</v>
      </c>
      <c r="V124" s="70" t="s">
        <v>810</v>
      </c>
      <c r="W124" s="70" t="s">
        <v>1411</v>
      </c>
      <c r="X124" s="128"/>
      <c r="Y124" s="48" t="s">
        <v>50</v>
      </c>
      <c r="Z124" s="28" t="s">
        <v>1243</v>
      </c>
      <c r="AA124" s="28">
        <v>1421.0</v>
      </c>
      <c r="AB124" s="48" t="s">
        <v>811</v>
      </c>
      <c r="AC124" s="66"/>
      <c r="AD124" s="66"/>
      <c r="AE124" s="81"/>
      <c r="AF124" s="121" t="str">
        <f>IFERROR(__xludf.DUMMYFUNCTION("HYPERLINK(
""https://wa.me/""&amp;REGEXREPLACE(Q124,""[^0-9]"","""")&amp;
""?text=""&amp;
ENCODEURL(
""Hola *""&amp;B124&amp;""*.
Te recordamos que la factura Nº *""&amp;J124&amp;""* por el plan """"""&amp;E124&amp;"""""" se encuentra disponible para pago y vence hoy.
Monto: *$""&amp;I124&amp;""*"&amp;"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24" s="81"/>
      <c r="AH124" s="81">
        <f t="shared" si="14"/>
        <v>0</v>
      </c>
      <c r="AI124" s="81"/>
      <c r="AJ124" s="81"/>
      <c r="AK124" s="81"/>
    </row>
    <row r="125" hidden="1">
      <c r="A125" s="126" t="s">
        <v>1604</v>
      </c>
      <c r="B125" s="25" t="s">
        <v>1244</v>
      </c>
      <c r="C125" s="28"/>
      <c r="D125" s="66"/>
      <c r="E125" s="48" t="s">
        <v>1362</v>
      </c>
      <c r="F125" s="137"/>
      <c r="G125" s="66"/>
      <c r="H125" s="159">
        <v>30000.0</v>
      </c>
      <c r="I125" s="88">
        <f t="shared" si="13"/>
        <v>35700</v>
      </c>
      <c r="J125" s="135" t="s">
        <v>1438</v>
      </c>
      <c r="K125" s="104"/>
      <c r="L125" s="71" t="s">
        <v>1584</v>
      </c>
      <c r="M125" s="26" t="s">
        <v>1245</v>
      </c>
      <c r="N125" s="28" t="s">
        <v>1246</v>
      </c>
      <c r="O125" s="28" t="s">
        <v>1247</v>
      </c>
      <c r="P125" s="28" t="s">
        <v>1248</v>
      </c>
      <c r="Q125" s="120" t="s">
        <v>1616</v>
      </c>
      <c r="R125" s="54"/>
      <c r="S125" s="54">
        <v>283999.0</v>
      </c>
      <c r="T125" s="54">
        <f>407970+1230942</f>
        <v>1638912</v>
      </c>
      <c r="U125" s="54">
        <v>246200.0</v>
      </c>
      <c r="V125" s="70" t="s">
        <v>810</v>
      </c>
      <c r="W125" s="48" t="s">
        <v>1585</v>
      </c>
      <c r="X125" s="66"/>
      <c r="Y125" s="48" t="s">
        <v>50</v>
      </c>
      <c r="Z125" s="28" t="s">
        <v>1250</v>
      </c>
      <c r="AA125" s="28" t="s">
        <v>1249</v>
      </c>
      <c r="AB125" s="48" t="s">
        <v>811</v>
      </c>
      <c r="AC125" s="66"/>
      <c r="AD125" s="66"/>
      <c r="AE125" s="81"/>
      <c r="AF125" s="121" t="str">
        <f>IFERROR(__xludf.DUMMYFUNCTION("HYPERLINK(
""https://wa.me/""&amp;REGEXREPLACE(Q125,""[^0-9]"","""")&amp;
""?text=""&amp;
ENCODEURL(
""Hola *""&amp;B125&amp;""*.
Te recordamos que la factura Nº *""&amp;J125&amp;""* por el plan """"""&amp;E125&amp;"""""" se encuentra disponible para pago y vence hoy.
Monto: *$""&amp;I125&amp;""*"&amp;"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*$""&amp;AG125&amp;""*
Valor total febrero (con IVA): *$""&amp;AH125&amp;""*
A partir de mañana el valor"&amp;" aumenta un 25%, correspondiente al valor de diciembre.
Simple Pyme""
),
""Enviar WhatsApp""
)"),"Enviar WhatsApp")</f>
        <v>Enviar WhatsApp</v>
      </c>
      <c r="AG125" s="81">
        <v>0.0</v>
      </c>
      <c r="AH125" s="81">
        <f t="shared" si="14"/>
        <v>0</v>
      </c>
      <c r="AI125" s="81"/>
      <c r="AJ125" s="81"/>
      <c r="AK125" s="81"/>
    </row>
    <row r="126" hidden="1">
      <c r="A126" s="126" t="s">
        <v>1604</v>
      </c>
      <c r="B126" s="81" t="s">
        <v>1251</v>
      </c>
      <c r="C126" s="28"/>
      <c r="D126" s="66"/>
      <c r="E126" s="48" t="s">
        <v>1416</v>
      </c>
      <c r="F126" s="137"/>
      <c r="G126" s="66"/>
      <c r="H126" s="159">
        <v>10000.0</v>
      </c>
      <c r="I126" s="88">
        <f t="shared" si="13"/>
        <v>11900</v>
      </c>
      <c r="J126" s="135" t="s">
        <v>1438</v>
      </c>
      <c r="K126" s="104"/>
      <c r="L126" s="71" t="s">
        <v>1584</v>
      </c>
      <c r="M126" s="26" t="s">
        <v>1252</v>
      </c>
      <c r="N126" s="28" t="s">
        <v>1253</v>
      </c>
      <c r="O126" s="28" t="s">
        <v>1254</v>
      </c>
      <c r="P126" s="28" t="s">
        <v>1255</v>
      </c>
      <c r="Q126" s="120" t="s">
        <v>1617</v>
      </c>
      <c r="R126" s="54"/>
      <c r="S126" s="54"/>
      <c r="T126" s="54"/>
      <c r="U126" s="54"/>
      <c r="V126" s="70" t="s">
        <v>810</v>
      </c>
      <c r="W126" s="48" t="s">
        <v>1585</v>
      </c>
      <c r="X126" s="66"/>
      <c r="Y126" s="48" t="s">
        <v>50</v>
      </c>
      <c r="Z126" s="28" t="s">
        <v>1257</v>
      </c>
      <c r="AA126" s="28" t="s">
        <v>1256</v>
      </c>
      <c r="AB126" s="48" t="s">
        <v>811</v>
      </c>
      <c r="AC126" s="66"/>
      <c r="AD126" s="66"/>
      <c r="AE126" s="81"/>
      <c r="AF126" s="121" t="str">
        <f>IFERROR(__xludf.DUMMYFUNCTION("HYPERLINK(
""https://wa.me/""&amp;REGEXREPLACE(Q126,""[^0-9]"","""")&amp;
""?text=""&amp;
ENCODEURL(
""Hola *""&amp;B126&amp;""*.
Te recordamos que la factura Nº *""&amp;J126&amp;""* por el plan """"""&amp;E126&amp;"""""" se encuentra disponible para pago y vence hoy.
Monto: *$""&amp;I126&amp;""*"&amp;"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*$""&amp;AG126&amp;""*
Valor total febrero (con IVA): *$""&amp;AH126&amp;""*
A partir de mañana el valor"&amp;" aumenta un 25%, correspondiente al valor de diciembre.
Simple Pyme""
),
""Enviar WhatsApp""
)"),"Enviar WhatsApp")</f>
        <v>Enviar WhatsApp</v>
      </c>
      <c r="AG126" s="81">
        <v>0.0</v>
      </c>
      <c r="AH126" s="81">
        <f t="shared" si="14"/>
        <v>0</v>
      </c>
      <c r="AI126" s="81"/>
      <c r="AJ126" s="81"/>
      <c r="AK126" s="81"/>
    </row>
    <row r="127" hidden="1">
      <c r="A127" s="126" t="s">
        <v>1604</v>
      </c>
      <c r="B127" s="25" t="s">
        <v>1618</v>
      </c>
      <c r="C127" s="28" t="s">
        <v>50</v>
      </c>
      <c r="D127" s="28"/>
      <c r="E127" s="48" t="s">
        <v>1416</v>
      </c>
      <c r="F127" s="137"/>
      <c r="G127" s="66"/>
      <c r="H127" s="88">
        <v>10000.0</v>
      </c>
      <c r="I127" s="88">
        <f t="shared" si="13"/>
        <v>11900</v>
      </c>
      <c r="J127" s="30">
        <v>610.0</v>
      </c>
      <c r="K127" s="104"/>
      <c r="L127" s="66"/>
      <c r="M127" s="26" t="s">
        <v>1619</v>
      </c>
      <c r="N127" s="28" t="s">
        <v>1620</v>
      </c>
      <c r="O127" s="25" t="s">
        <v>1514</v>
      </c>
      <c r="P127" s="28">
        <v>1.74830924E8</v>
      </c>
      <c r="Q127" s="139" t="s">
        <v>1516</v>
      </c>
      <c r="R127" s="54"/>
      <c r="S127" s="54"/>
      <c r="T127" s="54"/>
      <c r="U127" s="54"/>
      <c r="V127" s="70" t="s">
        <v>810</v>
      </c>
      <c r="W127" s="70" t="s">
        <v>1411</v>
      </c>
      <c r="X127" s="145">
        <v>46084.0</v>
      </c>
      <c r="Y127" s="48" t="s">
        <v>50</v>
      </c>
      <c r="Z127" s="28" t="s">
        <v>1518</v>
      </c>
      <c r="AA127" s="28" t="s">
        <v>1519</v>
      </c>
      <c r="AB127" s="48" t="s">
        <v>1621</v>
      </c>
      <c r="AC127" s="66"/>
      <c r="AD127" s="66"/>
      <c r="AE127" s="81"/>
      <c r="AF127" s="144" t="s">
        <v>1473</v>
      </c>
      <c r="AG127" s="122">
        <v>78125.0</v>
      </c>
      <c r="AH127" s="123">
        <v>92968.75</v>
      </c>
      <c r="AI127" s="123">
        <f>AH127/2</f>
        <v>46484.375</v>
      </c>
      <c r="AJ127" s="123"/>
      <c r="AK127" s="123"/>
    </row>
    <row r="128" hidden="1">
      <c r="A128" s="126" t="s">
        <v>1604</v>
      </c>
      <c r="B128" s="25" t="s">
        <v>1258</v>
      </c>
      <c r="C128" s="28"/>
      <c r="D128" s="66"/>
      <c r="E128" s="48" t="s">
        <v>1372</v>
      </c>
      <c r="F128" s="137"/>
      <c r="G128" s="66"/>
      <c r="H128" s="159">
        <v>50000.0</v>
      </c>
      <c r="I128" s="88">
        <f t="shared" si="13"/>
        <v>59500</v>
      </c>
      <c r="J128" s="135" t="s">
        <v>1438</v>
      </c>
      <c r="K128" s="104"/>
      <c r="L128" s="71" t="s">
        <v>1584</v>
      </c>
      <c r="M128" s="26" t="s">
        <v>1259</v>
      </c>
      <c r="N128" s="28" t="s">
        <v>1260</v>
      </c>
      <c r="O128" s="28" t="s">
        <v>1261</v>
      </c>
      <c r="P128" s="28" t="s">
        <v>1262</v>
      </c>
      <c r="Q128" s="120" t="s">
        <v>1622</v>
      </c>
      <c r="R128" s="54"/>
      <c r="S128" s="54">
        <v>0.0</v>
      </c>
      <c r="T128" s="54">
        <v>0.0</v>
      </c>
      <c r="U128" s="54"/>
      <c r="V128" s="70" t="s">
        <v>810</v>
      </c>
      <c r="W128" s="48" t="s">
        <v>1585</v>
      </c>
      <c r="X128" s="66"/>
      <c r="Y128" s="48" t="s">
        <v>50</v>
      </c>
      <c r="Z128" s="28" t="s">
        <v>1264</v>
      </c>
      <c r="AA128" s="28" t="s">
        <v>1263</v>
      </c>
      <c r="AB128" s="48" t="s">
        <v>811</v>
      </c>
      <c r="AC128" s="66"/>
      <c r="AD128" s="66"/>
      <c r="AE128" s="81"/>
      <c r="AF128" s="121" t="str">
        <f>IFERROR(__xludf.DUMMYFUNCTION("HYPERLINK(
""https://wa.me/""&amp;REGEXREPLACE(Q128,""[^0-9]"","""")&amp;
""?text=""&amp;
ENCODEURL(
""Hola *""&amp;B128&amp;""*.
Te recordamos que la factura Nº *""&amp;J128&amp;""* por el plan """"""&amp;E128&amp;"""""" se encuentra disponible para pago y vence hoy.
Monto: *$""&amp;I128&amp;""*"&amp;"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*$""&amp;AG128&amp;""*
Valor total febrero (con IVA): *$""&amp;AH128&amp;""*
A partir de mañana el valor"&amp;" aumenta un 25%, correspondiente al valor de diciembre.
Simple Pyme""
),
""Enviar WhatsApp""
)"),"Enviar WhatsApp")</f>
        <v>Enviar WhatsApp</v>
      </c>
      <c r="AG128" s="81">
        <v>0.0</v>
      </c>
      <c r="AH128" s="81">
        <f>AG128*1.19</f>
        <v>0</v>
      </c>
      <c r="AI128" s="81"/>
      <c r="AJ128" s="81"/>
      <c r="AK128" s="81"/>
    </row>
    <row r="129" hidden="1">
      <c r="A129" s="126" t="s">
        <v>1604</v>
      </c>
      <c r="B129" s="25" t="s">
        <v>1623</v>
      </c>
      <c r="C129" s="28" t="s">
        <v>50</v>
      </c>
      <c r="D129" s="28"/>
      <c r="E129" s="48" t="s">
        <v>1416</v>
      </c>
      <c r="F129" s="137"/>
      <c r="G129" s="66"/>
      <c r="H129" s="159">
        <v>10000.0</v>
      </c>
      <c r="I129" s="88">
        <f t="shared" si="13"/>
        <v>11900</v>
      </c>
      <c r="J129" s="30">
        <v>611.0</v>
      </c>
      <c r="K129" s="104"/>
      <c r="L129" s="81"/>
      <c r="M129" s="26" t="s">
        <v>1624</v>
      </c>
      <c r="N129" s="26" t="s">
        <v>1625</v>
      </c>
      <c r="O129" s="28" t="s">
        <v>1626</v>
      </c>
      <c r="P129" s="28" t="s">
        <v>1627</v>
      </c>
      <c r="Q129" s="120" t="s">
        <v>1628</v>
      </c>
      <c r="R129" s="54"/>
      <c r="S129" s="54">
        <v>0.0</v>
      </c>
      <c r="T129" s="54">
        <v>0.0</v>
      </c>
      <c r="U129" s="54">
        <v>0.0</v>
      </c>
      <c r="V129" s="70" t="s">
        <v>810</v>
      </c>
      <c r="W129" s="70" t="s">
        <v>1411</v>
      </c>
      <c r="X129" s="127">
        <v>46085.0</v>
      </c>
      <c r="Y129" s="48" t="s">
        <v>50</v>
      </c>
      <c r="Z129" s="28" t="s">
        <v>1629</v>
      </c>
      <c r="AA129" s="28" t="s">
        <v>1630</v>
      </c>
      <c r="AB129" s="48" t="s">
        <v>811</v>
      </c>
      <c r="AC129" s="66"/>
      <c r="AD129" s="66"/>
      <c r="AE129" s="81"/>
      <c r="AF129" s="121" t="str">
        <f>IFERROR(__xludf.DUMMYFUNCTION("HYPERLINK(
""https://wa.me/""&amp;REGEXREPLACE(Q129,""[^0-9]"","""")&amp;
""?text=""&amp;
ENCODEURL(
""Buenas tardes *""&amp;B129&amp;""*.
Te recordamos que tu plan *""""""&amp;E129&amp;""""""* *no incluye* la declaración de renta. Te enviamos varios correos informando sobre este p"&amp;"roceso. Esta semana vencen las primeras declaraciones juradas, lo que generará multas
Valor: *$""&amp;AG129&amp;""* + IVA = *$""&amp;AH129&amp;""*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29" s="122">
        <v>78125.0</v>
      </c>
      <c r="AH129" s="123">
        <v>92968.75</v>
      </c>
      <c r="AI129" s="123"/>
      <c r="AJ129" s="123"/>
      <c r="AK129" s="123"/>
    </row>
    <row r="130" hidden="1">
      <c r="A130" s="126" t="s">
        <v>1604</v>
      </c>
      <c r="B130" s="25" t="s">
        <v>1265</v>
      </c>
      <c r="C130" s="66"/>
      <c r="D130" s="66"/>
      <c r="E130" s="48" t="s">
        <v>1380</v>
      </c>
      <c r="F130" s="137"/>
      <c r="G130" s="66"/>
      <c r="H130" s="159">
        <v>0.0</v>
      </c>
      <c r="I130" s="88">
        <f t="shared" si="13"/>
        <v>0</v>
      </c>
      <c r="J130" s="135" t="s">
        <v>1438</v>
      </c>
      <c r="K130" s="104"/>
      <c r="L130" s="66"/>
      <c r="M130" s="26" t="s">
        <v>1266</v>
      </c>
      <c r="N130" s="28" t="s">
        <v>1267</v>
      </c>
      <c r="O130" s="28" t="s">
        <v>1268</v>
      </c>
      <c r="P130" s="66"/>
      <c r="Q130" s="120" t="s">
        <v>1509</v>
      </c>
      <c r="R130" s="54"/>
      <c r="S130" s="54">
        <v>0.0</v>
      </c>
      <c r="T130" s="54">
        <v>0.0</v>
      </c>
      <c r="U130" s="54">
        <v>0.0</v>
      </c>
      <c r="V130" s="70" t="s">
        <v>810</v>
      </c>
      <c r="W130" s="48" t="s">
        <v>1380</v>
      </c>
      <c r="X130" s="66"/>
      <c r="Y130" s="48" t="s">
        <v>50</v>
      </c>
      <c r="Z130" s="66"/>
      <c r="AA130" s="66"/>
      <c r="AB130" s="48" t="s">
        <v>1631</v>
      </c>
      <c r="AC130" s="66"/>
      <c r="AD130" s="66"/>
      <c r="AE130" s="81"/>
      <c r="AF130" s="121" t="str">
        <f>IFERROR(__xludf.DUMMYFUNCTION("HYPERLINK(
""https://wa.me/""&amp;REGEXREPLACE(Q130,""[^0-9]"","""")&amp;
""?text=""&amp;
ENCODEURL(
""Hola *""&amp;B130&amp;""*.
Te recordamos que la factura Nº *""&amp;J130&amp;""* por el plan """"""&amp;E130&amp;"""""" se encuentra disponible para pago y vence hoy.
Monto: *$""&amp;I130&amp;""*"&amp;"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*$""&amp;AG130&amp;""*
Valor total febrero (con IVA): *$""&amp;AH130&amp;""*
A partir de mañana el valor"&amp;" aumenta un 25%, correspondiente al valor de diciembre.
Simple Pyme""
),
""Enviar WhatsApp""
)"),"Enviar WhatsApp")</f>
        <v>Enviar WhatsApp</v>
      </c>
      <c r="AG130" s="81"/>
      <c r="AH130" s="81"/>
      <c r="AI130" s="81"/>
      <c r="AJ130" s="81"/>
      <c r="AK130" s="81"/>
    </row>
    <row r="131" hidden="1">
      <c r="A131" s="126" t="s">
        <v>1604</v>
      </c>
      <c r="B131" s="25" t="s">
        <v>1269</v>
      </c>
      <c r="C131" s="30" t="s">
        <v>38</v>
      </c>
      <c r="D131" s="30" t="s">
        <v>38</v>
      </c>
      <c r="E131" s="48" t="s">
        <v>1372</v>
      </c>
      <c r="F131" s="137"/>
      <c r="G131" s="66"/>
      <c r="H131" s="169">
        <v>70000.0</v>
      </c>
      <c r="I131" s="88">
        <f t="shared" si="13"/>
        <v>83300</v>
      </c>
      <c r="J131" s="30">
        <v>612.0</v>
      </c>
      <c r="K131" s="97">
        <v>119000.0</v>
      </c>
      <c r="L131" s="66"/>
      <c r="M131" s="26" t="s">
        <v>212</v>
      </c>
      <c r="N131" s="28" t="s">
        <v>213</v>
      </c>
      <c r="O131" s="28" t="s">
        <v>217</v>
      </c>
      <c r="P131" s="87" t="s">
        <v>1270</v>
      </c>
      <c r="Q131" s="174">
        <v>9.54838676E8</v>
      </c>
      <c r="R131" s="175"/>
      <c r="S131" s="175">
        <v>292673.0</v>
      </c>
      <c r="T131" s="175">
        <v>3212400.0</v>
      </c>
      <c r="U131" s="54">
        <v>31007.0</v>
      </c>
      <c r="V131" s="30" t="s">
        <v>810</v>
      </c>
      <c r="W131" s="70" t="s">
        <v>1411</v>
      </c>
      <c r="X131" s="150">
        <v>46085.0</v>
      </c>
      <c r="Y131" s="48" t="s">
        <v>50</v>
      </c>
      <c r="Z131" s="66"/>
      <c r="AA131" s="66"/>
      <c r="AB131" s="48" t="s">
        <v>1612</v>
      </c>
      <c r="AC131" s="66"/>
      <c r="AD131" s="66"/>
      <c r="AE131" s="81"/>
      <c r="AF131" s="81" t="str">
        <f>IFERROR(__xludf.DUMMYFUNCTION("HYPERLINK(
""https://wa.me/""&amp;REGEXREPLACE(Q131,""[^0-9]"","""")&amp;
""?text=""&amp;
ENCODEURL(
""Hola *""&amp;B131&amp;""*.
Te recordamos que la factura Nº *""&amp;J131&amp;""* por el plan """"""&amp;E131&amp;"""""" se encuentra disponible para pago y vence hoy.
Monto: *$""&amp;I131&amp;""*"&amp;"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*$""&amp;AG131&amp;""*
Valor total febrero (con IVA): *$""&amp;AH131&amp;""*
A partir de mañana el valor"&amp;" aumenta un 25%, correspondiente al valor de diciembre.
Simple Pyme""
),
""Enviar WhatsApp""
)"),"Enviar WhatsApp")</f>
        <v>Enviar WhatsApp</v>
      </c>
      <c r="AG131" s="81"/>
      <c r="AH131" s="81"/>
      <c r="AI131" s="81"/>
      <c r="AJ131" s="81"/>
      <c r="AK131" s="81"/>
    </row>
    <row r="132">
      <c r="A132" s="180" t="s">
        <v>1604</v>
      </c>
      <c r="B132" s="59" t="s">
        <v>1701</v>
      </c>
      <c r="C132" s="28" t="s">
        <v>50</v>
      </c>
      <c r="D132" s="28"/>
      <c r="E132" s="46" t="s">
        <v>1362</v>
      </c>
      <c r="F132" s="206"/>
      <c r="G132" s="69"/>
      <c r="H132" s="182">
        <v>30000.0</v>
      </c>
      <c r="I132" s="88">
        <f t="shared" si="13"/>
        <v>35700</v>
      </c>
      <c r="J132" s="183" t="s">
        <v>1376</v>
      </c>
      <c r="K132" s="184"/>
      <c r="L132" s="183" t="s">
        <v>1702</v>
      </c>
      <c r="M132" s="45" t="s">
        <v>1703</v>
      </c>
      <c r="N132" s="46" t="s">
        <v>1704</v>
      </c>
      <c r="O132" s="46" t="s">
        <v>1705</v>
      </c>
      <c r="P132" s="207" t="s">
        <v>1706</v>
      </c>
      <c r="Q132" s="46" t="s">
        <v>1707</v>
      </c>
      <c r="R132" s="91"/>
      <c r="S132" s="91"/>
      <c r="T132" s="91"/>
      <c r="U132" s="91">
        <v>53.0</v>
      </c>
      <c r="V132" s="30" t="s">
        <v>880</v>
      </c>
      <c r="W132" s="183" t="s">
        <v>1207</v>
      </c>
      <c r="X132" s="208"/>
      <c r="Y132" s="46" t="s">
        <v>50</v>
      </c>
      <c r="Z132" s="69"/>
      <c r="AA132" s="69"/>
      <c r="AB132" s="46" t="s">
        <v>811</v>
      </c>
      <c r="AC132" s="69"/>
      <c r="AD132" s="69"/>
      <c r="AE132" s="73"/>
      <c r="AF132" s="121" t="str">
        <f>IFERROR(__xludf.DUMMYFUNCTION("HYPERLINK(
""https://wa.me/""&amp;REGEXREPLACE(Q132,""[^0-9]"","""")&amp;
""?text=""&amp;
ENCODEURL(
""Buenas tardes *""&amp;B132&amp;""*.
Te recordamos que tu plan *""""""&amp;E132&amp;""""""* *no incluye* la declaración de renta. Te enviamos varios correos informando sobre este p"&amp;"roceso. Esta semana vencen las primeras declaraciones juradas, lo que generará multas
Valor: *$""&amp;AG132&amp;""* + IVA = *$""&amp;AH132&amp;""*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32" s="193">
        <v>125000.0</v>
      </c>
      <c r="AH132" s="123">
        <v>148750.0</v>
      </c>
      <c r="AI132" s="123"/>
      <c r="AJ132" s="123"/>
      <c r="AK132" s="123"/>
    </row>
    <row r="133" hidden="1">
      <c r="A133" s="126" t="s">
        <v>1604</v>
      </c>
      <c r="B133" s="25" t="s">
        <v>1271</v>
      </c>
      <c r="C133" s="28"/>
      <c r="D133" s="66"/>
      <c r="E133" s="48" t="s">
        <v>1416</v>
      </c>
      <c r="F133" s="137"/>
      <c r="G133" s="66"/>
      <c r="H133" s="159">
        <v>10000.0</v>
      </c>
      <c r="I133" s="88">
        <f t="shared" si="13"/>
        <v>11900</v>
      </c>
      <c r="J133" s="135" t="s">
        <v>1438</v>
      </c>
      <c r="K133" s="104"/>
      <c r="L133" s="71" t="s">
        <v>1632</v>
      </c>
      <c r="M133" s="62" t="s">
        <v>1272</v>
      </c>
      <c r="N133" s="28" t="s">
        <v>809</v>
      </c>
      <c r="O133" s="52" t="s">
        <v>1273</v>
      </c>
      <c r="P133" s="28" t="s">
        <v>1274</v>
      </c>
      <c r="Q133" s="172"/>
      <c r="R133" s="88"/>
      <c r="S133" s="88"/>
      <c r="T133" s="88"/>
      <c r="U133" s="88"/>
      <c r="V133" s="48" t="s">
        <v>811</v>
      </c>
      <c r="W133" s="48" t="s">
        <v>1585</v>
      </c>
      <c r="X133" s="66"/>
      <c r="Y133" s="48" t="s">
        <v>50</v>
      </c>
      <c r="Z133" s="66"/>
      <c r="AA133" s="66"/>
      <c r="AB133" s="48" t="s">
        <v>811</v>
      </c>
      <c r="AC133" s="66"/>
      <c r="AD133" s="66"/>
      <c r="AE133" s="81"/>
      <c r="AF133" s="121" t="str">
        <f>IFERROR(__xludf.DUMMYFUNCTION("HYPERLINK(
""https://wa.me/""&amp;REGEXREPLACE(Q133,""[^0-9]"","""")&amp;
""?text=""&amp;
ENCODEURL(
""Hola *""&amp;B133&amp;""*.
Te recordamos que la factura Nº *""&amp;J133&amp;""* por el plan """"""&amp;E133&amp;"""""" se encuentra disponible para pago y vence hoy.
Monto: *$""&amp;I133&amp;""*"&amp;"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*$""&amp;AG133&amp;""*
Valor total febrero (con IVA): *$""&amp;AH133&amp;""*
A partir de mañana el valor"&amp;" aumenta un 25%, correspondiente al valor de diciembre.
Simple Pyme""
),
""Enviar WhatsApp""
)"),"Enviar WhatsApp")</f>
        <v>Enviar WhatsApp</v>
      </c>
      <c r="AG133" s="81">
        <v>0.0</v>
      </c>
      <c r="AH133" s="81">
        <f>AG133*1.19</f>
        <v>0</v>
      </c>
      <c r="AI133" s="81"/>
      <c r="AJ133" s="81"/>
      <c r="AK133" s="81"/>
    </row>
    <row r="134" hidden="1">
      <c r="A134" s="126" t="s">
        <v>1604</v>
      </c>
      <c r="B134" s="25" t="s">
        <v>1633</v>
      </c>
      <c r="C134" s="28" t="s">
        <v>50</v>
      </c>
      <c r="D134" s="28"/>
      <c r="E134" s="48" t="s">
        <v>1634</v>
      </c>
      <c r="F134" s="176" t="s">
        <v>1635</v>
      </c>
      <c r="G134" s="28" t="s">
        <v>1636</v>
      </c>
      <c r="H134" s="159">
        <v>10000.0</v>
      </c>
      <c r="I134" s="88">
        <f t="shared" si="13"/>
        <v>11900</v>
      </c>
      <c r="J134" s="30">
        <v>614.0</v>
      </c>
      <c r="K134" s="104"/>
      <c r="L134" s="28" t="s">
        <v>1637</v>
      </c>
      <c r="M134" s="26" t="s">
        <v>1638</v>
      </c>
      <c r="N134" s="28" t="s">
        <v>1636</v>
      </c>
      <c r="O134" s="28" t="s">
        <v>1639</v>
      </c>
      <c r="P134" s="106"/>
      <c r="Q134" s="30" t="s">
        <v>1640</v>
      </c>
      <c r="R134" s="30"/>
      <c r="S134" s="30"/>
      <c r="T134" s="30"/>
      <c r="U134" s="30"/>
      <c r="V134" s="48" t="s">
        <v>880</v>
      </c>
      <c r="W134" s="30" t="s">
        <v>1411</v>
      </c>
      <c r="X134" s="136"/>
      <c r="Y134" s="48" t="s">
        <v>50</v>
      </c>
      <c r="Z134" s="66"/>
      <c r="AA134" s="66"/>
      <c r="AB134" s="48" t="s">
        <v>1612</v>
      </c>
      <c r="AC134" s="66"/>
      <c r="AD134" s="66"/>
      <c r="AE134" s="81"/>
      <c r="AF134" s="177" t="s">
        <v>1473</v>
      </c>
      <c r="AG134" s="123">
        <v>125000.0</v>
      </c>
      <c r="AH134" s="123">
        <v>148750.0</v>
      </c>
      <c r="AI134" s="123"/>
      <c r="AJ134" s="123"/>
      <c r="AK134" s="123"/>
    </row>
    <row r="135" hidden="1">
      <c r="A135" s="126" t="s">
        <v>1604</v>
      </c>
      <c r="B135" s="25" t="s">
        <v>1275</v>
      </c>
      <c r="C135" s="30" t="s">
        <v>38</v>
      </c>
      <c r="D135" s="30" t="s">
        <v>38</v>
      </c>
      <c r="E135" s="48" t="s">
        <v>1362</v>
      </c>
      <c r="F135" s="178">
        <v>2.0</v>
      </c>
      <c r="G135" s="66"/>
      <c r="H135" s="159">
        <v>40000.0</v>
      </c>
      <c r="I135" s="88">
        <f t="shared" si="13"/>
        <v>47600</v>
      </c>
      <c r="J135" s="30">
        <v>615.0</v>
      </c>
      <c r="K135" s="104"/>
      <c r="L135" s="94"/>
      <c r="M135" s="26" t="s">
        <v>225</v>
      </c>
      <c r="N135" s="28" t="s">
        <v>226</v>
      </c>
      <c r="O135" s="28" t="s">
        <v>222</v>
      </c>
      <c r="P135" s="28" t="s">
        <v>1276</v>
      </c>
      <c r="Q135" s="30" t="s">
        <v>1641</v>
      </c>
      <c r="R135" s="54"/>
      <c r="S135" s="54">
        <v>1111031.0</v>
      </c>
      <c r="T135" s="54">
        <v>4389051.0</v>
      </c>
      <c r="U135" s="54">
        <v>627986.0</v>
      </c>
      <c r="V135" s="30" t="s">
        <v>810</v>
      </c>
      <c r="W135" s="30" t="s">
        <v>1411</v>
      </c>
      <c r="X135" s="179">
        <v>46085.0</v>
      </c>
      <c r="Y135" s="48" t="s">
        <v>50</v>
      </c>
      <c r="Z135" s="28" t="s">
        <v>1277</v>
      </c>
      <c r="AA135" s="66"/>
      <c r="AB135" s="48" t="s">
        <v>1612</v>
      </c>
      <c r="AC135" s="66"/>
      <c r="AD135" s="66"/>
      <c r="AE135" s="81"/>
      <c r="AF135" s="121" t="str">
        <f>IFERROR(__xludf.DUMMYFUNCTION("HYPERLINK(
""https://wa.me/""&amp;REGEXREPLACE(Q135,""[^0-9]"","""")&amp;
""?text=""&amp;
ENCODEURL(
""Hola *""&amp;B135&amp;""*.
Te recordamos que la factura Nº *""&amp;J135&amp;""* por el plan """"""&amp;E135&amp;"""""" se encuentra disponible para pago y vence hoy.
Monto: *$""&amp;I135&amp;""*"&amp;"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*$""&amp;AG135&amp;""*
Valor total febrero (con IVA): *$""&amp;AH135&amp;""*
A partir de mañana el valor"&amp;" aumenta un 25%, correspondiente al valor de diciembre.
Simple Pyme""
),
""Enviar WhatsApp""
)"),"Enviar WhatsApp")</f>
        <v>Enviar WhatsApp</v>
      </c>
      <c r="AG135" s="81"/>
      <c r="AH135" s="81"/>
      <c r="AI135" s="81"/>
      <c r="AJ135" s="81"/>
      <c r="AK135" s="81"/>
    </row>
    <row r="136">
      <c r="A136" s="180" t="s">
        <v>1604</v>
      </c>
      <c r="B136" s="59" t="s">
        <v>1278</v>
      </c>
      <c r="C136" s="69"/>
      <c r="D136" s="69"/>
      <c r="E136" s="46" t="s">
        <v>1372</v>
      </c>
      <c r="F136" s="181">
        <v>2.0</v>
      </c>
      <c r="G136" s="46">
        <v>0.0</v>
      </c>
      <c r="H136" s="182">
        <v>70000.0</v>
      </c>
      <c r="I136" s="88">
        <f t="shared" si="13"/>
        <v>83300</v>
      </c>
      <c r="J136" s="183" t="s">
        <v>1376</v>
      </c>
      <c r="K136" s="184"/>
      <c r="L136" s="46"/>
      <c r="M136" s="46" t="s">
        <v>1279</v>
      </c>
      <c r="N136" s="73" t="s">
        <v>1280</v>
      </c>
      <c r="O136" s="46" t="s">
        <v>1281</v>
      </c>
      <c r="P136" s="46" t="s">
        <v>1282</v>
      </c>
      <c r="Q136" s="46" t="s">
        <v>1642</v>
      </c>
      <c r="R136" s="91"/>
      <c r="S136" s="91">
        <v>788882.0</v>
      </c>
      <c r="T136" s="91">
        <v>500000.0</v>
      </c>
      <c r="U136" s="91">
        <v>625.0</v>
      </c>
      <c r="V136" s="30" t="s">
        <v>810</v>
      </c>
      <c r="W136" s="183" t="s">
        <v>1470</v>
      </c>
      <c r="X136" s="185"/>
      <c r="Y136" s="69"/>
      <c r="Z136" s="46" t="s">
        <v>1284</v>
      </c>
      <c r="AA136" s="46" t="s">
        <v>1283</v>
      </c>
      <c r="AB136" s="46" t="s">
        <v>1612</v>
      </c>
      <c r="AC136" s="69"/>
      <c r="AD136" s="69"/>
      <c r="AE136" s="73"/>
      <c r="AF136" s="121" t="str">
        <f>IFERROR(__xludf.DUMMYFUNCTION("HYPERLINK(
""https://wa.me/""&amp;REGEXREPLACE(Q136,""[^0-9]"","""")&amp;
""?text=""&amp;
ENCODEURL(
""Hola *""&amp;B136&amp;""*.
Te recordamos que la factura Nº *""&amp;J136&amp;""* por el plan """"""&amp;E136&amp;"""""" se encuentra disponible para pago y vence hoy.
Monto: *$""&amp;I136&amp;""*"&amp;"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*$""&amp;AG136&amp;""*
Valor total febrero (con IVA): *$""&amp;AH136&amp;""*
A partir de mañana el valor"&amp;" aumenta un 25%, correspondiente al valor de diciembre.
Simple Pyme""
),
""Enviar WhatsApp""
)"),"Enviar WhatsApp")</f>
        <v>Enviar WhatsApp</v>
      </c>
      <c r="AG136" s="73"/>
      <c r="AH136" s="73"/>
      <c r="AI136" s="73"/>
      <c r="AJ136" s="73"/>
      <c r="AK136" s="73"/>
    </row>
    <row r="137" hidden="1">
      <c r="A137" s="126" t="s">
        <v>1604</v>
      </c>
      <c r="B137" s="25" t="s">
        <v>1285</v>
      </c>
      <c r="C137" s="30" t="s">
        <v>38</v>
      </c>
      <c r="D137" s="30" t="s">
        <v>38</v>
      </c>
      <c r="E137" s="48" t="s">
        <v>1372</v>
      </c>
      <c r="F137" s="178">
        <v>1.0</v>
      </c>
      <c r="G137" s="28">
        <v>0.0</v>
      </c>
      <c r="H137" s="159">
        <v>50000.0</v>
      </c>
      <c r="I137" s="88">
        <f t="shared" si="13"/>
        <v>59500</v>
      </c>
      <c r="J137" s="30">
        <v>616.0</v>
      </c>
      <c r="K137" s="97">
        <v>185937.0</v>
      </c>
      <c r="L137" s="28"/>
      <c r="M137" s="26" t="s">
        <v>711</v>
      </c>
      <c r="N137" s="28" t="s">
        <v>1286</v>
      </c>
      <c r="O137" s="28" t="s">
        <v>709</v>
      </c>
      <c r="P137" s="28" t="s">
        <v>1287</v>
      </c>
      <c r="Q137" s="30" t="s">
        <v>1643</v>
      </c>
      <c r="R137" s="54"/>
      <c r="S137" s="54">
        <v>3327728.0</v>
      </c>
      <c r="T137" s="54">
        <f>4637816+1404202+504202</f>
        <v>6546220</v>
      </c>
      <c r="U137" s="54">
        <v>590314.0</v>
      </c>
      <c r="V137" s="30" t="s">
        <v>810</v>
      </c>
      <c r="W137" s="30" t="s">
        <v>1411</v>
      </c>
      <c r="X137" s="132">
        <v>46094.0</v>
      </c>
      <c r="Y137" s="48" t="s">
        <v>50</v>
      </c>
      <c r="Z137" s="28" t="s">
        <v>1288</v>
      </c>
      <c r="AA137" s="66"/>
      <c r="AB137" s="48" t="s">
        <v>1621</v>
      </c>
      <c r="AC137" s="66"/>
      <c r="AD137" s="66"/>
      <c r="AE137" s="81"/>
      <c r="AF137" s="121" t="str">
        <f>IFERROR(__xludf.DUMMYFUNCTION("HYPERLINK(
""https://wa.me/""&amp;REGEXREPLACE(Q137,""[^0-9]"","""")&amp;
""?text=""&amp;
ENCODEURL(
""Buenas tardes *""&amp;B137&amp;""*.
Te recordamos que tu plan *""""""&amp;E137&amp;""""""* *no incluye* la declaración de renta. Te enviamos varios correos informando sobre este p"&amp;"roceso. Esta semana vencen las primeras declaraciones juradas, lo que generará multas
Valor: *$""&amp;AG137&amp;""* + IVA = *$""&amp;AH137&amp;""*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37" s="123">
        <v>156250.0</v>
      </c>
      <c r="AH137" s="123">
        <v>185937.5</v>
      </c>
      <c r="AI137" s="123"/>
      <c r="AJ137" s="123"/>
      <c r="AK137" s="123"/>
    </row>
    <row r="138" hidden="1">
      <c r="A138" s="126" t="s">
        <v>1604</v>
      </c>
      <c r="B138" s="26" t="s">
        <v>1289</v>
      </c>
      <c r="C138" s="28"/>
      <c r="D138" s="28"/>
      <c r="E138" s="48" t="s">
        <v>1380</v>
      </c>
      <c r="F138" s="137"/>
      <c r="G138" s="66"/>
      <c r="H138" s="159">
        <v>0.0</v>
      </c>
      <c r="I138" s="88">
        <f t="shared" si="13"/>
        <v>0</v>
      </c>
      <c r="J138" s="135" t="s">
        <v>1438</v>
      </c>
      <c r="K138" s="104"/>
      <c r="L138" s="28"/>
      <c r="M138" s="28" t="s">
        <v>988</v>
      </c>
      <c r="N138" s="28" t="s">
        <v>989</v>
      </c>
      <c r="O138" s="28" t="s">
        <v>990</v>
      </c>
      <c r="P138" s="66"/>
      <c r="Q138" s="172"/>
      <c r="R138" s="54"/>
      <c r="S138" s="54">
        <v>0.0</v>
      </c>
      <c r="T138" s="54">
        <v>0.0</v>
      </c>
      <c r="U138" s="54">
        <v>0.0</v>
      </c>
      <c r="V138" s="70" t="s">
        <v>810</v>
      </c>
      <c r="W138" s="48" t="s">
        <v>1380</v>
      </c>
      <c r="X138" s="66"/>
      <c r="Y138" s="106"/>
      <c r="Z138" s="66"/>
      <c r="AA138" s="66"/>
      <c r="AB138" s="106"/>
      <c r="AC138" s="66"/>
      <c r="AD138" s="66"/>
      <c r="AE138" s="81"/>
      <c r="AF138" s="121" t="str">
        <f>IFERROR(__xludf.DUMMYFUNCTION("HYPERLINK(
""https://wa.me/""&amp;REGEXREPLACE(Q138,""[^0-9]"","""")&amp;
""?text=""&amp;
ENCODEURL(
""Hola *""&amp;B138&amp;""*.
Te recordamos que la factura Nº *""&amp;J138&amp;""* por el plan """"""&amp;E138&amp;"""""" se encuentra disponible para pago y vence hoy.
Monto: *$""&amp;I138&amp;""*"&amp;"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*$""&amp;AG138&amp;""*
Valor total febrero (con IVA): *$""&amp;AH138&amp;""*
A partir de mañana el valor"&amp;" aumenta un 25%, correspondiente al valor de diciembre.
Simple Pyme""
),
""Enviar WhatsApp""
)"),"Enviar WhatsApp")</f>
        <v>Enviar WhatsApp</v>
      </c>
      <c r="AG138" s="81"/>
      <c r="AH138" s="81"/>
      <c r="AI138" s="81"/>
      <c r="AJ138" s="81"/>
      <c r="AK138" s="81"/>
    </row>
    <row r="139" hidden="1">
      <c r="A139" s="126" t="s">
        <v>1604</v>
      </c>
      <c r="B139" s="25" t="s">
        <v>1290</v>
      </c>
      <c r="C139" s="28"/>
      <c r="D139" s="66"/>
      <c r="E139" s="48" t="s">
        <v>1413</v>
      </c>
      <c r="F139" s="137"/>
      <c r="G139" s="66"/>
      <c r="H139" s="159">
        <v>60500.0</v>
      </c>
      <c r="I139" s="88">
        <f t="shared" si="13"/>
        <v>71995</v>
      </c>
      <c r="J139" s="135" t="s">
        <v>1438</v>
      </c>
      <c r="K139" s="104"/>
      <c r="L139" s="71" t="s">
        <v>1613</v>
      </c>
      <c r="M139" s="26" t="s">
        <v>1291</v>
      </c>
      <c r="N139" s="28" t="s">
        <v>1292</v>
      </c>
      <c r="O139" s="52" t="s">
        <v>1293</v>
      </c>
      <c r="P139" s="28" t="s">
        <v>1294</v>
      </c>
      <c r="Q139" s="28" t="s">
        <v>1644</v>
      </c>
      <c r="R139" s="88"/>
      <c r="S139" s="88"/>
      <c r="T139" s="88"/>
      <c r="U139" s="88"/>
      <c r="V139" s="48" t="s">
        <v>811</v>
      </c>
      <c r="W139" s="48" t="s">
        <v>1585</v>
      </c>
      <c r="X139" s="66"/>
      <c r="Y139" s="106"/>
      <c r="Z139" s="66"/>
      <c r="AA139" s="66"/>
      <c r="AB139" s="48" t="s">
        <v>811</v>
      </c>
      <c r="AC139" s="66"/>
      <c r="AD139" s="66"/>
      <c r="AE139" s="81"/>
      <c r="AF139" s="121" t="str">
        <f>IFERROR(__xludf.DUMMYFUNCTION("HYPERLINK(
""https://wa.me/""&amp;REGEXREPLACE(Q139,""[^0-9]"","""")&amp;
""?text=""&amp;
ENCODEURL(
""Hola *""&amp;B139&amp;""*.
Te recordamos que la factura Nº *""&amp;J139&amp;""* por el plan """"""&amp;E139&amp;"""""" se encuentra disponible para pago y vence hoy.
Monto: *$""&amp;I139&amp;""*"&amp;"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*$""&amp;AG139&amp;""*
Valor total febrero (con IVA): *$""&amp;AH139&amp;""*
A partir de mañana el valor"&amp;" aumenta un 25%, correspondiente al valor de diciembre.
Simple Pyme""
),
""Enviar WhatsApp""
)"),"Enviar WhatsApp")</f>
        <v>Enviar WhatsApp</v>
      </c>
      <c r="AG139" s="81">
        <v>0.0</v>
      </c>
      <c r="AH139" s="81">
        <f t="shared" ref="AH139:AH145" si="15">AG139*1.19</f>
        <v>0</v>
      </c>
      <c r="AI139" s="81"/>
      <c r="AJ139" s="81"/>
      <c r="AK139" s="81"/>
    </row>
    <row r="140" hidden="1">
      <c r="A140" s="126" t="s">
        <v>1604</v>
      </c>
      <c r="B140" s="25" t="s">
        <v>1295</v>
      </c>
      <c r="C140" s="30" t="s">
        <v>38</v>
      </c>
      <c r="D140" s="30" t="s">
        <v>38</v>
      </c>
      <c r="E140" s="48" t="s">
        <v>1413</v>
      </c>
      <c r="F140" s="137"/>
      <c r="G140" s="66"/>
      <c r="H140" s="169">
        <v>60504.0</v>
      </c>
      <c r="I140" s="88">
        <f t="shared" si="13"/>
        <v>71999.76</v>
      </c>
      <c r="J140" s="30">
        <v>617.0</v>
      </c>
      <c r="K140" s="104"/>
      <c r="L140" s="66"/>
      <c r="M140" s="26" t="s">
        <v>506</v>
      </c>
      <c r="N140" s="92" t="s">
        <v>1296</v>
      </c>
      <c r="O140" s="28" t="s">
        <v>1297</v>
      </c>
      <c r="P140" s="28" t="s">
        <v>506</v>
      </c>
      <c r="Q140" s="28" t="s">
        <v>1645</v>
      </c>
      <c r="R140" s="54"/>
      <c r="S140" s="54">
        <v>1750388.0</v>
      </c>
      <c r="T140" s="54">
        <v>2387395.0</v>
      </c>
      <c r="U140" s="54">
        <v>2984.0</v>
      </c>
      <c r="V140" s="30" t="s">
        <v>1672</v>
      </c>
      <c r="W140" s="30" t="s">
        <v>1411</v>
      </c>
      <c r="X140" s="66"/>
      <c r="Y140" s="106"/>
      <c r="Z140" s="66"/>
      <c r="AA140" s="66"/>
      <c r="AB140" s="106"/>
      <c r="AC140" s="66"/>
      <c r="AD140" s="66"/>
      <c r="AE140" s="81"/>
      <c r="AF140" s="121" t="str">
        <f>IFERROR(__xludf.DUMMYFUNCTION("HYPERLINK(
""https://wa.me/""&amp;REGEXREPLACE(Q140,""[^0-9]"","""")&amp;
""?text=""&amp;
ENCODEURL(
""Hola *""&amp;B140&amp;""*.
Te recordamos que la factura Nº *""&amp;J140&amp;""* por el plan """"""&amp;E140&amp;"""""" se encuentra disponible para pago y vence hoy.
Monto: *$""&amp;I140&amp;""*"&amp;"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40" s="81"/>
      <c r="AH140" s="81">
        <f t="shared" si="15"/>
        <v>0</v>
      </c>
      <c r="AI140" s="81"/>
      <c r="AJ140" s="81"/>
      <c r="AK140" s="81"/>
    </row>
    <row r="141" hidden="1">
      <c r="A141" s="126" t="s">
        <v>1604</v>
      </c>
      <c r="B141" s="25" t="s">
        <v>1298</v>
      </c>
      <c r="C141" s="28"/>
      <c r="D141" s="66"/>
      <c r="E141" s="48" t="s">
        <v>1413</v>
      </c>
      <c r="F141" s="137"/>
      <c r="G141" s="66"/>
      <c r="H141" s="159">
        <v>60500.0</v>
      </c>
      <c r="I141" s="88">
        <f t="shared" si="13"/>
        <v>71995</v>
      </c>
      <c r="J141" s="135" t="s">
        <v>1438</v>
      </c>
      <c r="K141" s="104"/>
      <c r="L141" s="71" t="s">
        <v>1584</v>
      </c>
      <c r="M141" s="26" t="s">
        <v>1299</v>
      </c>
      <c r="N141" s="28" t="s">
        <v>1300</v>
      </c>
      <c r="O141" s="28" t="s">
        <v>1301</v>
      </c>
      <c r="P141" s="28" t="s">
        <v>1302</v>
      </c>
      <c r="Q141" s="28" t="s">
        <v>1646</v>
      </c>
      <c r="R141" s="54"/>
      <c r="S141" s="54"/>
      <c r="T141" s="54"/>
      <c r="U141" s="54" t="s">
        <v>64</v>
      </c>
      <c r="V141" s="48" t="s">
        <v>811</v>
      </c>
      <c r="W141" s="48" t="s">
        <v>1585</v>
      </c>
      <c r="X141" s="66"/>
      <c r="Y141" s="106"/>
      <c r="Z141" s="66"/>
      <c r="AA141" s="66"/>
      <c r="AB141" s="106"/>
      <c r="AC141" s="66"/>
      <c r="AD141" s="66"/>
      <c r="AE141" s="81"/>
      <c r="AF141" s="121" t="str">
        <f>IFERROR(__xludf.DUMMYFUNCTION("HYPERLINK(
""https://wa.me/""&amp;REGEXREPLACE(Q141,""[^0-9]"","""")&amp;
""?text=""&amp;
ENCODEURL(
""Hola *""&amp;B141&amp;""*.
Te recordamos que la factura Nº *""&amp;J141&amp;""* por el plan """"""&amp;E141&amp;"""""" se encuentra disponible para pago y vence hoy.
Monto: *$""&amp;I141&amp;""*"&amp;"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*$""&amp;AG141&amp;""*
Valor total febrero (con IVA): *$""&amp;AH141&amp;""*
A partir de mañana el valor"&amp;" aumenta un 25%, correspondiente al valor de diciembre.
Simple Pyme""
),
""Enviar WhatsApp""
)"),"Enviar WhatsApp")</f>
        <v>Enviar WhatsApp</v>
      </c>
      <c r="AG141" s="81">
        <v>0.0</v>
      </c>
      <c r="AH141" s="81">
        <f t="shared" si="15"/>
        <v>0</v>
      </c>
      <c r="AI141" s="81"/>
      <c r="AJ141" s="81"/>
      <c r="AK141" s="81"/>
    </row>
    <row r="142" hidden="1">
      <c r="A142" s="126" t="s">
        <v>1604</v>
      </c>
      <c r="B142" s="65" t="s">
        <v>1303</v>
      </c>
      <c r="C142" s="30" t="s">
        <v>38</v>
      </c>
      <c r="D142" s="30" t="s">
        <v>38</v>
      </c>
      <c r="E142" s="48" t="s">
        <v>1413</v>
      </c>
      <c r="F142" s="137"/>
      <c r="G142" s="66"/>
      <c r="H142" s="169">
        <v>60504.0</v>
      </c>
      <c r="I142" s="88">
        <f t="shared" si="13"/>
        <v>71999.76</v>
      </c>
      <c r="J142" s="30">
        <v>618.0</v>
      </c>
      <c r="K142" s="104"/>
      <c r="L142" s="66"/>
      <c r="M142" s="94" t="s">
        <v>478</v>
      </c>
      <c r="N142" s="93" t="s">
        <v>479</v>
      </c>
      <c r="O142" s="94" t="s">
        <v>1304</v>
      </c>
      <c r="P142" s="28" t="s">
        <v>1305</v>
      </c>
      <c r="Q142" s="186" t="s">
        <v>1647</v>
      </c>
      <c r="R142" s="54"/>
      <c r="S142" s="54">
        <v>438835.0</v>
      </c>
      <c r="T142" s="54">
        <v>1400000.0</v>
      </c>
      <c r="U142" s="54">
        <v>166200.0</v>
      </c>
      <c r="V142" s="30" t="s">
        <v>1672</v>
      </c>
      <c r="W142" s="30" t="s">
        <v>1411</v>
      </c>
      <c r="X142" s="128">
        <v>46086.0</v>
      </c>
      <c r="Y142" s="106"/>
      <c r="Z142" s="66"/>
      <c r="AA142" s="66"/>
      <c r="AB142" s="105" t="s">
        <v>1612</v>
      </c>
      <c r="AC142" s="66"/>
      <c r="AD142" s="66"/>
      <c r="AE142" s="81"/>
      <c r="AF142" s="121" t="str">
        <f>IFERROR(__xludf.DUMMYFUNCTION("HYPERLINK(
""https://wa.me/""&amp;REGEXREPLACE(Q142,""[^0-9]"","""")&amp;
""?text=""&amp;
ENCODEURL(
""Hola *""&amp;B142&amp;""*.
Te recordamos que la factura Nº *""&amp;J142&amp;""* por el plan """"""&amp;E142&amp;"""""" se encuentra disponible para pago y vence hoy.
Monto: *$""&amp;I142&amp;""*"&amp;"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42" s="81"/>
      <c r="AH142" s="81">
        <f t="shared" si="15"/>
        <v>0</v>
      </c>
      <c r="AI142" s="81"/>
      <c r="AJ142" s="81"/>
      <c r="AK142" s="81"/>
    </row>
    <row r="143" hidden="1">
      <c r="A143" s="81"/>
      <c r="B143" s="25" t="s">
        <v>1306</v>
      </c>
      <c r="C143" s="30" t="s">
        <v>38</v>
      </c>
      <c r="D143" s="30" t="s">
        <v>38</v>
      </c>
      <c r="E143" s="48" t="s">
        <v>1362</v>
      </c>
      <c r="F143" s="94"/>
      <c r="G143" s="94"/>
      <c r="H143" s="88">
        <v>30000.0</v>
      </c>
      <c r="I143" s="88">
        <f t="shared" si="13"/>
        <v>35700</v>
      </c>
      <c r="J143" s="30">
        <v>619.0</v>
      </c>
      <c r="K143" s="142">
        <v>119000.0</v>
      </c>
      <c r="L143" s="187"/>
      <c r="M143" s="26" t="s">
        <v>491</v>
      </c>
      <c r="N143" s="26" t="s">
        <v>492</v>
      </c>
      <c r="O143" s="25" t="s">
        <v>1307</v>
      </c>
      <c r="P143" s="28" t="s">
        <v>1308</v>
      </c>
      <c r="Q143" s="28" t="s">
        <v>1648</v>
      </c>
      <c r="R143" s="54"/>
      <c r="S143" s="54">
        <f>2917806-228000</f>
        <v>2689806</v>
      </c>
      <c r="T143" s="54">
        <f>62900+2129547+1398744</f>
        <v>3591191</v>
      </c>
      <c r="U143" s="54">
        <v>4489.0</v>
      </c>
      <c r="V143" s="30" t="s">
        <v>810</v>
      </c>
      <c r="W143" s="30" t="s">
        <v>1411</v>
      </c>
      <c r="X143" s="128">
        <v>46086.0</v>
      </c>
      <c r="Y143" s="66"/>
      <c r="Z143" s="28" t="s">
        <v>1309</v>
      </c>
      <c r="AA143" s="28" t="s">
        <v>494</v>
      </c>
      <c r="AB143" s="48" t="s">
        <v>1621</v>
      </c>
      <c r="AC143" s="66"/>
      <c r="AD143" s="66"/>
      <c r="AE143" s="94"/>
      <c r="AF143" s="121" t="str">
        <f>IFERROR(__xludf.DUMMYFUNCTION("HYPERLINK(
""https://wa.me/""&amp;REGEXREPLACE(Q143,""[^0-9]"","""")&amp;
""?text=""&amp;
ENCODEURL(
""Hola *""&amp;B143&amp;""*.
Te recordamos que la factura Nº *""&amp;J143&amp;""* por el plan """"""&amp;E143&amp;"""""" se encuentra disponible para pago y vence hoy.
Monto: *$""&amp;I143&amp;""*"&amp;"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*$""&amp;AG143&amp;""*
Valor total febrero (con IVA): *$""&amp;AH143&amp;""*
A partir de mañana el valor"&amp;" aumenta un 25%, correspondiente al valor de diciembre.
Simple Pyme""
),
""Enviar WhatsApp""
)"),"Enviar WhatsApp")</f>
        <v>Enviar WhatsApp</v>
      </c>
      <c r="AG143" s="122">
        <v>100000.0</v>
      </c>
      <c r="AH143" s="123">
        <f t="shared" si="15"/>
        <v>119000</v>
      </c>
      <c r="AI143" s="81"/>
      <c r="AJ143" s="81"/>
      <c r="AK143" s="81"/>
    </row>
    <row r="144" hidden="1">
      <c r="A144" s="126" t="s">
        <v>1604</v>
      </c>
      <c r="B144" s="94" t="s">
        <v>1310</v>
      </c>
      <c r="C144" s="28"/>
      <c r="D144" s="66"/>
      <c r="E144" s="48" t="s">
        <v>1413</v>
      </c>
      <c r="F144" s="137"/>
      <c r="G144" s="66"/>
      <c r="H144" s="159">
        <v>60500.0</v>
      </c>
      <c r="I144" s="88">
        <f t="shared" si="13"/>
        <v>71995</v>
      </c>
      <c r="J144" s="135" t="s">
        <v>1438</v>
      </c>
      <c r="K144" s="104"/>
      <c r="L144" s="71" t="s">
        <v>1613</v>
      </c>
      <c r="M144" s="26" t="s">
        <v>1311</v>
      </c>
      <c r="N144" s="28" t="s">
        <v>809</v>
      </c>
      <c r="O144" s="28" t="s">
        <v>1312</v>
      </c>
      <c r="P144" s="28" t="s">
        <v>1313</v>
      </c>
      <c r="Q144" s="28" t="s">
        <v>1649</v>
      </c>
      <c r="R144" s="54"/>
      <c r="S144" s="54"/>
      <c r="T144" s="54"/>
      <c r="U144" s="54"/>
      <c r="V144" s="70" t="s">
        <v>880</v>
      </c>
      <c r="W144" s="48" t="s">
        <v>1585</v>
      </c>
      <c r="X144" s="66"/>
      <c r="Y144" s="106"/>
      <c r="Z144" s="66"/>
      <c r="AA144" s="66"/>
      <c r="AB144" s="106"/>
      <c r="AC144" s="66"/>
      <c r="AD144" s="66"/>
      <c r="AE144" s="81"/>
      <c r="AF144" s="121" t="str">
        <f>IFERROR(__xludf.DUMMYFUNCTION("HYPERLINK(
""https://wa.me/""&amp;REGEXREPLACE(Q144,""[^0-9]"","""")&amp;
""?text=""&amp;
ENCODEURL(
""Hola *""&amp;B144&amp;""*.
Te recordamos que la factura Nº *""&amp;J144&amp;""* por el plan """"""&amp;E144&amp;"""""" se encuentra disponible para pago y vence hoy.
Monto: *$""&amp;I144&amp;""*"&amp;"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*$""&amp;AG144&amp;""*
Valor total febrero (con IVA): *$""&amp;AH144&amp;""*
A partir de mañana el valor"&amp;" aumenta un 25%, correspondiente al valor de diciembre.
Simple Pyme""
),
""Enviar WhatsApp""
)"),"Enviar WhatsApp")</f>
        <v>Enviar WhatsApp</v>
      </c>
      <c r="AG144" s="81">
        <v>0.0</v>
      </c>
      <c r="AH144" s="81">
        <f t="shared" si="15"/>
        <v>0</v>
      </c>
      <c r="AI144" s="81"/>
      <c r="AJ144" s="81"/>
      <c r="AK144" s="81"/>
    </row>
    <row r="145" hidden="1">
      <c r="A145" s="126" t="s">
        <v>1604</v>
      </c>
      <c r="B145" s="40" t="s">
        <v>171</v>
      </c>
      <c r="C145" s="30" t="s">
        <v>38</v>
      </c>
      <c r="D145" s="30" t="s">
        <v>38</v>
      </c>
      <c r="E145" s="70" t="s">
        <v>1207</v>
      </c>
      <c r="F145" s="137"/>
      <c r="G145" s="66"/>
      <c r="H145" s="159">
        <v>60504.0</v>
      </c>
      <c r="I145" s="88">
        <f t="shared" si="13"/>
        <v>71999.76</v>
      </c>
      <c r="J145" s="30">
        <v>620.0</v>
      </c>
      <c r="K145" s="104"/>
      <c r="L145" s="66"/>
      <c r="M145" s="26" t="s">
        <v>172</v>
      </c>
      <c r="N145" s="28" t="s">
        <v>173</v>
      </c>
      <c r="O145" s="28" t="s">
        <v>1314</v>
      </c>
      <c r="P145" s="28" t="s">
        <v>1315</v>
      </c>
      <c r="Q145" s="28" t="s">
        <v>1708</v>
      </c>
      <c r="R145" s="54"/>
      <c r="S145" s="54">
        <v>0.0</v>
      </c>
      <c r="T145" s="54">
        <v>0.0</v>
      </c>
      <c r="U145" s="54">
        <v>0.0</v>
      </c>
      <c r="V145" s="70" t="s">
        <v>1207</v>
      </c>
      <c r="W145" s="70" t="s">
        <v>1207</v>
      </c>
      <c r="X145" s="132"/>
      <c r="Y145" s="106"/>
      <c r="Z145" s="28" t="s">
        <v>1316</v>
      </c>
      <c r="AA145" s="28">
        <v>2806.0</v>
      </c>
      <c r="AB145" s="48" t="s">
        <v>811</v>
      </c>
      <c r="AC145" s="66"/>
      <c r="AD145" s="66"/>
      <c r="AE145" s="81"/>
      <c r="AF145" s="121" t="str">
        <f>IFERROR(__xludf.DUMMYFUNCTION("HYPERLINK(
""https://wa.me/""&amp;REGEXREPLACE(Q145,""[^0-9]"","""")&amp;
""?text=""&amp;
ENCODEURL(
""Hola *""&amp;B145&amp;""*.
Te recordamos que la factura Nº *""&amp;J145&amp;""* por el plan """"""&amp;E145&amp;"""""" se encuentra disponible para pago y vence hoy.
Monto: *$""&amp;I145&amp;""*"&amp;"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Simple Pyme""
),
""Enviar WhatsApp""
)"),"Enviar WhatsApp")</f>
        <v>Enviar WhatsApp</v>
      </c>
      <c r="AG145" s="81"/>
      <c r="AH145" s="81">
        <f t="shared" si="15"/>
        <v>0</v>
      </c>
      <c r="AI145" s="81"/>
      <c r="AJ145" s="81"/>
      <c r="AK145" s="81"/>
    </row>
    <row r="146" hidden="1">
      <c r="A146" s="81"/>
      <c r="B146" s="25" t="s">
        <v>1650</v>
      </c>
      <c r="C146" s="28" t="s">
        <v>50</v>
      </c>
      <c r="D146" s="28"/>
      <c r="E146" s="48" t="s">
        <v>1416</v>
      </c>
      <c r="F146" s="137"/>
      <c r="G146" s="66"/>
      <c r="H146" s="159">
        <v>10000.0</v>
      </c>
      <c r="I146" s="88">
        <f t="shared" si="13"/>
        <v>11900</v>
      </c>
      <c r="J146" s="30">
        <v>621.0</v>
      </c>
      <c r="K146" s="137"/>
      <c r="L146" s="66"/>
      <c r="M146" s="94" t="s">
        <v>1651</v>
      </c>
      <c r="N146" s="28" t="s">
        <v>1652</v>
      </c>
      <c r="O146" s="28" t="s">
        <v>1653</v>
      </c>
      <c r="P146" s="66"/>
      <c r="Q146" s="28" t="s">
        <v>1654</v>
      </c>
      <c r="R146" s="54"/>
      <c r="S146" s="54"/>
      <c r="T146" s="54"/>
      <c r="U146" s="54" t="s">
        <v>1178</v>
      </c>
      <c r="V146" s="30" t="s">
        <v>811</v>
      </c>
      <c r="W146" s="30" t="s">
        <v>1364</v>
      </c>
      <c r="X146" s="66"/>
      <c r="Y146" s="106"/>
      <c r="Z146" s="28" t="s">
        <v>1655</v>
      </c>
      <c r="AA146" s="66"/>
      <c r="AB146" s="48" t="s">
        <v>811</v>
      </c>
      <c r="AC146" s="66"/>
      <c r="AD146" s="66"/>
      <c r="AE146" s="81"/>
      <c r="AF146" s="121" t="str">
        <f>IFERROR(__xludf.DUMMYFUNCTION("HYPERLINK(
""https://wa.me/""&amp;REGEXREPLACE(Q146,""[^0-9]"","""")&amp;
""?text=""&amp;
ENCODEURL(
""Buenas tardes *""&amp;B146&amp;""*.
Te recordamos que tu plan *""""""&amp;E146&amp;""""""* *no incluye* la declaración de renta. Te enviamos varios correos informando sobre este p"&amp;"roceso. Esta semana vencen las primeras declaraciones juradas, lo que generará multas
Valor: *$""&amp;AG146&amp;""* + IVA = *$""&amp;AH146&amp;""*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46" s="144">
        <v>100000.0</v>
      </c>
      <c r="AH146" s="81">
        <v>119000.0</v>
      </c>
      <c r="AI146" s="81"/>
      <c r="AJ146" s="81"/>
      <c r="AK146" s="81"/>
    </row>
    <row r="147" hidden="1">
      <c r="A147" s="81"/>
      <c r="B147" s="25" t="s">
        <v>1656</v>
      </c>
      <c r="C147" s="28" t="s">
        <v>50</v>
      </c>
      <c r="D147" s="28"/>
      <c r="E147" s="48" t="s">
        <v>1416</v>
      </c>
      <c r="F147" s="137"/>
      <c r="G147" s="66"/>
      <c r="H147" s="159">
        <v>10000.0</v>
      </c>
      <c r="I147" s="88">
        <f t="shared" si="13"/>
        <v>11900</v>
      </c>
      <c r="J147" s="30">
        <v>622.0</v>
      </c>
      <c r="K147" s="137"/>
      <c r="L147" s="71" t="s">
        <v>1178</v>
      </c>
      <c r="M147" s="26" t="s">
        <v>1657</v>
      </c>
      <c r="N147" s="28" t="s">
        <v>1658</v>
      </c>
      <c r="O147" s="28" t="s">
        <v>1659</v>
      </c>
      <c r="P147" s="66"/>
      <c r="Q147" s="28" t="s">
        <v>1654</v>
      </c>
      <c r="R147" s="54"/>
      <c r="S147" s="54"/>
      <c r="T147" s="54"/>
      <c r="U147" s="54" t="s">
        <v>1178</v>
      </c>
      <c r="V147" s="30" t="s">
        <v>811</v>
      </c>
      <c r="W147" s="30" t="s">
        <v>1364</v>
      </c>
      <c r="X147" s="128"/>
      <c r="Y147" s="106"/>
      <c r="Z147" s="28" t="s">
        <v>1656</v>
      </c>
      <c r="AA147" s="66"/>
      <c r="AB147" s="48" t="s">
        <v>811</v>
      </c>
      <c r="AC147" s="66"/>
      <c r="AD147" s="66"/>
      <c r="AE147" s="81"/>
      <c r="AF147" s="121" t="str">
        <f>IFERROR(__xludf.DUMMYFUNCTION("HYPERLINK(
""https://wa.me/""&amp;REGEXREPLACE(Q147,""[^0-9]"","""")&amp;
""?text=""&amp;
ENCODEURL(
""Buenas tardes *""&amp;B147&amp;""*.
Te recordamos que tu plan *""""""&amp;E147&amp;""""""* *no incluye* la declaración de renta. Te enviamos varios correos informando sobre este p"&amp;"roceso. Esta semana vencen las primeras declaraciones juradas, lo que generará multas
Valor: *$""&amp;AG147&amp;""* + IVA = *$""&amp;AH147&amp;""*
El pago puedes hacerlo vía transferencia en la siguiente *EN HASTA DOS CUOTAS* cuenta:
*CUENTA BANCARIA*
VOLLAIRE &amp; OLIVO"&amp;"S SIMPLE PYME LTDA
Banco BCI
Cuenta corriente
RUT 78.306.207-0
Número de cuenta: 70809538
MATIAS.OLIVOS@VSVCONSULTORES.COM
También puedes pagar con tarjeta de débito o crédito en el siguiente link:
https://www.flow.cl/btn.php?token=xe78c9acb73c3eff5e917d"&amp;"5c932a4a2f7f971abe
Simple Pyme""
),
""Enviar WhatsApp""
)"),"Enviar WhatsApp")</f>
        <v>Enviar WhatsApp</v>
      </c>
      <c r="AG147" s="144">
        <v>100000.0</v>
      </c>
      <c r="AH147" s="81">
        <v>119000.0</v>
      </c>
      <c r="AI147" s="81"/>
      <c r="AJ147" s="81"/>
      <c r="AK147" s="81"/>
    </row>
    <row r="148" hidden="1">
      <c r="A148" s="81"/>
      <c r="B148" s="95" t="s">
        <v>1317</v>
      </c>
      <c r="C148" s="66"/>
      <c r="D148" s="66"/>
      <c r="E148" s="105" t="s">
        <v>1380</v>
      </c>
      <c r="F148" s="137"/>
      <c r="G148" s="66"/>
      <c r="H148" s="95">
        <v>0.0</v>
      </c>
      <c r="I148" s="188">
        <v>0.0</v>
      </c>
      <c r="J148" s="188" t="s">
        <v>1438</v>
      </c>
      <c r="K148" s="137"/>
      <c r="L148" s="66"/>
      <c r="M148" s="96" t="s">
        <v>1318</v>
      </c>
      <c r="N148" s="96" t="s">
        <v>1319</v>
      </c>
      <c r="O148" s="53" t="s">
        <v>1320</v>
      </c>
      <c r="P148" s="66"/>
      <c r="Q148" s="71" t="s">
        <v>1660</v>
      </c>
      <c r="R148" s="97"/>
      <c r="S148" s="97">
        <v>0.0</v>
      </c>
      <c r="T148" s="97">
        <v>0.0</v>
      </c>
      <c r="U148" s="97">
        <v>0.0</v>
      </c>
      <c r="V148" s="30" t="s">
        <v>810</v>
      </c>
      <c r="W148" s="105" t="s">
        <v>1380</v>
      </c>
      <c r="X148" s="66"/>
      <c r="Y148" s="106"/>
      <c r="Z148" s="66"/>
      <c r="AA148" s="66"/>
      <c r="AB148" s="106"/>
      <c r="AC148" s="66"/>
      <c r="AD148" s="66"/>
      <c r="AE148" s="81"/>
      <c r="AF148" s="121" t="str">
        <f>IFERROR(__xludf.DUMMYFUNCTION("HYPERLINK(
""https://wa.me/""&amp;REGEXREPLACE(Q148,""[^0-9]"","""")&amp;
""?text=""&amp;
ENCODEURL(
""Hola *""&amp;B148&amp;""*.
Te recordamos que la factura Nº *""&amp;J148&amp;""* por el plan """"""&amp;E148&amp;"""""" se encuentra disponible para pago y vence hoy.
Monto: *$""&amp;I148&amp;""*"&amp;"
El pago puedes hacerlo vía transferencia en la siguiente cuenta:
*CUENTA BANCARIA*
VOLLAIRE &amp; OLIVOS SIMPLE PYME LTDA
Banco BCI
Cuenta corriente
RUT 78.306.207-0
Número de cuenta: 70809538
MATIAS.OLIVOS@VSVCONSULTORES.COM
También puedes pagar con tarj"&amp;"eta de débito o crédito en el siguiente link:
https://www.flow.cl/btn.php?token=xe78c9acb73c3eff5e917d5c932a4a2f7f971abe
Agradecemos realizar el pago dentro del plazo para evitar la suspensión del servicio.
También te recordamos que tu servicio contable"&amp;" no incluye la Operación Renta. Te enviamos correos informando sobre este proceso. Si pagas el servicio hoy, puedo mantener el valor de febrero:
Valor neto febrero: *$""&amp;AG148&amp;""*
Valor total febrero (con IVA): *$""&amp;AH148&amp;""*
A partir de mañana el valor"&amp;" aumenta un 25%, correspondiente al valor de diciembre.
Simple Pyme""
),
""Enviar WhatsApp""
)"),"Enviar WhatsApp")</f>
        <v>Enviar WhatsApp</v>
      </c>
      <c r="AG148" s="81"/>
      <c r="AH148" s="81"/>
      <c r="AI148" s="81"/>
      <c r="AJ148" s="81"/>
      <c r="AK148" s="81"/>
    </row>
    <row r="149" hidden="1">
      <c r="A149" s="81"/>
      <c r="B149" s="71" t="s">
        <v>1321</v>
      </c>
      <c r="C149" s="30" t="s">
        <v>38</v>
      </c>
      <c r="D149" s="30" t="s">
        <v>38</v>
      </c>
      <c r="E149" s="105" t="s">
        <v>1362</v>
      </c>
      <c r="H149" s="96">
        <v>30000.0</v>
      </c>
      <c r="I149" s="88">
        <f t="shared" ref="I149:I151" si="16">H149*1.19</f>
        <v>35700</v>
      </c>
      <c r="J149" s="30">
        <v>623.0</v>
      </c>
      <c r="K149" s="137"/>
      <c r="L149" s="66"/>
      <c r="M149" s="71" t="s">
        <v>674</v>
      </c>
      <c r="N149" s="71" t="s">
        <v>675</v>
      </c>
      <c r="O149" s="71" t="s">
        <v>1322</v>
      </c>
      <c r="P149" s="71" t="s">
        <v>1323</v>
      </c>
      <c r="Q149" s="97" t="s">
        <v>1661</v>
      </c>
      <c r="R149" s="54"/>
      <c r="S149" s="54">
        <f>225027</f>
        <v>225027</v>
      </c>
      <c r="T149" s="54">
        <f>6433687-6403687</f>
        <v>30000</v>
      </c>
      <c r="U149" s="54">
        <v>106.0</v>
      </c>
      <c r="V149" s="30" t="s">
        <v>1709</v>
      </c>
      <c r="W149" s="30" t="s">
        <v>1411</v>
      </c>
      <c r="X149" s="189"/>
      <c r="Y149" s="106"/>
      <c r="Z149" s="71" t="s">
        <v>1324</v>
      </c>
      <c r="AB149" s="105"/>
      <c r="AC149" s="66"/>
      <c r="AD149" s="66"/>
      <c r="AE149" s="81"/>
      <c r="AF149" s="121" t="str">
        <f>IFERROR(__xludf.DUMMYFUNCTION("HYPERLINK(
""https://wa.me/""&amp;REGEXREPLACE(Q149,""[^0-9]"","""")&amp;
""?text=""&amp;
ENCODEURL(
""Buenas tardes *""&amp;B149&amp;""*. *HOY SE PAGA EL IVA Y TU SERVICIO ESTÁ SUSPENDIDO*
Te recordamos que la factura """"""&amp;J149&amp;"""""" de tu plan """"""&amp;E149&amp;"""""" se enc"&amp;"uentre impaga a la fecha, lo que implica que tu servicio se encuentra suspendido. Para reactivar el servicio y que hagamos la declaración mensual debes realizar el pago lo antes posible.
Valor: *$""&amp;H149&amp;""* + IVA = *$""&amp;I149&amp;""*
*CUENTA BANCARIA*
VOLLAI"&amp;"RE &amp; OLIVOS SIMPLE PYME LTDA
Banco BCI
Cuenta corriente
RUT 78.306.207-0
Número de cuenta: 70809538
MATIAS.OLIVOS@VSVCONSULTORES.COM
También puedes pagar con tarjeta de débito o crédito en el siguiente link:
https://www.flow.cl/btn.php?token=xe78c9acb73c"&amp;"3eff5e917d5c932a4a2f7f971abe
Simple Pyme""
),
""Enviar WhatsApp""
)"),"Enviar WhatsApp")</f>
        <v>Enviar WhatsApp</v>
      </c>
      <c r="AG149" s="81"/>
      <c r="AH149" s="81">
        <f>AG149*1.19</f>
        <v>0</v>
      </c>
      <c r="AI149" s="81"/>
      <c r="AJ149" s="81"/>
      <c r="AK149" s="81"/>
    </row>
    <row r="150" hidden="1">
      <c r="A150" s="81"/>
      <c r="B150" s="71" t="s">
        <v>1662</v>
      </c>
      <c r="C150" s="30" t="s">
        <v>38</v>
      </c>
      <c r="D150" s="30" t="s">
        <v>38</v>
      </c>
      <c r="E150" s="105" t="s">
        <v>1372</v>
      </c>
      <c r="F150" s="137"/>
      <c r="G150" s="66"/>
      <c r="H150" s="95">
        <v>100000.0</v>
      </c>
      <c r="I150" s="88">
        <f t="shared" si="16"/>
        <v>119000</v>
      </c>
      <c r="J150" s="96">
        <v>630.0</v>
      </c>
      <c r="K150" s="96">
        <v>238000.0</v>
      </c>
      <c r="L150" s="66"/>
      <c r="M150" s="190" t="s">
        <v>743</v>
      </c>
      <c r="N150" s="71" t="s">
        <v>744</v>
      </c>
      <c r="O150" s="188" t="s">
        <v>1663</v>
      </c>
      <c r="P150" s="71" t="s">
        <v>1664</v>
      </c>
      <c r="Q150" s="71" t="s">
        <v>1665</v>
      </c>
      <c r="R150" s="104"/>
      <c r="S150" s="104">
        <f>2384153-60650</f>
        <v>2323503</v>
      </c>
      <c r="T150" s="104">
        <f>56240121-24484946</f>
        <v>31755175</v>
      </c>
      <c r="U150" s="97">
        <v>5633420.0</v>
      </c>
      <c r="V150" s="30" t="s">
        <v>810</v>
      </c>
      <c r="W150" s="105" t="s">
        <v>1411</v>
      </c>
      <c r="X150" s="66"/>
      <c r="Y150" s="106"/>
      <c r="Z150" s="71" t="s">
        <v>1666</v>
      </c>
      <c r="AA150" s="66"/>
      <c r="AB150" s="106"/>
      <c r="AC150" s="66"/>
      <c r="AD150" s="66"/>
      <c r="AE150" s="81"/>
      <c r="AF150" s="81"/>
      <c r="AG150" s="81"/>
      <c r="AH150" s="81"/>
      <c r="AI150" s="81"/>
      <c r="AJ150" s="81"/>
      <c r="AK150" s="81"/>
    </row>
    <row r="151" hidden="1">
      <c r="A151" s="81"/>
      <c r="B151" s="66" t="s">
        <v>1667</v>
      </c>
      <c r="C151" s="30" t="s">
        <v>38</v>
      </c>
      <c r="D151" s="30" t="s">
        <v>38</v>
      </c>
      <c r="E151" s="105" t="s">
        <v>1362</v>
      </c>
      <c r="F151" s="137"/>
      <c r="G151" s="66"/>
      <c r="H151" s="95">
        <v>30000.0</v>
      </c>
      <c r="I151" s="88">
        <f t="shared" si="16"/>
        <v>35700</v>
      </c>
      <c r="J151" s="137"/>
      <c r="K151" s="137"/>
      <c r="L151" s="71" t="s">
        <v>1668</v>
      </c>
      <c r="M151" s="190" t="s">
        <v>757</v>
      </c>
      <c r="N151" s="71" t="s">
        <v>758</v>
      </c>
      <c r="O151" s="71" t="s">
        <v>755</v>
      </c>
      <c r="P151" s="71" t="s">
        <v>1669</v>
      </c>
      <c r="Q151" s="188" t="s">
        <v>1670</v>
      </c>
      <c r="R151" s="104"/>
      <c r="S151" s="104"/>
      <c r="T151" s="104"/>
      <c r="U151" s="104"/>
      <c r="V151" s="105" t="s">
        <v>810</v>
      </c>
      <c r="W151" s="105" t="s">
        <v>1411</v>
      </c>
      <c r="X151" s="66"/>
      <c r="Y151" s="106"/>
      <c r="Z151" s="71" t="s">
        <v>1671</v>
      </c>
      <c r="AA151" s="71" t="s">
        <v>762</v>
      </c>
      <c r="AB151" s="106"/>
      <c r="AC151" s="66"/>
      <c r="AD151" s="66"/>
      <c r="AE151" s="81"/>
      <c r="AF151" s="81"/>
      <c r="AG151" s="81"/>
      <c r="AH151" s="81"/>
      <c r="AI151" s="81"/>
      <c r="AJ151" s="81"/>
      <c r="AK151" s="81"/>
    </row>
    <row r="152" hidden="1">
      <c r="A152" s="81"/>
      <c r="B152" s="66"/>
      <c r="C152" s="66"/>
      <c r="D152" s="66"/>
      <c r="E152" s="106"/>
      <c r="F152" s="137"/>
      <c r="G152" s="66"/>
      <c r="H152" s="147"/>
      <c r="I152" s="88"/>
      <c r="J152" s="137"/>
      <c r="K152" s="137"/>
      <c r="L152" s="66"/>
      <c r="M152" s="107"/>
      <c r="N152" s="66"/>
      <c r="O152" s="66"/>
      <c r="P152" s="66"/>
      <c r="Q152" s="172"/>
      <c r="R152" s="104"/>
      <c r="S152" s="104"/>
      <c r="T152" s="104"/>
      <c r="U152" s="104"/>
      <c r="V152" s="106"/>
      <c r="W152" s="106"/>
      <c r="X152" s="66"/>
      <c r="Y152" s="106"/>
      <c r="Z152" s="66"/>
      <c r="AA152" s="66"/>
      <c r="AB152" s="106"/>
      <c r="AC152" s="66"/>
      <c r="AD152" s="66"/>
      <c r="AE152" s="81"/>
      <c r="AF152" s="81"/>
      <c r="AG152" s="81"/>
      <c r="AH152" s="81"/>
      <c r="AI152" s="81"/>
      <c r="AJ152" s="81"/>
      <c r="AK152" s="81"/>
    </row>
    <row r="153">
      <c r="A153" s="81"/>
      <c r="B153" s="66"/>
      <c r="C153" s="66"/>
      <c r="D153" s="66"/>
      <c r="E153" s="106"/>
      <c r="F153" s="137"/>
      <c r="G153" s="66"/>
      <c r="H153" s="147"/>
      <c r="I153" s="88"/>
      <c r="J153" s="137"/>
      <c r="K153" s="137"/>
      <c r="L153" s="66"/>
      <c r="M153" s="107"/>
      <c r="N153" s="66"/>
      <c r="O153" s="66">
        <f>80000*1.19</f>
        <v>95200</v>
      </c>
      <c r="P153" s="66"/>
      <c r="Q153" s="172"/>
      <c r="R153" s="104"/>
      <c r="S153" s="104"/>
      <c r="T153" s="104"/>
      <c r="U153" s="104"/>
      <c r="V153" s="106"/>
      <c r="W153" s="106"/>
      <c r="X153" s="66"/>
      <c r="Y153" s="106"/>
      <c r="Z153" s="66"/>
      <c r="AA153" s="66"/>
      <c r="AB153" s="106"/>
      <c r="AC153" s="66"/>
      <c r="AD153" s="66"/>
      <c r="AE153" s="81"/>
      <c r="AF153" s="81"/>
      <c r="AG153" s="81"/>
      <c r="AH153" s="81"/>
      <c r="AI153" s="81"/>
      <c r="AJ153" s="81"/>
      <c r="AK153" s="81"/>
    </row>
    <row r="154">
      <c r="A154" s="81"/>
      <c r="B154" s="66"/>
      <c r="C154" s="66"/>
      <c r="D154" s="66"/>
      <c r="E154" s="106"/>
      <c r="F154" s="137"/>
      <c r="G154" s="66"/>
      <c r="H154" s="147"/>
      <c r="I154" s="88"/>
      <c r="J154" s="137"/>
      <c r="K154" s="137"/>
      <c r="L154" s="66"/>
      <c r="M154" s="107"/>
      <c r="N154" s="66"/>
      <c r="O154" s="66"/>
      <c r="P154" s="66"/>
      <c r="Q154" s="172"/>
      <c r="R154" s="104"/>
      <c r="S154" s="104"/>
      <c r="T154" s="104"/>
      <c r="U154" s="104"/>
      <c r="V154" s="106"/>
      <c r="W154" s="106"/>
      <c r="X154" s="66"/>
      <c r="Y154" s="106"/>
      <c r="Z154" s="66"/>
      <c r="AA154" s="66"/>
      <c r="AB154" s="106"/>
      <c r="AC154" s="66"/>
      <c r="AD154" s="66"/>
      <c r="AE154" s="81"/>
      <c r="AF154" s="81"/>
      <c r="AG154" s="81"/>
      <c r="AH154" s="81"/>
      <c r="AI154" s="81"/>
      <c r="AJ154" s="81"/>
      <c r="AK154" s="81"/>
    </row>
    <row r="155">
      <c r="A155" s="81"/>
      <c r="B155" s="66"/>
      <c r="C155" s="66"/>
      <c r="D155" s="66"/>
      <c r="E155" s="106"/>
      <c r="F155" s="137"/>
      <c r="G155" s="66"/>
      <c r="H155" s="147"/>
      <c r="I155" s="88"/>
      <c r="J155" s="137"/>
      <c r="K155" s="137"/>
      <c r="L155" s="66"/>
      <c r="M155" s="107"/>
      <c r="N155" s="66"/>
      <c r="O155" s="66"/>
      <c r="P155" s="66"/>
      <c r="Q155" s="172"/>
      <c r="R155" s="104"/>
      <c r="S155" s="104"/>
      <c r="T155" s="104"/>
      <c r="U155" s="104"/>
      <c r="V155" s="106"/>
      <c r="W155" s="106"/>
      <c r="X155" s="66"/>
      <c r="Y155" s="106"/>
      <c r="Z155" s="66"/>
      <c r="AA155" s="66"/>
      <c r="AB155" s="106"/>
      <c r="AC155" s="66"/>
      <c r="AD155" s="66"/>
      <c r="AE155" s="81"/>
      <c r="AF155" s="81"/>
      <c r="AG155" s="81"/>
      <c r="AH155" s="81"/>
      <c r="AI155" s="81"/>
      <c r="AJ155" s="81"/>
      <c r="AK155" s="81"/>
    </row>
    <row r="156">
      <c r="A156" s="81"/>
      <c r="B156" s="66"/>
      <c r="C156" s="66"/>
      <c r="D156" s="66"/>
      <c r="E156" s="106"/>
      <c r="F156" s="137"/>
      <c r="G156" s="66"/>
      <c r="H156" s="147"/>
      <c r="I156" s="88"/>
      <c r="J156" s="137"/>
      <c r="K156" s="137"/>
      <c r="L156" s="66"/>
      <c r="M156" s="107"/>
      <c r="N156" s="66"/>
      <c r="O156" s="66"/>
      <c r="P156" s="66"/>
      <c r="Q156" s="172"/>
      <c r="R156" s="104"/>
      <c r="S156" s="104"/>
      <c r="T156" s="104"/>
      <c r="U156" s="104"/>
      <c r="V156" s="106"/>
      <c r="W156" s="106"/>
      <c r="X156" s="66"/>
      <c r="Y156" s="106"/>
      <c r="Z156" s="66"/>
      <c r="AA156" s="66"/>
      <c r="AB156" s="106"/>
      <c r="AC156" s="66"/>
      <c r="AD156" s="66"/>
      <c r="AE156" s="81"/>
      <c r="AF156" s="81"/>
      <c r="AG156" s="81"/>
      <c r="AH156" s="81"/>
      <c r="AI156" s="81"/>
      <c r="AJ156" s="81"/>
      <c r="AK156" s="81"/>
    </row>
    <row r="157">
      <c r="A157" s="81"/>
      <c r="B157" s="66"/>
      <c r="C157" s="66"/>
      <c r="D157" s="66"/>
      <c r="E157" s="106"/>
      <c r="F157" s="137"/>
      <c r="G157" s="66"/>
      <c r="H157" s="147"/>
      <c r="I157" s="88"/>
      <c r="J157" s="137"/>
      <c r="K157" s="137"/>
      <c r="L157" s="66"/>
      <c r="M157" s="107"/>
      <c r="N157" s="66"/>
      <c r="O157" s="66"/>
      <c r="P157" s="66"/>
      <c r="Q157" s="172"/>
      <c r="R157" s="104"/>
      <c r="S157" s="104"/>
      <c r="T157" s="104"/>
      <c r="U157" s="104"/>
      <c r="V157" s="106"/>
      <c r="W157" s="106"/>
      <c r="X157" s="66"/>
      <c r="Y157" s="106"/>
      <c r="Z157" s="66"/>
      <c r="AA157" s="66"/>
      <c r="AB157" s="106"/>
      <c r="AC157" s="66"/>
      <c r="AD157" s="66"/>
      <c r="AE157" s="81"/>
      <c r="AF157" s="81"/>
      <c r="AG157" s="81"/>
      <c r="AH157" s="81"/>
      <c r="AI157" s="81"/>
      <c r="AJ157" s="81"/>
      <c r="AK157" s="81"/>
    </row>
    <row r="158">
      <c r="A158" s="81"/>
      <c r="B158" s="66"/>
      <c r="C158" s="66"/>
      <c r="D158" s="66"/>
      <c r="E158" s="106"/>
      <c r="F158" s="137"/>
      <c r="G158" s="66"/>
      <c r="H158" s="147"/>
      <c r="I158" s="88"/>
      <c r="J158" s="137"/>
      <c r="K158" s="137"/>
      <c r="L158" s="66"/>
      <c r="M158" s="107"/>
      <c r="N158" s="66"/>
      <c r="O158" s="66"/>
      <c r="P158" s="66"/>
      <c r="Q158" s="172"/>
      <c r="R158" s="104"/>
      <c r="S158" s="104"/>
      <c r="T158" s="104"/>
      <c r="U158" s="104"/>
      <c r="V158" s="106"/>
      <c r="W158" s="106"/>
      <c r="X158" s="66"/>
      <c r="Y158" s="106"/>
      <c r="Z158" s="66"/>
      <c r="AA158" s="66"/>
      <c r="AB158" s="106"/>
      <c r="AC158" s="66"/>
      <c r="AD158" s="66"/>
      <c r="AE158" s="81"/>
      <c r="AF158" s="81"/>
      <c r="AG158" s="81"/>
      <c r="AH158" s="81"/>
      <c r="AI158" s="81"/>
      <c r="AJ158" s="81"/>
      <c r="AK158" s="81"/>
    </row>
    <row r="159">
      <c r="A159" s="81"/>
      <c r="B159" s="66"/>
      <c r="C159" s="66"/>
      <c r="D159" s="66"/>
      <c r="E159" s="106"/>
      <c r="F159" s="137"/>
      <c r="G159" s="66"/>
      <c r="H159" s="147"/>
      <c r="I159" s="137"/>
      <c r="J159" s="137"/>
      <c r="K159" s="137"/>
      <c r="L159" s="66"/>
      <c r="M159" s="107"/>
      <c r="N159" s="66"/>
      <c r="O159" s="66"/>
      <c r="P159" s="66"/>
      <c r="Q159" s="172"/>
      <c r="R159" s="104"/>
      <c r="S159" s="104"/>
      <c r="T159" s="104"/>
      <c r="U159" s="104"/>
      <c r="V159" s="106"/>
      <c r="W159" s="106"/>
      <c r="X159" s="66"/>
      <c r="Y159" s="106"/>
      <c r="Z159" s="66"/>
      <c r="AA159" s="66"/>
      <c r="AB159" s="106"/>
      <c r="AC159" s="66"/>
      <c r="AD159" s="66"/>
      <c r="AE159" s="81"/>
      <c r="AF159" s="81"/>
      <c r="AG159" s="81"/>
      <c r="AH159" s="81"/>
      <c r="AI159" s="81"/>
      <c r="AJ159" s="81"/>
      <c r="AK159" s="81"/>
    </row>
    <row r="160">
      <c r="A160" s="81"/>
      <c r="B160" s="66"/>
      <c r="C160" s="66"/>
      <c r="D160" s="66"/>
      <c r="E160" s="106"/>
      <c r="F160" s="137"/>
      <c r="G160" s="66"/>
      <c r="H160" s="147"/>
      <c r="I160" s="137"/>
      <c r="J160" s="137"/>
      <c r="K160" s="137"/>
      <c r="L160" s="66"/>
      <c r="M160" s="107"/>
      <c r="N160" s="66"/>
      <c r="O160" s="66"/>
      <c r="P160" s="66"/>
      <c r="Q160" s="172"/>
      <c r="R160" s="104"/>
      <c r="S160" s="104"/>
      <c r="T160" s="104"/>
      <c r="U160" s="104"/>
      <c r="V160" s="106"/>
      <c r="W160" s="106"/>
      <c r="X160" s="66"/>
      <c r="Y160" s="106"/>
      <c r="Z160" s="66"/>
      <c r="AA160" s="66"/>
      <c r="AB160" s="106"/>
      <c r="AC160" s="66"/>
      <c r="AD160" s="66"/>
      <c r="AE160" s="81"/>
      <c r="AF160" s="81"/>
      <c r="AG160" s="81"/>
      <c r="AH160" s="81"/>
      <c r="AI160" s="81"/>
      <c r="AJ160" s="81"/>
      <c r="AK160" s="81"/>
    </row>
    <row r="161">
      <c r="A161" s="81"/>
      <c r="B161" s="66"/>
      <c r="C161" s="66"/>
      <c r="D161" s="66"/>
      <c r="E161" s="106"/>
      <c r="F161" s="137"/>
      <c r="G161" s="66"/>
      <c r="H161" s="147"/>
      <c r="I161" s="137"/>
      <c r="J161" s="137"/>
      <c r="K161" s="137"/>
      <c r="L161" s="66"/>
      <c r="M161" s="107"/>
      <c r="N161" s="66"/>
      <c r="O161" s="66"/>
      <c r="P161" s="66"/>
      <c r="Q161" s="172"/>
      <c r="R161" s="104"/>
      <c r="S161" s="104"/>
      <c r="T161" s="104"/>
      <c r="U161" s="104"/>
      <c r="V161" s="106"/>
      <c r="W161" s="106"/>
      <c r="X161" s="66"/>
      <c r="Y161" s="106"/>
      <c r="Z161" s="66"/>
      <c r="AA161" s="66"/>
      <c r="AB161" s="106"/>
      <c r="AC161" s="66"/>
      <c r="AD161" s="66"/>
      <c r="AE161" s="81"/>
      <c r="AF161" s="81"/>
      <c r="AG161" s="81"/>
      <c r="AH161" s="81"/>
      <c r="AI161" s="81"/>
      <c r="AJ161" s="81"/>
      <c r="AK161" s="81"/>
    </row>
    <row r="162">
      <c r="A162" s="81"/>
      <c r="B162" s="66"/>
      <c r="C162" s="66"/>
      <c r="D162" s="66"/>
      <c r="E162" s="106"/>
      <c r="F162" s="137"/>
      <c r="G162" s="66"/>
      <c r="H162" s="147"/>
      <c r="I162" s="137"/>
      <c r="J162" s="137"/>
      <c r="K162" s="137"/>
      <c r="L162" s="66"/>
      <c r="M162" s="107"/>
      <c r="N162" s="66"/>
      <c r="O162" s="66"/>
      <c r="P162" s="66"/>
      <c r="Q162" s="172"/>
      <c r="R162" s="104"/>
      <c r="S162" s="104"/>
      <c r="T162" s="104"/>
      <c r="U162" s="104"/>
      <c r="V162" s="106"/>
      <c r="W162" s="106"/>
      <c r="X162" s="66"/>
      <c r="Y162" s="106"/>
      <c r="Z162" s="66"/>
      <c r="AA162" s="66"/>
      <c r="AB162" s="106"/>
      <c r="AC162" s="66"/>
      <c r="AD162" s="66"/>
      <c r="AE162" s="81"/>
      <c r="AF162" s="81"/>
      <c r="AG162" s="81"/>
      <c r="AH162" s="81"/>
      <c r="AI162" s="81"/>
      <c r="AJ162" s="81"/>
      <c r="AK162" s="81"/>
    </row>
    <row r="163">
      <c r="A163" s="81"/>
      <c r="B163" s="66"/>
      <c r="C163" s="66"/>
      <c r="D163" s="66"/>
      <c r="E163" s="106"/>
      <c r="F163" s="137"/>
      <c r="G163" s="66"/>
      <c r="H163" s="147"/>
      <c r="I163" s="137"/>
      <c r="J163" s="137"/>
      <c r="K163" s="137"/>
      <c r="L163" s="66"/>
      <c r="M163" s="107"/>
      <c r="N163" s="66"/>
      <c r="O163" s="66"/>
      <c r="P163" s="66"/>
      <c r="Q163" s="172"/>
      <c r="R163" s="104"/>
      <c r="S163" s="104"/>
      <c r="T163" s="104"/>
      <c r="U163" s="104"/>
      <c r="V163" s="106"/>
      <c r="W163" s="106"/>
      <c r="X163" s="66"/>
      <c r="Y163" s="106"/>
      <c r="Z163" s="66"/>
      <c r="AA163" s="66"/>
      <c r="AB163" s="106"/>
      <c r="AC163" s="66"/>
      <c r="AD163" s="66"/>
      <c r="AE163" s="81"/>
      <c r="AF163" s="81"/>
      <c r="AG163" s="81"/>
      <c r="AH163" s="81"/>
      <c r="AI163" s="81"/>
      <c r="AJ163" s="81"/>
      <c r="AK163" s="81"/>
    </row>
    <row r="164">
      <c r="A164" s="81"/>
      <c r="B164" s="66"/>
      <c r="C164" s="66"/>
      <c r="D164" s="66"/>
      <c r="E164" s="106"/>
      <c r="F164" s="137"/>
      <c r="G164" s="66"/>
      <c r="H164" s="147"/>
      <c r="I164" s="137"/>
      <c r="J164" s="137"/>
      <c r="K164" s="137"/>
      <c r="L164" s="66"/>
      <c r="M164" s="107"/>
      <c r="N164" s="66"/>
      <c r="O164" s="66"/>
      <c r="P164" s="66"/>
      <c r="Q164" s="172"/>
      <c r="R164" s="104"/>
      <c r="S164" s="104"/>
      <c r="T164" s="104"/>
      <c r="U164" s="104"/>
      <c r="V164" s="106"/>
      <c r="W164" s="106"/>
      <c r="X164" s="66"/>
      <c r="Y164" s="106"/>
      <c r="Z164" s="66"/>
      <c r="AA164" s="66"/>
      <c r="AB164" s="106"/>
      <c r="AC164" s="66"/>
      <c r="AD164" s="66"/>
      <c r="AE164" s="81"/>
      <c r="AF164" s="81"/>
      <c r="AG164" s="81"/>
      <c r="AH164" s="81"/>
      <c r="AI164" s="81"/>
      <c r="AJ164" s="81"/>
      <c r="AK164" s="81"/>
    </row>
    <row r="165">
      <c r="A165" s="81"/>
      <c r="B165" s="66"/>
      <c r="C165" s="66"/>
      <c r="D165" s="66"/>
      <c r="E165" s="106"/>
      <c r="F165" s="137"/>
      <c r="G165" s="66"/>
      <c r="H165" s="147"/>
      <c r="I165" s="137"/>
      <c r="J165" s="137"/>
      <c r="K165" s="137"/>
      <c r="L165" s="66"/>
      <c r="M165" s="107"/>
      <c r="N165" s="66"/>
      <c r="O165" s="66"/>
      <c r="P165" s="66"/>
      <c r="Q165" s="172"/>
      <c r="R165" s="104"/>
      <c r="S165" s="104"/>
      <c r="T165" s="104"/>
      <c r="U165" s="104"/>
      <c r="V165" s="106"/>
      <c r="W165" s="106"/>
      <c r="X165" s="66"/>
      <c r="Y165" s="106"/>
      <c r="Z165" s="66"/>
      <c r="AA165" s="66"/>
      <c r="AB165" s="106"/>
      <c r="AC165" s="66"/>
      <c r="AD165" s="66"/>
      <c r="AE165" s="81"/>
      <c r="AF165" s="81"/>
      <c r="AG165" s="81"/>
      <c r="AH165" s="81"/>
      <c r="AI165" s="81"/>
      <c r="AJ165" s="81"/>
      <c r="AK165" s="81"/>
    </row>
    <row r="166">
      <c r="A166" s="81"/>
      <c r="B166" s="66"/>
      <c r="C166" s="66"/>
      <c r="D166" s="66"/>
      <c r="E166" s="106"/>
      <c r="F166" s="137"/>
      <c r="G166" s="66"/>
      <c r="H166" s="147"/>
      <c r="I166" s="137"/>
      <c r="J166" s="137"/>
      <c r="K166" s="137"/>
      <c r="L166" s="66"/>
      <c r="M166" s="107"/>
      <c r="N166" s="66"/>
      <c r="O166" s="66"/>
      <c r="P166" s="66"/>
      <c r="Q166" s="172"/>
      <c r="R166" s="104"/>
      <c r="S166" s="104"/>
      <c r="T166" s="104"/>
      <c r="U166" s="104"/>
      <c r="V166" s="106"/>
      <c r="W166" s="106"/>
      <c r="X166" s="66"/>
      <c r="Y166" s="106"/>
      <c r="Z166" s="66"/>
      <c r="AA166" s="66"/>
      <c r="AB166" s="106"/>
      <c r="AC166" s="66"/>
      <c r="AD166" s="66"/>
      <c r="AE166" s="81"/>
      <c r="AF166" s="81"/>
      <c r="AG166" s="81"/>
      <c r="AH166" s="81"/>
      <c r="AI166" s="81"/>
      <c r="AJ166" s="81"/>
      <c r="AK166" s="81"/>
    </row>
    <row r="167">
      <c r="A167" s="81"/>
      <c r="B167" s="66"/>
      <c r="C167" s="66"/>
      <c r="D167" s="66"/>
      <c r="E167" s="106"/>
      <c r="F167" s="137"/>
      <c r="G167" s="66"/>
      <c r="H167" s="147"/>
      <c r="I167" s="137"/>
      <c r="J167" s="137"/>
      <c r="K167" s="137"/>
      <c r="L167" s="66"/>
      <c r="M167" s="107"/>
      <c r="N167" s="66"/>
      <c r="O167" s="66"/>
      <c r="P167" s="66"/>
      <c r="Q167" s="172"/>
      <c r="R167" s="104"/>
      <c r="S167" s="104"/>
      <c r="T167" s="104"/>
      <c r="U167" s="104"/>
      <c r="V167" s="106"/>
      <c r="W167" s="106"/>
      <c r="X167" s="66"/>
      <c r="Y167" s="106"/>
      <c r="Z167" s="66"/>
      <c r="AA167" s="66"/>
      <c r="AB167" s="106"/>
      <c r="AC167" s="66"/>
      <c r="AD167" s="66"/>
      <c r="AE167" s="81"/>
      <c r="AF167" s="81"/>
      <c r="AG167" s="81"/>
      <c r="AH167" s="81"/>
      <c r="AI167" s="81"/>
      <c r="AJ167" s="81"/>
      <c r="AK167" s="81"/>
    </row>
    <row r="168">
      <c r="A168" s="81"/>
      <c r="B168" s="66"/>
      <c r="C168" s="66"/>
      <c r="D168" s="66"/>
      <c r="E168" s="106"/>
      <c r="F168" s="137"/>
      <c r="G168" s="66"/>
      <c r="H168" s="147"/>
      <c r="I168" s="137"/>
      <c r="J168" s="137"/>
      <c r="K168" s="137"/>
      <c r="L168" s="66"/>
      <c r="M168" s="107"/>
      <c r="N168" s="66"/>
      <c r="O168" s="66"/>
      <c r="P168" s="66"/>
      <c r="Q168" s="172"/>
      <c r="R168" s="104"/>
      <c r="S168" s="104"/>
      <c r="T168" s="104"/>
      <c r="U168" s="104"/>
      <c r="V168" s="106"/>
      <c r="W168" s="106"/>
      <c r="X168" s="66"/>
      <c r="Y168" s="106"/>
      <c r="Z168" s="66"/>
      <c r="AA168" s="66"/>
      <c r="AB168" s="106"/>
      <c r="AC168" s="66"/>
      <c r="AD168" s="66"/>
      <c r="AE168" s="81"/>
      <c r="AF168" s="81"/>
      <c r="AG168" s="81"/>
      <c r="AH168" s="81"/>
      <c r="AI168" s="81"/>
      <c r="AJ168" s="81"/>
      <c r="AK168" s="81"/>
    </row>
    <row r="169">
      <c r="A169" s="81"/>
      <c r="B169" s="66"/>
      <c r="C169" s="66"/>
      <c r="D169" s="66"/>
      <c r="E169" s="106"/>
      <c r="F169" s="137"/>
      <c r="G169" s="66"/>
      <c r="H169" s="147"/>
      <c r="I169" s="137"/>
      <c r="J169" s="137"/>
      <c r="K169" s="137"/>
      <c r="L169" s="66"/>
      <c r="M169" s="107"/>
      <c r="N169" s="66"/>
      <c r="O169" s="66"/>
      <c r="P169" s="66"/>
      <c r="Q169" s="172"/>
      <c r="R169" s="104"/>
      <c r="S169" s="104"/>
      <c r="T169" s="104"/>
      <c r="U169" s="104"/>
      <c r="V169" s="106"/>
      <c r="W169" s="106"/>
      <c r="X169" s="66"/>
      <c r="Y169" s="106"/>
      <c r="Z169" s="66"/>
      <c r="AA169" s="66"/>
      <c r="AB169" s="106"/>
      <c r="AC169" s="66"/>
      <c r="AD169" s="66"/>
      <c r="AE169" s="81"/>
      <c r="AF169" s="81"/>
      <c r="AG169" s="81"/>
      <c r="AH169" s="81"/>
      <c r="AI169" s="81"/>
      <c r="AJ169" s="81"/>
      <c r="AK169" s="81"/>
    </row>
    <row r="170">
      <c r="A170" s="81"/>
      <c r="B170" s="66"/>
      <c r="C170" s="66"/>
      <c r="D170" s="66"/>
      <c r="E170" s="106"/>
      <c r="F170" s="137"/>
      <c r="G170" s="66"/>
      <c r="H170" s="147"/>
      <c r="I170" s="137"/>
      <c r="J170" s="137"/>
      <c r="K170" s="137"/>
      <c r="L170" s="66"/>
      <c r="M170" s="107"/>
      <c r="N170" s="66"/>
      <c r="O170" s="66"/>
      <c r="P170" s="66"/>
      <c r="Q170" s="172"/>
      <c r="R170" s="104"/>
      <c r="S170" s="104"/>
      <c r="T170" s="104"/>
      <c r="U170" s="104"/>
      <c r="V170" s="106"/>
      <c r="W170" s="106"/>
      <c r="X170" s="66"/>
      <c r="Y170" s="106"/>
      <c r="Z170" s="66"/>
      <c r="AA170" s="66"/>
      <c r="AB170" s="106"/>
      <c r="AC170" s="66"/>
      <c r="AD170" s="66"/>
      <c r="AE170" s="81"/>
      <c r="AF170" s="81"/>
      <c r="AG170" s="81"/>
      <c r="AH170" s="81"/>
      <c r="AI170" s="81"/>
      <c r="AJ170" s="81"/>
      <c r="AK170" s="81"/>
    </row>
    <row r="171">
      <c r="A171" s="81"/>
      <c r="B171" s="66"/>
      <c r="C171" s="66"/>
      <c r="D171" s="66"/>
      <c r="E171" s="106"/>
      <c r="F171" s="137"/>
      <c r="G171" s="66"/>
      <c r="H171" s="147"/>
      <c r="I171" s="137"/>
      <c r="J171" s="137"/>
      <c r="K171" s="137"/>
      <c r="L171" s="66"/>
      <c r="M171" s="107"/>
      <c r="N171" s="66"/>
      <c r="O171" s="66"/>
      <c r="P171" s="66"/>
      <c r="Q171" s="172"/>
      <c r="R171" s="104"/>
      <c r="S171" s="104"/>
      <c r="T171" s="104"/>
      <c r="U171" s="104"/>
      <c r="V171" s="106"/>
      <c r="W171" s="106"/>
      <c r="X171" s="66"/>
      <c r="Y171" s="106"/>
      <c r="Z171" s="66"/>
      <c r="AA171" s="66"/>
      <c r="AB171" s="106"/>
      <c r="AC171" s="66"/>
      <c r="AD171" s="66"/>
      <c r="AE171" s="81"/>
      <c r="AF171" s="81"/>
      <c r="AG171" s="81"/>
      <c r="AH171" s="81"/>
      <c r="AI171" s="81"/>
      <c r="AJ171" s="81"/>
      <c r="AK171" s="81"/>
    </row>
    <row r="172">
      <c r="A172" s="81"/>
      <c r="B172" s="66"/>
      <c r="C172" s="66"/>
      <c r="D172" s="66"/>
      <c r="E172" s="106"/>
      <c r="F172" s="137"/>
      <c r="G172" s="66"/>
      <c r="H172" s="147"/>
      <c r="I172" s="137"/>
      <c r="J172" s="137"/>
      <c r="K172" s="137"/>
      <c r="L172" s="66"/>
      <c r="M172" s="107"/>
      <c r="N172" s="66"/>
      <c r="O172" s="66"/>
      <c r="P172" s="66"/>
      <c r="Q172" s="172"/>
      <c r="R172" s="104"/>
      <c r="S172" s="104"/>
      <c r="T172" s="104"/>
      <c r="U172" s="104"/>
      <c r="V172" s="106"/>
      <c r="W172" s="106"/>
      <c r="X172" s="66"/>
      <c r="Y172" s="106"/>
      <c r="Z172" s="66"/>
      <c r="AA172" s="66"/>
      <c r="AB172" s="106"/>
      <c r="AC172" s="66"/>
      <c r="AD172" s="66"/>
      <c r="AE172" s="81"/>
      <c r="AF172" s="81"/>
      <c r="AG172" s="81"/>
      <c r="AH172" s="81"/>
      <c r="AI172" s="81"/>
      <c r="AJ172" s="81"/>
      <c r="AK172" s="81"/>
    </row>
    <row r="173">
      <c r="A173" s="81"/>
      <c r="B173" s="66"/>
      <c r="C173" s="66"/>
      <c r="D173" s="66"/>
      <c r="E173" s="106"/>
      <c r="F173" s="137"/>
      <c r="G173" s="66"/>
      <c r="H173" s="147"/>
      <c r="I173" s="137"/>
      <c r="J173" s="137"/>
      <c r="K173" s="137"/>
      <c r="L173" s="66"/>
      <c r="M173" s="107"/>
      <c r="N173" s="66"/>
      <c r="O173" s="66"/>
      <c r="P173" s="66"/>
      <c r="Q173" s="172"/>
      <c r="R173" s="104"/>
      <c r="S173" s="104"/>
      <c r="T173" s="104"/>
      <c r="U173" s="104"/>
      <c r="V173" s="106"/>
      <c r="W173" s="106"/>
      <c r="X173" s="66"/>
      <c r="Y173" s="106"/>
      <c r="Z173" s="66"/>
      <c r="AA173" s="66"/>
      <c r="AB173" s="106"/>
      <c r="AC173" s="66"/>
      <c r="AD173" s="66"/>
      <c r="AE173" s="81"/>
      <c r="AF173" s="81"/>
      <c r="AG173" s="81"/>
      <c r="AH173" s="81"/>
      <c r="AI173" s="81"/>
      <c r="AJ173" s="81"/>
      <c r="AK173" s="81"/>
    </row>
    <row r="174">
      <c r="A174" s="81"/>
      <c r="B174" s="66"/>
      <c r="C174" s="66"/>
      <c r="D174" s="66"/>
      <c r="E174" s="106"/>
      <c r="F174" s="137"/>
      <c r="G174" s="66"/>
      <c r="H174" s="147"/>
      <c r="I174" s="137"/>
      <c r="J174" s="137"/>
      <c r="K174" s="137"/>
      <c r="L174" s="66"/>
      <c r="M174" s="107"/>
      <c r="N174" s="66"/>
      <c r="O174" s="66"/>
      <c r="P174" s="66"/>
      <c r="Q174" s="172"/>
      <c r="R174" s="104"/>
      <c r="S174" s="104"/>
      <c r="T174" s="104"/>
      <c r="U174" s="104"/>
      <c r="V174" s="106"/>
      <c r="W174" s="106"/>
      <c r="X174" s="66"/>
      <c r="Y174" s="106"/>
      <c r="Z174" s="66"/>
      <c r="AA174" s="66"/>
      <c r="AB174" s="106"/>
      <c r="AC174" s="66"/>
      <c r="AD174" s="66"/>
      <c r="AE174" s="81"/>
      <c r="AF174" s="81"/>
      <c r="AG174" s="81"/>
      <c r="AH174" s="81"/>
      <c r="AI174" s="81"/>
      <c r="AJ174" s="81"/>
      <c r="AK174" s="81"/>
    </row>
    <row r="175">
      <c r="A175" s="81"/>
      <c r="B175" s="66"/>
      <c r="C175" s="66"/>
      <c r="D175" s="66"/>
      <c r="E175" s="106"/>
      <c r="F175" s="137"/>
      <c r="G175" s="66"/>
      <c r="H175" s="147"/>
      <c r="I175" s="137"/>
      <c r="J175" s="137"/>
      <c r="K175" s="137"/>
      <c r="L175" s="66"/>
      <c r="M175" s="107"/>
      <c r="N175" s="66"/>
      <c r="O175" s="66"/>
      <c r="P175" s="66"/>
      <c r="Q175" s="172"/>
      <c r="R175" s="104"/>
      <c r="S175" s="104"/>
      <c r="T175" s="104"/>
      <c r="U175" s="104"/>
      <c r="V175" s="106"/>
      <c r="W175" s="106"/>
      <c r="X175" s="66"/>
      <c r="Y175" s="106"/>
      <c r="Z175" s="66"/>
      <c r="AA175" s="66"/>
      <c r="AB175" s="106"/>
      <c r="AC175" s="66"/>
      <c r="AD175" s="66"/>
      <c r="AE175" s="81"/>
      <c r="AF175" s="81"/>
      <c r="AG175" s="81"/>
      <c r="AH175" s="81"/>
      <c r="AI175" s="81"/>
      <c r="AJ175" s="81"/>
      <c r="AK175" s="81"/>
    </row>
    <row r="176">
      <c r="A176" s="81"/>
      <c r="B176" s="66"/>
      <c r="C176" s="66"/>
      <c r="D176" s="66"/>
      <c r="E176" s="106"/>
      <c r="F176" s="137"/>
      <c r="G176" s="66"/>
      <c r="H176" s="147"/>
      <c r="I176" s="137"/>
      <c r="J176" s="137"/>
      <c r="K176" s="137"/>
      <c r="L176" s="66"/>
      <c r="M176" s="107"/>
      <c r="N176" s="66"/>
      <c r="O176" s="66"/>
      <c r="P176" s="66"/>
      <c r="Q176" s="172"/>
      <c r="R176" s="104"/>
      <c r="S176" s="104"/>
      <c r="T176" s="104"/>
      <c r="U176" s="104"/>
      <c r="V176" s="106"/>
      <c r="W176" s="106"/>
      <c r="X176" s="66"/>
      <c r="Y176" s="106"/>
      <c r="Z176" s="66"/>
      <c r="AA176" s="66"/>
      <c r="AB176" s="106"/>
      <c r="AC176" s="66"/>
      <c r="AD176" s="66"/>
      <c r="AE176" s="81"/>
      <c r="AF176" s="81"/>
      <c r="AG176" s="81"/>
      <c r="AH176" s="81"/>
      <c r="AI176" s="81"/>
      <c r="AJ176" s="81"/>
      <c r="AK176" s="81"/>
    </row>
    <row r="177">
      <c r="A177" s="81"/>
      <c r="B177" s="66"/>
      <c r="C177" s="66"/>
      <c r="D177" s="66"/>
      <c r="E177" s="106"/>
      <c r="F177" s="137"/>
      <c r="G177" s="66"/>
      <c r="H177" s="147"/>
      <c r="I177" s="137"/>
      <c r="J177" s="137"/>
      <c r="K177" s="137"/>
      <c r="L177" s="66"/>
      <c r="M177" s="107"/>
      <c r="N177" s="66"/>
      <c r="O177" s="66"/>
      <c r="P177" s="66"/>
      <c r="Q177" s="172"/>
      <c r="R177" s="104"/>
      <c r="S177" s="104"/>
      <c r="T177" s="104"/>
      <c r="U177" s="104"/>
      <c r="V177" s="106"/>
      <c r="W177" s="106"/>
      <c r="X177" s="66"/>
      <c r="Y177" s="106"/>
      <c r="Z177" s="66"/>
      <c r="AA177" s="66"/>
      <c r="AB177" s="106"/>
      <c r="AC177" s="66"/>
      <c r="AD177" s="66"/>
      <c r="AE177" s="81"/>
      <c r="AF177" s="81"/>
      <c r="AG177" s="81"/>
      <c r="AH177" s="81"/>
      <c r="AI177" s="81"/>
      <c r="AJ177" s="81"/>
      <c r="AK177" s="81"/>
    </row>
    <row r="178">
      <c r="A178" s="81"/>
      <c r="B178" s="66"/>
      <c r="C178" s="66"/>
      <c r="D178" s="66"/>
      <c r="E178" s="106"/>
      <c r="F178" s="137"/>
      <c r="G178" s="66"/>
      <c r="H178" s="147"/>
      <c r="I178" s="137"/>
      <c r="J178" s="137"/>
      <c r="K178" s="137"/>
      <c r="L178" s="66"/>
      <c r="M178" s="107"/>
      <c r="N178" s="66"/>
      <c r="O178" s="66"/>
      <c r="P178" s="66"/>
      <c r="Q178" s="172"/>
      <c r="R178" s="104"/>
      <c r="S178" s="104"/>
      <c r="T178" s="104"/>
      <c r="U178" s="104"/>
      <c r="V178" s="106"/>
      <c r="W178" s="106"/>
      <c r="X178" s="66"/>
      <c r="Y178" s="106"/>
      <c r="Z178" s="66"/>
      <c r="AA178" s="66"/>
      <c r="AB178" s="106"/>
      <c r="AC178" s="66"/>
      <c r="AD178" s="66"/>
      <c r="AE178" s="81"/>
      <c r="AF178" s="81"/>
      <c r="AG178" s="81"/>
      <c r="AH178" s="81"/>
      <c r="AI178" s="81"/>
      <c r="AJ178" s="81"/>
      <c r="AK178" s="81"/>
    </row>
    <row r="179">
      <c r="A179" s="81"/>
      <c r="B179" s="66"/>
      <c r="C179" s="66"/>
      <c r="D179" s="66"/>
      <c r="E179" s="106"/>
      <c r="F179" s="137"/>
      <c r="G179" s="66"/>
      <c r="H179" s="147"/>
      <c r="I179" s="137"/>
      <c r="J179" s="137"/>
      <c r="K179" s="137"/>
      <c r="L179" s="66"/>
      <c r="M179" s="107"/>
      <c r="N179" s="66"/>
      <c r="O179" s="66"/>
      <c r="P179" s="66"/>
      <c r="Q179" s="172"/>
      <c r="R179" s="104"/>
      <c r="S179" s="104"/>
      <c r="T179" s="104"/>
      <c r="U179" s="104"/>
      <c r="V179" s="106"/>
      <c r="W179" s="106"/>
      <c r="X179" s="66"/>
      <c r="Y179" s="106"/>
      <c r="Z179" s="66"/>
      <c r="AA179" s="66"/>
      <c r="AB179" s="106"/>
      <c r="AC179" s="66"/>
      <c r="AD179" s="66"/>
      <c r="AE179" s="81"/>
      <c r="AF179" s="81"/>
      <c r="AG179" s="81"/>
      <c r="AH179" s="81"/>
      <c r="AI179" s="81"/>
      <c r="AJ179" s="81"/>
      <c r="AK179" s="81"/>
    </row>
    <row r="180">
      <c r="A180" s="81"/>
      <c r="B180" s="66"/>
      <c r="C180" s="66"/>
      <c r="D180" s="66"/>
      <c r="E180" s="106"/>
      <c r="F180" s="137"/>
      <c r="G180" s="66"/>
      <c r="H180" s="147"/>
      <c r="I180" s="137"/>
      <c r="J180" s="137"/>
      <c r="K180" s="137"/>
      <c r="L180" s="66"/>
      <c r="M180" s="107"/>
      <c r="N180" s="66"/>
      <c r="O180" s="66"/>
      <c r="P180" s="66"/>
      <c r="Q180" s="172"/>
      <c r="R180" s="104"/>
      <c r="S180" s="104"/>
      <c r="T180" s="104"/>
      <c r="U180" s="104"/>
      <c r="V180" s="106"/>
      <c r="W180" s="106"/>
      <c r="X180" s="66"/>
      <c r="Y180" s="106"/>
      <c r="Z180" s="66"/>
      <c r="AA180" s="66"/>
      <c r="AB180" s="106"/>
      <c r="AC180" s="66"/>
      <c r="AD180" s="66"/>
      <c r="AE180" s="81"/>
      <c r="AF180" s="81"/>
      <c r="AG180" s="81"/>
      <c r="AH180" s="81"/>
      <c r="AI180" s="81"/>
      <c r="AJ180" s="81"/>
      <c r="AK180" s="81"/>
    </row>
    <row r="181">
      <c r="A181" s="81"/>
      <c r="B181" s="66"/>
      <c r="C181" s="66"/>
      <c r="D181" s="66"/>
      <c r="E181" s="106"/>
      <c r="F181" s="137"/>
      <c r="G181" s="66"/>
      <c r="H181" s="147"/>
      <c r="I181" s="137"/>
      <c r="J181" s="137"/>
      <c r="K181" s="137"/>
      <c r="L181" s="66"/>
      <c r="M181" s="107"/>
      <c r="N181" s="66"/>
      <c r="O181" s="66"/>
      <c r="P181" s="66"/>
      <c r="Q181" s="172"/>
      <c r="R181" s="104"/>
      <c r="S181" s="104"/>
      <c r="T181" s="104"/>
      <c r="U181" s="104"/>
      <c r="V181" s="106"/>
      <c r="W181" s="106"/>
      <c r="X181" s="66"/>
      <c r="Y181" s="106"/>
      <c r="Z181" s="66"/>
      <c r="AA181" s="66"/>
      <c r="AB181" s="106"/>
      <c r="AC181" s="66"/>
      <c r="AD181" s="66"/>
      <c r="AE181" s="81"/>
      <c r="AF181" s="81"/>
      <c r="AG181" s="81"/>
      <c r="AH181" s="81"/>
      <c r="AI181" s="81"/>
      <c r="AJ181" s="81"/>
      <c r="AK181" s="81"/>
    </row>
    <row r="182">
      <c r="A182" s="81"/>
      <c r="B182" s="66"/>
      <c r="C182" s="66"/>
      <c r="D182" s="66"/>
      <c r="E182" s="106"/>
      <c r="F182" s="137"/>
      <c r="G182" s="66"/>
      <c r="H182" s="147"/>
      <c r="I182" s="137"/>
      <c r="J182" s="137"/>
      <c r="K182" s="137"/>
      <c r="L182" s="66"/>
      <c r="M182" s="107"/>
      <c r="N182" s="66"/>
      <c r="O182" s="66"/>
      <c r="P182" s="66"/>
      <c r="Q182" s="172"/>
      <c r="R182" s="104"/>
      <c r="S182" s="104"/>
      <c r="T182" s="104"/>
      <c r="U182" s="104"/>
      <c r="V182" s="106"/>
      <c r="W182" s="106"/>
      <c r="X182" s="66"/>
      <c r="Y182" s="106"/>
      <c r="Z182" s="66"/>
      <c r="AA182" s="66"/>
      <c r="AB182" s="106"/>
      <c r="AC182" s="66"/>
      <c r="AD182" s="66"/>
      <c r="AE182" s="81"/>
      <c r="AF182" s="81"/>
      <c r="AG182" s="81"/>
      <c r="AH182" s="81"/>
      <c r="AI182" s="81"/>
      <c r="AJ182" s="81"/>
      <c r="AK182" s="81"/>
    </row>
    <row r="183">
      <c r="A183" s="81"/>
      <c r="B183" s="66"/>
      <c r="C183" s="66"/>
      <c r="D183" s="66"/>
      <c r="E183" s="106"/>
      <c r="F183" s="137"/>
      <c r="G183" s="66"/>
      <c r="H183" s="147"/>
      <c r="I183" s="137"/>
      <c r="J183" s="137"/>
      <c r="K183" s="137"/>
      <c r="L183" s="66"/>
      <c r="M183" s="107"/>
      <c r="N183" s="66"/>
      <c r="O183" s="66"/>
      <c r="P183" s="66"/>
      <c r="Q183" s="172"/>
      <c r="R183" s="104"/>
      <c r="S183" s="104"/>
      <c r="T183" s="104"/>
      <c r="U183" s="104"/>
      <c r="V183" s="106"/>
      <c r="W183" s="106"/>
      <c r="X183" s="66"/>
      <c r="Y183" s="106"/>
      <c r="Z183" s="66"/>
      <c r="AA183" s="66"/>
      <c r="AB183" s="106"/>
      <c r="AC183" s="66"/>
      <c r="AD183" s="66"/>
      <c r="AE183" s="81"/>
      <c r="AF183" s="81"/>
      <c r="AG183" s="81"/>
      <c r="AH183" s="81"/>
      <c r="AI183" s="81"/>
      <c r="AJ183" s="81"/>
      <c r="AK183" s="81"/>
    </row>
    <row r="184">
      <c r="A184" s="81"/>
      <c r="B184" s="66"/>
      <c r="C184" s="66"/>
      <c r="D184" s="66"/>
      <c r="E184" s="106"/>
      <c r="F184" s="137"/>
      <c r="G184" s="66"/>
      <c r="H184" s="147"/>
      <c r="I184" s="137"/>
      <c r="J184" s="137"/>
      <c r="K184" s="137"/>
      <c r="L184" s="66"/>
      <c r="M184" s="107"/>
      <c r="N184" s="66"/>
      <c r="O184" s="66"/>
      <c r="P184" s="66"/>
      <c r="Q184" s="172"/>
      <c r="R184" s="104"/>
      <c r="S184" s="104"/>
      <c r="T184" s="104"/>
      <c r="U184" s="104"/>
      <c r="V184" s="106"/>
      <c r="W184" s="106"/>
      <c r="X184" s="66"/>
      <c r="Y184" s="106"/>
      <c r="Z184" s="66"/>
      <c r="AA184" s="66"/>
      <c r="AB184" s="106"/>
      <c r="AC184" s="66"/>
      <c r="AD184" s="66"/>
      <c r="AE184" s="81"/>
      <c r="AF184" s="81"/>
      <c r="AG184" s="81"/>
      <c r="AH184" s="81"/>
      <c r="AI184" s="81"/>
      <c r="AJ184" s="81"/>
      <c r="AK184" s="81"/>
    </row>
    <row r="185">
      <c r="A185" s="81"/>
      <c r="B185" s="66"/>
      <c r="C185" s="66"/>
      <c r="D185" s="66"/>
      <c r="E185" s="106"/>
      <c r="F185" s="137"/>
      <c r="G185" s="66"/>
      <c r="H185" s="147"/>
      <c r="I185" s="137"/>
      <c r="J185" s="137"/>
      <c r="K185" s="137"/>
      <c r="L185" s="66"/>
      <c r="M185" s="107"/>
      <c r="N185" s="66"/>
      <c r="O185" s="66"/>
      <c r="P185" s="66"/>
      <c r="Q185" s="172"/>
      <c r="R185" s="104"/>
      <c r="S185" s="104"/>
      <c r="T185" s="104"/>
      <c r="U185" s="104"/>
      <c r="V185" s="106"/>
      <c r="W185" s="106"/>
      <c r="X185" s="66"/>
      <c r="Y185" s="106"/>
      <c r="Z185" s="66"/>
      <c r="AA185" s="66"/>
      <c r="AB185" s="106"/>
      <c r="AC185" s="66"/>
      <c r="AD185" s="66"/>
      <c r="AE185" s="81"/>
      <c r="AF185" s="81"/>
      <c r="AG185" s="81"/>
      <c r="AH185" s="81"/>
      <c r="AI185" s="81"/>
      <c r="AJ185" s="81"/>
      <c r="AK185" s="81"/>
    </row>
    <row r="186">
      <c r="A186" s="81"/>
      <c r="B186" s="66"/>
      <c r="C186" s="66"/>
      <c r="D186" s="66"/>
      <c r="E186" s="106"/>
      <c r="F186" s="137"/>
      <c r="G186" s="66"/>
      <c r="H186" s="147"/>
      <c r="I186" s="137"/>
      <c r="J186" s="137"/>
      <c r="K186" s="137"/>
      <c r="L186" s="66"/>
      <c r="M186" s="107"/>
      <c r="N186" s="66"/>
      <c r="O186" s="66"/>
      <c r="P186" s="66"/>
      <c r="Q186" s="172"/>
      <c r="R186" s="104"/>
      <c r="S186" s="104"/>
      <c r="T186" s="104"/>
      <c r="U186" s="104"/>
      <c r="V186" s="106"/>
      <c r="W186" s="106"/>
      <c r="X186" s="66"/>
      <c r="Y186" s="106"/>
      <c r="Z186" s="66"/>
      <c r="AA186" s="66"/>
      <c r="AB186" s="106"/>
      <c r="AC186" s="66"/>
      <c r="AD186" s="66"/>
      <c r="AE186" s="81"/>
      <c r="AF186" s="81"/>
      <c r="AG186" s="81"/>
      <c r="AH186" s="81"/>
      <c r="AI186" s="81"/>
      <c r="AJ186" s="81"/>
      <c r="AK186" s="81"/>
    </row>
    <row r="187">
      <c r="A187" s="81"/>
      <c r="B187" s="66"/>
      <c r="C187" s="66"/>
      <c r="D187" s="66"/>
      <c r="E187" s="106"/>
      <c r="F187" s="137"/>
      <c r="G187" s="66"/>
      <c r="H187" s="147"/>
      <c r="I187" s="137"/>
      <c r="J187" s="137"/>
      <c r="K187" s="137"/>
      <c r="L187" s="66"/>
      <c r="M187" s="107"/>
      <c r="N187" s="66"/>
      <c r="O187" s="66"/>
      <c r="P187" s="66"/>
      <c r="Q187" s="172"/>
      <c r="R187" s="104"/>
      <c r="S187" s="104"/>
      <c r="T187" s="104"/>
      <c r="U187" s="104"/>
      <c r="V187" s="106"/>
      <c r="W187" s="106"/>
      <c r="X187" s="66"/>
      <c r="Y187" s="106"/>
      <c r="Z187" s="66"/>
      <c r="AA187" s="66"/>
      <c r="AB187" s="106"/>
      <c r="AC187" s="66"/>
      <c r="AD187" s="66"/>
      <c r="AE187" s="81"/>
      <c r="AF187" s="81"/>
      <c r="AG187" s="81"/>
      <c r="AH187" s="81"/>
      <c r="AI187" s="81"/>
      <c r="AJ187" s="81"/>
      <c r="AK187" s="81"/>
    </row>
    <row r="188">
      <c r="A188" s="81"/>
      <c r="B188" s="66"/>
      <c r="C188" s="66"/>
      <c r="D188" s="66"/>
      <c r="E188" s="106"/>
      <c r="F188" s="137"/>
      <c r="G188" s="66"/>
      <c r="H188" s="147"/>
      <c r="I188" s="137"/>
      <c r="J188" s="137"/>
      <c r="K188" s="137"/>
      <c r="L188" s="66"/>
      <c r="M188" s="107"/>
      <c r="N188" s="66"/>
      <c r="O188" s="66"/>
      <c r="P188" s="66"/>
      <c r="Q188" s="172"/>
      <c r="R188" s="104"/>
      <c r="S188" s="104"/>
      <c r="T188" s="104"/>
      <c r="U188" s="104"/>
      <c r="V188" s="106"/>
      <c r="W188" s="106"/>
      <c r="X188" s="66"/>
      <c r="Y188" s="106"/>
      <c r="Z188" s="66"/>
      <c r="AA188" s="66"/>
      <c r="AB188" s="106"/>
      <c r="AC188" s="66"/>
      <c r="AD188" s="66"/>
      <c r="AE188" s="81"/>
      <c r="AF188" s="81"/>
      <c r="AG188" s="81"/>
      <c r="AH188" s="81"/>
      <c r="AI188" s="81"/>
      <c r="AJ188" s="81"/>
      <c r="AK188" s="81"/>
    </row>
    <row r="189">
      <c r="A189" s="81"/>
      <c r="B189" s="66"/>
      <c r="C189" s="66"/>
      <c r="D189" s="66"/>
      <c r="E189" s="106"/>
      <c r="F189" s="137"/>
      <c r="G189" s="66"/>
      <c r="H189" s="147"/>
      <c r="I189" s="137"/>
      <c r="J189" s="137"/>
      <c r="K189" s="137"/>
      <c r="L189" s="66"/>
      <c r="M189" s="107"/>
      <c r="N189" s="66"/>
      <c r="O189" s="66"/>
      <c r="P189" s="66"/>
      <c r="Q189" s="172"/>
      <c r="R189" s="104"/>
      <c r="S189" s="104"/>
      <c r="T189" s="104"/>
      <c r="U189" s="104"/>
      <c r="V189" s="106"/>
      <c r="W189" s="106"/>
      <c r="X189" s="66"/>
      <c r="Y189" s="106"/>
      <c r="Z189" s="66"/>
      <c r="AA189" s="66"/>
      <c r="AB189" s="106"/>
      <c r="AC189" s="66"/>
      <c r="AD189" s="66"/>
      <c r="AE189" s="81"/>
      <c r="AF189" s="81"/>
      <c r="AG189" s="81"/>
      <c r="AH189" s="81"/>
      <c r="AI189" s="81"/>
      <c r="AJ189" s="81"/>
      <c r="AK189" s="81"/>
    </row>
    <row r="190">
      <c r="A190" s="81"/>
      <c r="B190" s="66"/>
      <c r="C190" s="66"/>
      <c r="D190" s="66"/>
      <c r="E190" s="106"/>
      <c r="F190" s="137"/>
      <c r="G190" s="66"/>
      <c r="H190" s="147"/>
      <c r="I190" s="137"/>
      <c r="J190" s="137"/>
      <c r="K190" s="137"/>
      <c r="L190" s="66"/>
      <c r="M190" s="107"/>
      <c r="N190" s="66"/>
      <c r="O190" s="66"/>
      <c r="P190" s="66"/>
      <c r="Q190" s="172"/>
      <c r="R190" s="104"/>
      <c r="S190" s="104"/>
      <c r="T190" s="104"/>
      <c r="U190" s="104"/>
      <c r="V190" s="106"/>
      <c r="W190" s="106"/>
      <c r="X190" s="66"/>
      <c r="Y190" s="106"/>
      <c r="Z190" s="66"/>
      <c r="AA190" s="66"/>
      <c r="AB190" s="106"/>
      <c r="AC190" s="66"/>
      <c r="AD190" s="66"/>
      <c r="AE190" s="81"/>
      <c r="AF190" s="81"/>
      <c r="AG190" s="81"/>
      <c r="AH190" s="81"/>
      <c r="AI190" s="81"/>
      <c r="AJ190" s="81"/>
      <c r="AK190" s="81"/>
    </row>
    <row r="191">
      <c r="A191" s="81"/>
      <c r="B191" s="66"/>
      <c r="C191" s="66"/>
      <c r="D191" s="66"/>
      <c r="E191" s="106"/>
      <c r="F191" s="137"/>
      <c r="G191" s="66"/>
      <c r="H191" s="147"/>
      <c r="I191" s="137"/>
      <c r="J191" s="137"/>
      <c r="K191" s="137"/>
      <c r="L191" s="66"/>
      <c r="M191" s="107"/>
      <c r="N191" s="66"/>
      <c r="O191" s="66"/>
      <c r="P191" s="66"/>
      <c r="Q191" s="172"/>
      <c r="R191" s="104"/>
      <c r="S191" s="104"/>
      <c r="T191" s="104"/>
      <c r="U191" s="104"/>
      <c r="V191" s="106"/>
      <c r="W191" s="106"/>
      <c r="X191" s="66"/>
      <c r="Y191" s="106"/>
      <c r="Z191" s="66"/>
      <c r="AA191" s="66"/>
      <c r="AB191" s="106"/>
      <c r="AC191" s="66"/>
      <c r="AD191" s="66"/>
      <c r="AE191" s="81"/>
      <c r="AF191" s="81"/>
      <c r="AG191" s="81"/>
      <c r="AH191" s="81"/>
      <c r="AI191" s="81"/>
      <c r="AJ191" s="81"/>
      <c r="AK191" s="81"/>
    </row>
    <row r="192">
      <c r="A192" s="81"/>
      <c r="B192" s="66"/>
      <c r="C192" s="66"/>
      <c r="D192" s="66"/>
      <c r="E192" s="106"/>
      <c r="F192" s="137"/>
      <c r="G192" s="66"/>
      <c r="H192" s="147"/>
      <c r="I192" s="137"/>
      <c r="J192" s="137"/>
      <c r="K192" s="137"/>
      <c r="L192" s="66"/>
      <c r="M192" s="107"/>
      <c r="N192" s="66"/>
      <c r="O192" s="66"/>
      <c r="P192" s="66"/>
      <c r="Q192" s="172"/>
      <c r="R192" s="104"/>
      <c r="S192" s="104"/>
      <c r="T192" s="104"/>
      <c r="U192" s="104"/>
      <c r="V192" s="106"/>
      <c r="W192" s="106"/>
      <c r="X192" s="66"/>
      <c r="Y192" s="106"/>
      <c r="Z192" s="66"/>
      <c r="AA192" s="66"/>
      <c r="AB192" s="106"/>
      <c r="AC192" s="66"/>
      <c r="AD192" s="66"/>
      <c r="AE192" s="81"/>
      <c r="AF192" s="81"/>
      <c r="AG192" s="81"/>
      <c r="AH192" s="81"/>
      <c r="AI192" s="81"/>
      <c r="AJ192" s="81"/>
      <c r="AK192" s="81"/>
    </row>
    <row r="193">
      <c r="A193" s="81"/>
      <c r="B193" s="66"/>
      <c r="C193" s="66"/>
      <c r="D193" s="66"/>
      <c r="E193" s="106"/>
      <c r="F193" s="137"/>
      <c r="G193" s="66"/>
      <c r="H193" s="147"/>
      <c r="I193" s="137"/>
      <c r="J193" s="137"/>
      <c r="K193" s="137"/>
      <c r="L193" s="66"/>
      <c r="M193" s="107"/>
      <c r="N193" s="66"/>
      <c r="O193" s="66"/>
      <c r="P193" s="66"/>
      <c r="Q193" s="172"/>
      <c r="R193" s="104"/>
      <c r="S193" s="104"/>
      <c r="T193" s="104"/>
      <c r="U193" s="104"/>
      <c r="V193" s="106"/>
      <c r="W193" s="106"/>
      <c r="X193" s="66"/>
      <c r="Y193" s="106"/>
      <c r="Z193" s="66"/>
      <c r="AA193" s="66"/>
      <c r="AB193" s="106"/>
      <c r="AC193" s="66"/>
      <c r="AD193" s="66"/>
      <c r="AE193" s="81"/>
      <c r="AF193" s="81"/>
      <c r="AG193" s="81"/>
      <c r="AH193" s="81"/>
      <c r="AI193" s="81"/>
      <c r="AJ193" s="81"/>
      <c r="AK193" s="81"/>
    </row>
    <row r="194">
      <c r="A194" s="81"/>
      <c r="B194" s="66"/>
      <c r="C194" s="66"/>
      <c r="D194" s="66"/>
      <c r="E194" s="106"/>
      <c r="F194" s="137"/>
      <c r="G194" s="66"/>
      <c r="H194" s="147"/>
      <c r="I194" s="137"/>
      <c r="J194" s="137"/>
      <c r="K194" s="137"/>
      <c r="L194" s="66"/>
      <c r="M194" s="107"/>
      <c r="N194" s="66"/>
      <c r="O194" s="66"/>
      <c r="P194" s="66"/>
      <c r="Q194" s="172"/>
      <c r="R194" s="104"/>
      <c r="S194" s="104"/>
      <c r="T194" s="104"/>
      <c r="U194" s="104"/>
      <c r="V194" s="106"/>
      <c r="W194" s="106"/>
      <c r="X194" s="66"/>
      <c r="Y194" s="106"/>
      <c r="Z194" s="66"/>
      <c r="AA194" s="66"/>
      <c r="AB194" s="106"/>
      <c r="AC194" s="66"/>
      <c r="AD194" s="66"/>
      <c r="AE194" s="81"/>
      <c r="AF194" s="81"/>
      <c r="AG194" s="81"/>
      <c r="AH194" s="81"/>
      <c r="AI194" s="81"/>
      <c r="AJ194" s="81"/>
      <c r="AK194" s="81"/>
    </row>
    <row r="195">
      <c r="A195" s="81"/>
      <c r="B195" s="66"/>
      <c r="C195" s="66"/>
      <c r="D195" s="66"/>
      <c r="E195" s="106"/>
      <c r="F195" s="137"/>
      <c r="G195" s="66"/>
      <c r="H195" s="147"/>
      <c r="I195" s="137"/>
      <c r="J195" s="137"/>
      <c r="K195" s="137"/>
      <c r="L195" s="66"/>
      <c r="M195" s="107"/>
      <c r="N195" s="66"/>
      <c r="O195" s="66"/>
      <c r="P195" s="66"/>
      <c r="Q195" s="172"/>
      <c r="R195" s="104"/>
      <c r="S195" s="104"/>
      <c r="T195" s="104"/>
      <c r="U195" s="104"/>
      <c r="V195" s="106"/>
      <c r="W195" s="106"/>
      <c r="X195" s="66"/>
      <c r="Y195" s="106"/>
      <c r="Z195" s="66"/>
      <c r="AA195" s="66"/>
      <c r="AB195" s="106"/>
      <c r="AC195" s="66"/>
      <c r="AD195" s="66"/>
      <c r="AE195" s="81"/>
      <c r="AF195" s="81"/>
      <c r="AG195" s="81"/>
      <c r="AH195" s="81"/>
      <c r="AI195" s="81"/>
      <c r="AJ195" s="81"/>
      <c r="AK195" s="81"/>
    </row>
    <row r="196">
      <c r="A196" s="81"/>
      <c r="B196" s="66"/>
      <c r="C196" s="66"/>
      <c r="D196" s="66"/>
      <c r="E196" s="106"/>
      <c r="F196" s="137"/>
      <c r="G196" s="66"/>
      <c r="H196" s="147"/>
      <c r="I196" s="137"/>
      <c r="J196" s="137"/>
      <c r="K196" s="137"/>
      <c r="L196" s="66"/>
      <c r="M196" s="107"/>
      <c r="N196" s="66"/>
      <c r="O196" s="66"/>
      <c r="P196" s="66"/>
      <c r="Q196" s="172"/>
      <c r="R196" s="104"/>
      <c r="S196" s="104"/>
      <c r="T196" s="104"/>
      <c r="U196" s="104"/>
      <c r="V196" s="106"/>
      <c r="W196" s="106"/>
      <c r="X196" s="66"/>
      <c r="Y196" s="106"/>
      <c r="Z196" s="66"/>
      <c r="AA196" s="66"/>
      <c r="AB196" s="106"/>
      <c r="AC196" s="66"/>
      <c r="AD196" s="66"/>
      <c r="AE196" s="81"/>
      <c r="AF196" s="81"/>
      <c r="AG196" s="81"/>
      <c r="AH196" s="81"/>
      <c r="AI196" s="81"/>
      <c r="AJ196" s="81"/>
      <c r="AK196" s="81"/>
    </row>
    <row r="197">
      <c r="A197" s="81"/>
      <c r="B197" s="66"/>
      <c r="C197" s="66"/>
      <c r="D197" s="66"/>
      <c r="E197" s="106"/>
      <c r="F197" s="137"/>
      <c r="G197" s="66"/>
      <c r="H197" s="147"/>
      <c r="I197" s="137"/>
      <c r="J197" s="137"/>
      <c r="K197" s="137"/>
      <c r="L197" s="66"/>
      <c r="M197" s="107"/>
      <c r="N197" s="66"/>
      <c r="O197" s="66"/>
      <c r="P197" s="66"/>
      <c r="Q197" s="172"/>
      <c r="R197" s="104"/>
      <c r="S197" s="104"/>
      <c r="T197" s="104"/>
      <c r="U197" s="104"/>
      <c r="V197" s="106"/>
      <c r="W197" s="106"/>
      <c r="X197" s="66"/>
      <c r="Y197" s="106"/>
      <c r="Z197" s="66"/>
      <c r="AA197" s="66"/>
      <c r="AB197" s="106"/>
      <c r="AC197" s="66"/>
      <c r="AD197" s="66"/>
      <c r="AE197" s="81"/>
      <c r="AF197" s="81"/>
      <c r="AG197" s="81"/>
      <c r="AH197" s="81"/>
      <c r="AI197" s="81"/>
      <c r="AJ197" s="81"/>
      <c r="AK197" s="81"/>
    </row>
    <row r="198">
      <c r="A198" s="81"/>
      <c r="B198" s="66"/>
      <c r="C198" s="66"/>
      <c r="D198" s="66"/>
      <c r="E198" s="106"/>
      <c r="F198" s="137"/>
      <c r="G198" s="66"/>
      <c r="H198" s="147"/>
      <c r="I198" s="137"/>
      <c r="J198" s="137"/>
      <c r="K198" s="137"/>
      <c r="L198" s="66"/>
      <c r="M198" s="107"/>
      <c r="N198" s="66"/>
      <c r="O198" s="66"/>
      <c r="P198" s="66"/>
      <c r="Q198" s="172"/>
      <c r="R198" s="104"/>
      <c r="S198" s="104"/>
      <c r="T198" s="104"/>
      <c r="U198" s="104"/>
      <c r="V198" s="106"/>
      <c r="W198" s="106"/>
      <c r="X198" s="66"/>
      <c r="Y198" s="106"/>
      <c r="Z198" s="66"/>
      <c r="AA198" s="66"/>
      <c r="AB198" s="106"/>
      <c r="AC198" s="66"/>
      <c r="AD198" s="66"/>
      <c r="AE198" s="81"/>
      <c r="AF198" s="81"/>
      <c r="AG198" s="81"/>
      <c r="AH198" s="81"/>
      <c r="AI198" s="81"/>
      <c r="AJ198" s="81"/>
      <c r="AK198" s="81"/>
    </row>
    <row r="199">
      <c r="A199" s="81"/>
      <c r="B199" s="66"/>
      <c r="C199" s="66"/>
      <c r="D199" s="66"/>
      <c r="E199" s="106"/>
      <c r="F199" s="138"/>
      <c r="G199" s="81"/>
      <c r="H199" s="148"/>
      <c r="I199" s="138"/>
      <c r="J199" s="138"/>
      <c r="K199" s="138"/>
      <c r="L199" s="66"/>
      <c r="M199" s="107"/>
      <c r="N199" s="66"/>
      <c r="O199" s="66"/>
      <c r="P199" s="66"/>
      <c r="Q199" s="172"/>
      <c r="R199" s="104"/>
      <c r="S199" s="104"/>
      <c r="T199" s="104"/>
      <c r="U199" s="104"/>
      <c r="V199" s="106"/>
      <c r="W199" s="106"/>
      <c r="X199" s="66"/>
      <c r="Y199" s="106"/>
      <c r="Z199" s="66"/>
      <c r="AA199" s="66"/>
      <c r="AB199" s="106"/>
      <c r="AC199" s="66"/>
      <c r="AD199" s="66"/>
      <c r="AE199" s="81"/>
      <c r="AF199" s="81"/>
      <c r="AG199" s="81"/>
      <c r="AH199" s="81"/>
      <c r="AI199" s="81"/>
      <c r="AJ199" s="81"/>
      <c r="AK199" s="81"/>
    </row>
    <row r="200">
      <c r="A200" s="81"/>
      <c r="B200" s="66"/>
      <c r="C200" s="66"/>
      <c r="D200" s="66"/>
      <c r="E200" s="106"/>
      <c r="F200" s="137"/>
      <c r="G200" s="66"/>
      <c r="H200" s="147"/>
      <c r="I200" s="137"/>
      <c r="J200" s="137"/>
      <c r="K200" s="137"/>
      <c r="L200" s="66"/>
      <c r="M200" s="107"/>
      <c r="N200" s="66"/>
      <c r="O200" s="66"/>
      <c r="P200" s="66"/>
      <c r="Q200" s="172"/>
      <c r="R200" s="104"/>
      <c r="S200" s="104"/>
      <c r="T200" s="104"/>
      <c r="U200" s="104"/>
      <c r="V200" s="106"/>
      <c r="W200" s="106"/>
      <c r="X200" s="66"/>
      <c r="Y200" s="106"/>
      <c r="Z200" s="66"/>
      <c r="AA200" s="66"/>
      <c r="AB200" s="106"/>
      <c r="AC200" s="66"/>
      <c r="AD200" s="66"/>
      <c r="AE200" s="81"/>
      <c r="AF200" s="81"/>
      <c r="AG200" s="81"/>
      <c r="AH200" s="81"/>
      <c r="AI200" s="81"/>
      <c r="AJ200" s="81"/>
      <c r="AK200" s="81"/>
    </row>
    <row r="201">
      <c r="A201" s="81"/>
      <c r="B201" s="66"/>
      <c r="C201" s="66"/>
      <c r="D201" s="66"/>
      <c r="E201" s="106"/>
      <c r="F201" s="137"/>
      <c r="G201" s="66"/>
      <c r="H201" s="147"/>
      <c r="I201" s="137"/>
      <c r="J201" s="137"/>
      <c r="K201" s="137"/>
      <c r="L201" s="66"/>
      <c r="M201" s="107"/>
      <c r="N201" s="66"/>
      <c r="O201" s="66"/>
      <c r="P201" s="66"/>
      <c r="Q201" s="172"/>
      <c r="R201" s="104"/>
      <c r="S201" s="104"/>
      <c r="T201" s="104"/>
      <c r="U201" s="104"/>
      <c r="V201" s="106"/>
      <c r="W201" s="106"/>
      <c r="X201" s="66"/>
      <c r="Y201" s="106"/>
      <c r="Z201" s="66"/>
      <c r="AA201" s="66"/>
      <c r="AB201" s="106"/>
      <c r="AC201" s="66"/>
      <c r="AD201" s="66"/>
      <c r="AE201" s="81"/>
      <c r="AF201" s="81"/>
      <c r="AG201" s="81"/>
      <c r="AH201" s="81"/>
      <c r="AI201" s="81"/>
      <c r="AJ201" s="81"/>
      <c r="AK201" s="81"/>
    </row>
    <row r="202">
      <c r="A202" s="81"/>
      <c r="B202" s="66"/>
      <c r="C202" s="66"/>
      <c r="D202" s="66"/>
      <c r="E202" s="106"/>
      <c r="F202" s="137"/>
      <c r="G202" s="66"/>
      <c r="H202" s="147"/>
      <c r="I202" s="137"/>
      <c r="J202" s="137"/>
      <c r="K202" s="137"/>
      <c r="L202" s="66"/>
      <c r="M202" s="107"/>
      <c r="N202" s="66"/>
      <c r="O202" s="66"/>
      <c r="P202" s="66"/>
      <c r="Q202" s="172"/>
      <c r="R202" s="104"/>
      <c r="S202" s="104"/>
      <c r="T202" s="104"/>
      <c r="U202" s="104"/>
      <c r="V202" s="106"/>
      <c r="W202" s="106"/>
      <c r="X202" s="66"/>
      <c r="Y202" s="106"/>
      <c r="Z202" s="66"/>
      <c r="AA202" s="66"/>
      <c r="AB202" s="106"/>
      <c r="AC202" s="66"/>
      <c r="AD202" s="66"/>
      <c r="AE202" s="81"/>
      <c r="AF202" s="81"/>
      <c r="AG202" s="81"/>
      <c r="AH202" s="81"/>
      <c r="AI202" s="81"/>
      <c r="AJ202" s="81"/>
      <c r="AK202" s="81"/>
    </row>
    <row r="203">
      <c r="A203" s="81"/>
      <c r="B203" s="66"/>
      <c r="C203" s="66"/>
      <c r="D203" s="66"/>
      <c r="E203" s="106"/>
      <c r="F203" s="137"/>
      <c r="G203" s="66"/>
      <c r="H203" s="147"/>
      <c r="I203" s="137"/>
      <c r="J203" s="137"/>
      <c r="K203" s="137"/>
      <c r="L203" s="66"/>
      <c r="M203" s="107"/>
      <c r="N203" s="66"/>
      <c r="O203" s="66"/>
      <c r="P203" s="66"/>
      <c r="Q203" s="172"/>
      <c r="R203" s="104"/>
      <c r="S203" s="104"/>
      <c r="T203" s="104"/>
      <c r="U203" s="104"/>
      <c r="V203" s="106"/>
      <c r="W203" s="106"/>
      <c r="X203" s="66"/>
      <c r="Y203" s="106"/>
      <c r="Z203" s="66"/>
      <c r="AA203" s="66"/>
      <c r="AB203" s="106"/>
      <c r="AC203" s="66"/>
      <c r="AD203" s="66"/>
      <c r="AE203" s="81"/>
      <c r="AF203" s="81"/>
      <c r="AG203" s="81"/>
      <c r="AH203" s="81"/>
      <c r="AI203" s="81"/>
      <c r="AJ203" s="81"/>
      <c r="AK203" s="81"/>
    </row>
    <row r="204">
      <c r="A204" s="81"/>
      <c r="B204" s="66"/>
      <c r="C204" s="66"/>
      <c r="D204" s="66"/>
      <c r="E204" s="106"/>
      <c r="F204" s="137"/>
      <c r="G204" s="66"/>
      <c r="H204" s="147"/>
      <c r="I204" s="137"/>
      <c r="J204" s="137"/>
      <c r="K204" s="137"/>
      <c r="L204" s="66"/>
      <c r="M204" s="107"/>
      <c r="N204" s="66"/>
      <c r="O204" s="66"/>
      <c r="P204" s="66"/>
      <c r="Q204" s="172"/>
      <c r="R204" s="104"/>
      <c r="S204" s="104"/>
      <c r="T204" s="104"/>
      <c r="U204" s="104"/>
      <c r="V204" s="106"/>
      <c r="W204" s="106"/>
      <c r="X204" s="66"/>
      <c r="Y204" s="106"/>
      <c r="Z204" s="66"/>
      <c r="AA204" s="66"/>
      <c r="AB204" s="106"/>
      <c r="AC204" s="66"/>
      <c r="AD204" s="66"/>
      <c r="AE204" s="81"/>
      <c r="AF204" s="81"/>
      <c r="AG204" s="81"/>
      <c r="AH204" s="81"/>
      <c r="AI204" s="81"/>
      <c r="AJ204" s="81"/>
      <c r="AK204" s="81"/>
    </row>
    <row r="205">
      <c r="A205" s="81"/>
      <c r="B205" s="66"/>
      <c r="C205" s="66"/>
      <c r="D205" s="66"/>
      <c r="E205" s="106"/>
      <c r="F205" s="137"/>
      <c r="G205" s="66"/>
      <c r="H205" s="147"/>
      <c r="I205" s="137"/>
      <c r="J205" s="137"/>
      <c r="K205" s="137"/>
      <c r="L205" s="66"/>
      <c r="M205" s="107"/>
      <c r="N205" s="66"/>
      <c r="O205" s="66"/>
      <c r="P205" s="66"/>
      <c r="Q205" s="172"/>
      <c r="R205" s="104"/>
      <c r="S205" s="104"/>
      <c r="T205" s="104"/>
      <c r="U205" s="104"/>
      <c r="V205" s="106"/>
      <c r="W205" s="106"/>
      <c r="X205" s="66"/>
      <c r="Y205" s="106"/>
      <c r="Z205" s="66"/>
      <c r="AA205" s="66"/>
      <c r="AB205" s="106"/>
      <c r="AC205" s="66"/>
      <c r="AD205" s="66"/>
      <c r="AE205" s="81"/>
      <c r="AF205" s="81"/>
      <c r="AG205" s="81"/>
      <c r="AH205" s="81"/>
      <c r="AI205" s="81"/>
      <c r="AJ205" s="81"/>
      <c r="AK205" s="81"/>
    </row>
    <row r="206">
      <c r="A206" s="81"/>
      <c r="B206" s="66"/>
      <c r="C206" s="66"/>
      <c r="D206" s="66"/>
      <c r="E206" s="106"/>
      <c r="F206" s="137"/>
      <c r="G206" s="66"/>
      <c r="H206" s="147"/>
      <c r="I206" s="137"/>
      <c r="J206" s="137"/>
      <c r="K206" s="137"/>
      <c r="L206" s="66"/>
      <c r="M206" s="107"/>
      <c r="N206" s="66"/>
      <c r="O206" s="66"/>
      <c r="P206" s="66"/>
      <c r="Q206" s="172"/>
      <c r="R206" s="104"/>
      <c r="S206" s="104"/>
      <c r="T206" s="104"/>
      <c r="U206" s="104"/>
      <c r="V206" s="106"/>
      <c r="W206" s="106"/>
      <c r="X206" s="66"/>
      <c r="Y206" s="106"/>
      <c r="Z206" s="66"/>
      <c r="AA206" s="66"/>
      <c r="AB206" s="106"/>
      <c r="AC206" s="66"/>
      <c r="AD206" s="66"/>
      <c r="AE206" s="81"/>
      <c r="AF206" s="81"/>
      <c r="AG206" s="81"/>
      <c r="AH206" s="81"/>
      <c r="AI206" s="81"/>
      <c r="AJ206" s="81"/>
      <c r="AK206" s="81"/>
    </row>
    <row r="207">
      <c r="A207" s="81"/>
      <c r="B207" s="66"/>
      <c r="C207" s="66"/>
      <c r="D207" s="66"/>
      <c r="E207" s="106"/>
      <c r="F207" s="137"/>
      <c r="G207" s="66"/>
      <c r="H207" s="147"/>
      <c r="I207" s="137"/>
      <c r="J207" s="137"/>
      <c r="K207" s="137"/>
      <c r="L207" s="66"/>
      <c r="M207" s="107"/>
      <c r="N207" s="66"/>
      <c r="O207" s="66"/>
      <c r="P207" s="66"/>
      <c r="Q207" s="172"/>
      <c r="R207" s="104"/>
      <c r="S207" s="104"/>
      <c r="T207" s="104"/>
      <c r="U207" s="104"/>
      <c r="V207" s="106"/>
      <c r="W207" s="106"/>
      <c r="X207" s="66"/>
      <c r="Y207" s="106"/>
      <c r="Z207" s="66"/>
      <c r="AA207" s="66"/>
      <c r="AB207" s="106"/>
      <c r="AC207" s="66"/>
      <c r="AD207" s="66"/>
      <c r="AE207" s="81"/>
      <c r="AF207" s="81"/>
      <c r="AG207" s="81"/>
      <c r="AH207" s="81"/>
      <c r="AI207" s="81"/>
      <c r="AJ207" s="81"/>
      <c r="AK207" s="81"/>
    </row>
    <row r="208">
      <c r="A208" s="81"/>
      <c r="B208" s="66"/>
      <c r="C208" s="66"/>
      <c r="D208" s="66"/>
      <c r="E208" s="106"/>
      <c r="F208" s="137"/>
      <c r="G208" s="66"/>
      <c r="H208" s="147"/>
      <c r="I208" s="137"/>
      <c r="J208" s="137"/>
      <c r="K208" s="137"/>
      <c r="L208" s="66"/>
      <c r="M208" s="107"/>
      <c r="N208" s="66"/>
      <c r="O208" s="66"/>
      <c r="P208" s="66"/>
      <c r="Q208" s="172"/>
      <c r="R208" s="104"/>
      <c r="S208" s="104"/>
      <c r="T208" s="104"/>
      <c r="U208" s="104"/>
      <c r="V208" s="106"/>
      <c r="W208" s="106"/>
      <c r="X208" s="66"/>
      <c r="Y208" s="106"/>
      <c r="Z208" s="66"/>
      <c r="AA208" s="66"/>
      <c r="AB208" s="106"/>
      <c r="AC208" s="66"/>
      <c r="AD208" s="66"/>
      <c r="AE208" s="81"/>
      <c r="AF208" s="81"/>
      <c r="AG208" s="81"/>
      <c r="AH208" s="81"/>
      <c r="AI208" s="81"/>
      <c r="AJ208" s="81"/>
      <c r="AK208" s="81"/>
    </row>
    <row r="209">
      <c r="A209" s="81"/>
      <c r="B209" s="66"/>
      <c r="C209" s="66"/>
      <c r="D209" s="66"/>
      <c r="E209" s="106"/>
      <c r="F209" s="137"/>
      <c r="G209" s="66"/>
      <c r="H209" s="147"/>
      <c r="I209" s="137"/>
      <c r="J209" s="137"/>
      <c r="K209" s="137"/>
      <c r="L209" s="66"/>
      <c r="M209" s="107"/>
      <c r="N209" s="66"/>
      <c r="O209" s="66"/>
      <c r="P209" s="66"/>
      <c r="Q209" s="172"/>
      <c r="R209" s="104"/>
      <c r="S209" s="104"/>
      <c r="T209" s="104"/>
      <c r="U209" s="104"/>
      <c r="V209" s="106"/>
      <c r="W209" s="106"/>
      <c r="X209" s="66"/>
      <c r="Y209" s="106"/>
      <c r="Z209" s="66"/>
      <c r="AA209" s="66"/>
      <c r="AB209" s="106"/>
      <c r="AC209" s="66"/>
      <c r="AD209" s="66"/>
      <c r="AE209" s="81"/>
      <c r="AF209" s="81"/>
      <c r="AG209" s="81"/>
      <c r="AH209" s="81"/>
      <c r="AI209" s="81"/>
      <c r="AJ209" s="81"/>
      <c r="AK209" s="81"/>
    </row>
    <row r="210">
      <c r="A210" s="81"/>
      <c r="B210" s="66"/>
      <c r="C210" s="66"/>
      <c r="D210" s="66"/>
      <c r="E210" s="106"/>
      <c r="F210" s="137"/>
      <c r="G210" s="66"/>
      <c r="H210" s="147"/>
      <c r="I210" s="137"/>
      <c r="J210" s="137"/>
      <c r="K210" s="137"/>
      <c r="L210" s="66"/>
      <c r="M210" s="107"/>
      <c r="N210" s="66"/>
      <c r="O210" s="66"/>
      <c r="P210" s="66"/>
      <c r="Q210" s="172"/>
      <c r="R210" s="104"/>
      <c r="S210" s="104"/>
      <c r="T210" s="104"/>
      <c r="U210" s="104"/>
      <c r="V210" s="106"/>
      <c r="W210" s="106"/>
      <c r="X210" s="66"/>
      <c r="Y210" s="106"/>
      <c r="Z210" s="66"/>
      <c r="AA210" s="66"/>
      <c r="AB210" s="106"/>
      <c r="AC210" s="66"/>
      <c r="AD210" s="66"/>
      <c r="AE210" s="81"/>
      <c r="AF210" s="81"/>
      <c r="AG210" s="81"/>
      <c r="AH210" s="81"/>
      <c r="AI210" s="81"/>
      <c r="AJ210" s="81"/>
      <c r="AK210" s="81"/>
    </row>
    <row r="211">
      <c r="A211" s="81"/>
      <c r="B211" s="66"/>
      <c r="C211" s="66"/>
      <c r="D211" s="66"/>
      <c r="E211" s="106"/>
      <c r="F211" s="137"/>
      <c r="G211" s="66"/>
      <c r="H211" s="147"/>
      <c r="I211" s="137"/>
      <c r="J211" s="137"/>
      <c r="K211" s="137"/>
      <c r="L211" s="66"/>
      <c r="M211" s="107"/>
      <c r="N211" s="66"/>
      <c r="O211" s="66"/>
      <c r="P211" s="66"/>
      <c r="Q211" s="172"/>
      <c r="R211" s="104"/>
      <c r="S211" s="104"/>
      <c r="T211" s="104"/>
      <c r="U211" s="104"/>
      <c r="V211" s="106"/>
      <c r="W211" s="106"/>
      <c r="X211" s="66"/>
      <c r="Y211" s="106"/>
      <c r="Z211" s="66"/>
      <c r="AA211" s="66"/>
      <c r="AB211" s="106"/>
      <c r="AC211" s="66"/>
      <c r="AD211" s="66"/>
      <c r="AE211" s="81"/>
      <c r="AF211" s="81"/>
      <c r="AG211" s="81"/>
      <c r="AH211" s="81"/>
      <c r="AI211" s="81"/>
      <c r="AJ211" s="81"/>
      <c r="AK211" s="81"/>
    </row>
    <row r="212">
      <c r="A212" s="81"/>
      <c r="B212" s="66"/>
      <c r="C212" s="66"/>
      <c r="D212" s="66"/>
      <c r="E212" s="106"/>
      <c r="F212" s="137"/>
      <c r="G212" s="66"/>
      <c r="H212" s="147"/>
      <c r="I212" s="137"/>
      <c r="J212" s="137"/>
      <c r="K212" s="137"/>
      <c r="L212" s="66"/>
      <c r="M212" s="107"/>
      <c r="N212" s="66"/>
      <c r="O212" s="66"/>
      <c r="P212" s="66"/>
      <c r="Q212" s="172"/>
      <c r="R212" s="104"/>
      <c r="S212" s="104"/>
      <c r="T212" s="104"/>
      <c r="U212" s="104"/>
      <c r="V212" s="106"/>
      <c r="W212" s="106"/>
      <c r="X212" s="66"/>
      <c r="Y212" s="106"/>
      <c r="Z212" s="66"/>
      <c r="AA212" s="66"/>
      <c r="AB212" s="106"/>
      <c r="AC212" s="66"/>
      <c r="AD212" s="66"/>
      <c r="AE212" s="81"/>
      <c r="AF212" s="81"/>
      <c r="AG212" s="81"/>
      <c r="AH212" s="81"/>
      <c r="AI212" s="81"/>
      <c r="AJ212" s="81"/>
      <c r="AK212" s="81"/>
    </row>
    <row r="213">
      <c r="A213" s="81"/>
      <c r="B213" s="66"/>
      <c r="C213" s="66"/>
      <c r="D213" s="66"/>
      <c r="E213" s="106"/>
      <c r="F213" s="137"/>
      <c r="G213" s="66"/>
      <c r="H213" s="147"/>
      <c r="I213" s="137"/>
      <c r="J213" s="137"/>
      <c r="K213" s="137"/>
      <c r="L213" s="66"/>
      <c r="M213" s="107"/>
      <c r="N213" s="66"/>
      <c r="O213" s="66"/>
      <c r="P213" s="66"/>
      <c r="Q213" s="172"/>
      <c r="R213" s="104"/>
      <c r="S213" s="104"/>
      <c r="T213" s="104"/>
      <c r="U213" s="104"/>
      <c r="V213" s="106"/>
      <c r="W213" s="106"/>
      <c r="X213" s="66"/>
      <c r="Y213" s="106"/>
      <c r="Z213" s="66"/>
      <c r="AA213" s="66"/>
      <c r="AB213" s="106"/>
      <c r="AC213" s="66"/>
      <c r="AD213" s="66"/>
      <c r="AE213" s="81"/>
      <c r="AF213" s="81"/>
      <c r="AG213" s="81"/>
      <c r="AH213" s="81"/>
      <c r="AI213" s="81"/>
      <c r="AJ213" s="81"/>
      <c r="AK213" s="81"/>
    </row>
    <row r="214">
      <c r="A214" s="81"/>
      <c r="B214" s="66"/>
      <c r="C214" s="66"/>
      <c r="D214" s="66"/>
      <c r="E214" s="106"/>
      <c r="F214" s="137"/>
      <c r="G214" s="66"/>
      <c r="H214" s="147"/>
      <c r="I214" s="137"/>
      <c r="J214" s="137"/>
      <c r="K214" s="137"/>
      <c r="L214" s="66"/>
      <c r="M214" s="107"/>
      <c r="N214" s="66"/>
      <c r="O214" s="66"/>
      <c r="P214" s="66"/>
      <c r="Q214" s="172"/>
      <c r="R214" s="104"/>
      <c r="S214" s="104"/>
      <c r="T214" s="104"/>
      <c r="U214" s="104"/>
      <c r="V214" s="106"/>
      <c r="W214" s="106"/>
      <c r="X214" s="66"/>
      <c r="Y214" s="106"/>
      <c r="Z214" s="66"/>
      <c r="AA214" s="66"/>
      <c r="AB214" s="106"/>
      <c r="AC214" s="66"/>
      <c r="AD214" s="66"/>
      <c r="AE214" s="81"/>
      <c r="AF214" s="81"/>
      <c r="AG214" s="81"/>
      <c r="AH214" s="81"/>
      <c r="AI214" s="81"/>
      <c r="AJ214" s="81"/>
      <c r="AK214" s="81"/>
    </row>
    <row r="215">
      <c r="A215" s="81"/>
      <c r="B215" s="66"/>
      <c r="C215" s="66"/>
      <c r="D215" s="66"/>
      <c r="E215" s="106"/>
      <c r="F215" s="137"/>
      <c r="G215" s="66"/>
      <c r="H215" s="147"/>
      <c r="I215" s="137"/>
      <c r="J215" s="137"/>
      <c r="K215" s="137"/>
      <c r="L215" s="66"/>
      <c r="M215" s="107"/>
      <c r="N215" s="66"/>
      <c r="O215" s="66"/>
      <c r="P215" s="66"/>
      <c r="Q215" s="172"/>
      <c r="R215" s="104"/>
      <c r="S215" s="104"/>
      <c r="T215" s="104"/>
      <c r="U215" s="104"/>
      <c r="V215" s="106"/>
      <c r="W215" s="106"/>
      <c r="X215" s="66"/>
      <c r="Y215" s="106"/>
      <c r="Z215" s="66"/>
      <c r="AA215" s="66"/>
      <c r="AB215" s="106"/>
      <c r="AC215" s="66"/>
      <c r="AD215" s="66"/>
      <c r="AE215" s="81"/>
      <c r="AF215" s="81"/>
      <c r="AG215" s="81"/>
      <c r="AH215" s="81"/>
      <c r="AI215" s="81"/>
      <c r="AJ215" s="81"/>
      <c r="AK215" s="81"/>
    </row>
    <row r="216">
      <c r="A216" s="81"/>
      <c r="B216" s="66"/>
      <c r="C216" s="66"/>
      <c r="D216" s="66"/>
      <c r="E216" s="106"/>
      <c r="F216" s="137"/>
      <c r="G216" s="66"/>
      <c r="H216" s="147"/>
      <c r="I216" s="137"/>
      <c r="J216" s="137"/>
      <c r="K216" s="137"/>
      <c r="L216" s="66"/>
      <c r="M216" s="107"/>
      <c r="N216" s="66"/>
      <c r="O216" s="66"/>
      <c r="P216" s="66"/>
      <c r="Q216" s="172"/>
      <c r="R216" s="104"/>
      <c r="S216" s="104"/>
      <c r="T216" s="104"/>
      <c r="U216" s="104"/>
      <c r="V216" s="106"/>
      <c r="W216" s="106"/>
      <c r="X216" s="66"/>
      <c r="Y216" s="106"/>
      <c r="Z216" s="66"/>
      <c r="AA216" s="66"/>
      <c r="AB216" s="106"/>
      <c r="AC216" s="66"/>
      <c r="AD216" s="66"/>
      <c r="AE216" s="81"/>
      <c r="AF216" s="81"/>
      <c r="AG216" s="81"/>
      <c r="AH216" s="81"/>
      <c r="AI216" s="81"/>
      <c r="AJ216" s="81"/>
      <c r="AK216" s="81"/>
    </row>
    <row r="217">
      <c r="A217" s="81"/>
      <c r="B217" s="66"/>
      <c r="C217" s="66"/>
      <c r="D217" s="66"/>
      <c r="E217" s="106"/>
      <c r="F217" s="137"/>
      <c r="G217" s="66"/>
      <c r="H217" s="147"/>
      <c r="I217" s="137"/>
      <c r="J217" s="137"/>
      <c r="K217" s="137"/>
      <c r="L217" s="66"/>
      <c r="M217" s="107"/>
      <c r="N217" s="66"/>
      <c r="O217" s="66"/>
      <c r="P217" s="66"/>
      <c r="Q217" s="172"/>
      <c r="R217" s="104"/>
      <c r="S217" s="104"/>
      <c r="T217" s="104"/>
      <c r="U217" s="104"/>
      <c r="V217" s="106"/>
      <c r="W217" s="106"/>
      <c r="X217" s="66"/>
      <c r="Y217" s="106"/>
      <c r="Z217" s="66"/>
      <c r="AA217" s="66"/>
      <c r="AB217" s="106"/>
      <c r="AC217" s="66"/>
      <c r="AD217" s="66"/>
      <c r="AE217" s="81"/>
      <c r="AF217" s="81"/>
      <c r="AG217" s="81"/>
      <c r="AH217" s="81"/>
      <c r="AI217" s="81"/>
      <c r="AJ217" s="81"/>
      <c r="AK217" s="81"/>
    </row>
    <row r="218">
      <c r="A218" s="81"/>
      <c r="B218" s="66"/>
      <c r="C218" s="66"/>
      <c r="D218" s="66"/>
      <c r="E218" s="106"/>
      <c r="F218" s="137"/>
      <c r="G218" s="66"/>
      <c r="H218" s="147"/>
      <c r="I218" s="137"/>
      <c r="J218" s="137"/>
      <c r="K218" s="137"/>
      <c r="L218" s="66"/>
      <c r="M218" s="107"/>
      <c r="N218" s="66"/>
      <c r="O218" s="66"/>
      <c r="P218" s="66"/>
      <c r="Q218" s="172"/>
      <c r="R218" s="104"/>
      <c r="S218" s="104"/>
      <c r="T218" s="104"/>
      <c r="U218" s="104"/>
      <c r="V218" s="106"/>
      <c r="W218" s="106"/>
      <c r="X218" s="66"/>
      <c r="Y218" s="106"/>
      <c r="Z218" s="66"/>
      <c r="AA218" s="66"/>
      <c r="AB218" s="106"/>
      <c r="AC218" s="66"/>
      <c r="AD218" s="66"/>
      <c r="AE218" s="81"/>
      <c r="AF218" s="81"/>
      <c r="AG218" s="81"/>
      <c r="AH218" s="81"/>
      <c r="AI218" s="81"/>
      <c r="AJ218" s="81"/>
      <c r="AK218" s="81"/>
    </row>
    <row r="219">
      <c r="A219" s="81"/>
      <c r="B219" s="66"/>
      <c r="C219" s="66"/>
      <c r="D219" s="66"/>
      <c r="E219" s="106"/>
      <c r="F219" s="137"/>
      <c r="G219" s="66"/>
      <c r="H219" s="147"/>
      <c r="I219" s="137"/>
      <c r="J219" s="137"/>
      <c r="K219" s="137"/>
      <c r="L219" s="66"/>
      <c r="M219" s="107"/>
      <c r="N219" s="66"/>
      <c r="O219" s="66"/>
      <c r="P219" s="66"/>
      <c r="Q219" s="172"/>
      <c r="R219" s="104"/>
      <c r="S219" s="104"/>
      <c r="T219" s="104"/>
      <c r="U219" s="104"/>
      <c r="V219" s="106"/>
      <c r="W219" s="106"/>
      <c r="X219" s="66"/>
      <c r="Y219" s="106"/>
      <c r="Z219" s="66"/>
      <c r="AA219" s="66"/>
      <c r="AB219" s="106"/>
      <c r="AC219" s="66"/>
      <c r="AD219" s="66"/>
      <c r="AE219" s="81"/>
      <c r="AF219" s="81"/>
      <c r="AG219" s="81"/>
      <c r="AH219" s="81"/>
      <c r="AI219" s="81"/>
      <c r="AJ219" s="81"/>
      <c r="AK219" s="81"/>
    </row>
    <row r="220">
      <c r="A220" s="81"/>
      <c r="B220" s="66"/>
      <c r="C220" s="66"/>
      <c r="D220" s="66"/>
      <c r="E220" s="106"/>
      <c r="F220" s="137"/>
      <c r="G220" s="66"/>
      <c r="H220" s="147"/>
      <c r="I220" s="137"/>
      <c r="J220" s="137"/>
      <c r="K220" s="137"/>
      <c r="L220" s="66"/>
      <c r="M220" s="107"/>
      <c r="N220" s="66"/>
      <c r="O220" s="66"/>
      <c r="P220" s="66"/>
      <c r="Q220" s="172"/>
      <c r="R220" s="104"/>
      <c r="S220" s="104"/>
      <c r="T220" s="104"/>
      <c r="U220" s="104"/>
      <c r="V220" s="106"/>
      <c r="W220" s="106"/>
      <c r="X220" s="66"/>
      <c r="Y220" s="106"/>
      <c r="Z220" s="66"/>
      <c r="AA220" s="66"/>
      <c r="AB220" s="106"/>
      <c r="AC220" s="66"/>
      <c r="AD220" s="66"/>
      <c r="AE220" s="81"/>
      <c r="AF220" s="81"/>
      <c r="AG220" s="81"/>
      <c r="AH220" s="81"/>
      <c r="AI220" s="81"/>
      <c r="AJ220" s="81"/>
      <c r="AK220" s="81"/>
    </row>
    <row r="221">
      <c r="A221" s="81"/>
      <c r="B221" s="66"/>
      <c r="C221" s="66"/>
      <c r="D221" s="66"/>
      <c r="E221" s="106"/>
      <c r="F221" s="137"/>
      <c r="G221" s="66"/>
      <c r="H221" s="147"/>
      <c r="I221" s="137"/>
      <c r="J221" s="137"/>
      <c r="K221" s="137"/>
      <c r="L221" s="66"/>
      <c r="M221" s="107"/>
      <c r="N221" s="66"/>
      <c r="O221" s="66"/>
      <c r="P221" s="66"/>
      <c r="Q221" s="172"/>
      <c r="R221" s="104"/>
      <c r="S221" s="104"/>
      <c r="T221" s="104"/>
      <c r="U221" s="104"/>
      <c r="V221" s="106"/>
      <c r="W221" s="106"/>
      <c r="X221" s="66"/>
      <c r="Y221" s="106"/>
      <c r="Z221" s="66"/>
      <c r="AA221" s="66"/>
      <c r="AB221" s="106"/>
      <c r="AC221" s="66"/>
      <c r="AD221" s="66"/>
      <c r="AE221" s="81"/>
      <c r="AF221" s="81"/>
      <c r="AG221" s="81"/>
      <c r="AH221" s="81"/>
      <c r="AI221" s="81"/>
      <c r="AJ221" s="81"/>
      <c r="AK221" s="81"/>
    </row>
    <row r="222">
      <c r="A222" s="81"/>
      <c r="B222" s="66"/>
      <c r="C222" s="66"/>
      <c r="D222" s="66"/>
      <c r="E222" s="106"/>
      <c r="F222" s="137"/>
      <c r="G222" s="66"/>
      <c r="H222" s="147"/>
      <c r="I222" s="137"/>
      <c r="J222" s="137"/>
      <c r="K222" s="137"/>
      <c r="L222" s="66"/>
      <c r="M222" s="107"/>
      <c r="N222" s="66"/>
      <c r="O222" s="66"/>
      <c r="P222" s="66"/>
      <c r="Q222" s="172"/>
      <c r="R222" s="104"/>
      <c r="S222" s="104"/>
      <c r="T222" s="104"/>
      <c r="U222" s="104"/>
      <c r="V222" s="106"/>
      <c r="W222" s="106"/>
      <c r="X222" s="66"/>
      <c r="Y222" s="106"/>
      <c r="Z222" s="66"/>
      <c r="AA222" s="66"/>
      <c r="AB222" s="106"/>
      <c r="AC222" s="66"/>
      <c r="AD222" s="66"/>
      <c r="AE222" s="81"/>
      <c r="AF222" s="81"/>
      <c r="AG222" s="81"/>
      <c r="AH222" s="81"/>
      <c r="AI222" s="81"/>
      <c r="AJ222" s="81"/>
      <c r="AK222" s="81"/>
    </row>
    <row r="223">
      <c r="A223" s="81"/>
      <c r="B223" s="66"/>
      <c r="C223" s="66"/>
      <c r="D223" s="66"/>
      <c r="E223" s="106"/>
      <c r="F223" s="137"/>
      <c r="G223" s="66"/>
      <c r="H223" s="147"/>
      <c r="I223" s="137"/>
      <c r="J223" s="137"/>
      <c r="K223" s="137"/>
      <c r="L223" s="66"/>
      <c r="M223" s="107"/>
      <c r="N223" s="66"/>
      <c r="O223" s="66"/>
      <c r="P223" s="66"/>
      <c r="Q223" s="172"/>
      <c r="R223" s="104"/>
      <c r="S223" s="104"/>
      <c r="T223" s="104"/>
      <c r="U223" s="104"/>
      <c r="V223" s="106"/>
      <c r="W223" s="106"/>
      <c r="X223" s="66"/>
      <c r="Y223" s="106"/>
      <c r="Z223" s="66"/>
      <c r="AA223" s="66"/>
      <c r="AB223" s="106"/>
      <c r="AC223" s="66"/>
      <c r="AD223" s="66"/>
      <c r="AE223" s="81"/>
      <c r="AF223" s="81"/>
      <c r="AG223" s="81"/>
      <c r="AH223" s="81"/>
      <c r="AI223" s="81"/>
      <c r="AJ223" s="81"/>
      <c r="AK223" s="81"/>
    </row>
    <row r="224">
      <c r="A224" s="81"/>
      <c r="B224" s="66"/>
      <c r="C224" s="66"/>
      <c r="D224" s="66"/>
      <c r="E224" s="106"/>
      <c r="F224" s="137"/>
      <c r="G224" s="66"/>
      <c r="H224" s="147"/>
      <c r="I224" s="137"/>
      <c r="J224" s="137"/>
      <c r="K224" s="137"/>
      <c r="L224" s="66"/>
      <c r="M224" s="107"/>
      <c r="N224" s="66"/>
      <c r="O224" s="66"/>
      <c r="P224" s="66"/>
      <c r="Q224" s="172"/>
      <c r="R224" s="104"/>
      <c r="S224" s="104"/>
      <c r="T224" s="104"/>
      <c r="U224" s="104"/>
      <c r="V224" s="106"/>
      <c r="W224" s="106"/>
      <c r="X224" s="66"/>
      <c r="Y224" s="106"/>
      <c r="Z224" s="66"/>
      <c r="AA224" s="66"/>
      <c r="AB224" s="106"/>
      <c r="AC224" s="66"/>
      <c r="AD224" s="66"/>
      <c r="AE224" s="81"/>
      <c r="AF224" s="81"/>
      <c r="AG224" s="81"/>
      <c r="AH224" s="81"/>
      <c r="AI224" s="81"/>
      <c r="AJ224" s="81"/>
      <c r="AK224" s="81"/>
    </row>
    <row r="225">
      <c r="A225" s="81"/>
      <c r="B225" s="66"/>
      <c r="C225" s="66"/>
      <c r="D225" s="66"/>
      <c r="E225" s="106"/>
      <c r="F225" s="137"/>
      <c r="G225" s="66"/>
      <c r="H225" s="147"/>
      <c r="I225" s="137"/>
      <c r="J225" s="137"/>
      <c r="K225" s="137"/>
      <c r="L225" s="66"/>
      <c r="M225" s="107"/>
      <c r="N225" s="66"/>
      <c r="O225" s="66"/>
      <c r="P225" s="66"/>
      <c r="Q225" s="172"/>
      <c r="R225" s="104"/>
      <c r="S225" s="104"/>
      <c r="T225" s="104"/>
      <c r="U225" s="104"/>
      <c r="V225" s="106"/>
      <c r="W225" s="106"/>
      <c r="X225" s="66"/>
      <c r="Y225" s="106"/>
      <c r="Z225" s="66"/>
      <c r="AA225" s="66"/>
      <c r="AB225" s="106"/>
      <c r="AC225" s="66"/>
      <c r="AD225" s="66"/>
      <c r="AE225" s="81"/>
      <c r="AF225" s="81"/>
      <c r="AG225" s="81"/>
      <c r="AH225" s="81"/>
      <c r="AI225" s="81"/>
      <c r="AJ225" s="81"/>
      <c r="AK225" s="81"/>
    </row>
    <row r="226">
      <c r="A226" s="81"/>
      <c r="B226" s="66"/>
      <c r="C226" s="66"/>
      <c r="D226" s="66"/>
      <c r="E226" s="106"/>
      <c r="F226" s="137"/>
      <c r="G226" s="66"/>
      <c r="H226" s="147"/>
      <c r="I226" s="137"/>
      <c r="J226" s="137"/>
      <c r="K226" s="137"/>
      <c r="L226" s="66"/>
      <c r="M226" s="107"/>
      <c r="N226" s="66"/>
      <c r="O226" s="66"/>
      <c r="P226" s="66"/>
      <c r="Q226" s="172"/>
      <c r="R226" s="104"/>
      <c r="S226" s="104"/>
      <c r="T226" s="104"/>
      <c r="U226" s="104"/>
      <c r="V226" s="106"/>
      <c r="W226" s="106"/>
      <c r="X226" s="66"/>
      <c r="Y226" s="106"/>
      <c r="Z226" s="66"/>
      <c r="AA226" s="66"/>
      <c r="AB226" s="106"/>
      <c r="AC226" s="66"/>
      <c r="AD226" s="66"/>
      <c r="AE226" s="81"/>
      <c r="AF226" s="81"/>
      <c r="AG226" s="81"/>
      <c r="AH226" s="81"/>
      <c r="AI226" s="81"/>
      <c r="AJ226" s="81"/>
      <c r="AK226" s="81"/>
    </row>
    <row r="227">
      <c r="A227" s="81"/>
      <c r="B227" s="66"/>
      <c r="C227" s="66"/>
      <c r="D227" s="66"/>
      <c r="E227" s="106"/>
      <c r="F227" s="137"/>
      <c r="G227" s="66"/>
      <c r="H227" s="147"/>
      <c r="I227" s="137"/>
      <c r="J227" s="137"/>
      <c r="K227" s="137"/>
      <c r="L227" s="66"/>
      <c r="M227" s="107"/>
      <c r="N227" s="66"/>
      <c r="O227" s="66"/>
      <c r="P227" s="66"/>
      <c r="Q227" s="172"/>
      <c r="R227" s="104"/>
      <c r="S227" s="104"/>
      <c r="T227" s="104"/>
      <c r="U227" s="104"/>
      <c r="V227" s="106"/>
      <c r="W227" s="106"/>
      <c r="X227" s="66"/>
      <c r="Y227" s="106"/>
      <c r="Z227" s="66"/>
      <c r="AA227" s="66"/>
      <c r="AB227" s="106"/>
      <c r="AC227" s="66"/>
      <c r="AD227" s="66"/>
      <c r="AE227" s="81"/>
      <c r="AF227" s="81"/>
      <c r="AG227" s="81"/>
      <c r="AH227" s="81"/>
      <c r="AI227" s="81"/>
      <c r="AJ227" s="81"/>
      <c r="AK227" s="81"/>
    </row>
    <row r="228">
      <c r="A228" s="81"/>
      <c r="B228" s="66"/>
      <c r="C228" s="66"/>
      <c r="D228" s="66"/>
      <c r="E228" s="106"/>
      <c r="F228" s="137"/>
      <c r="G228" s="66"/>
      <c r="H228" s="147"/>
      <c r="I228" s="137"/>
      <c r="J228" s="137"/>
      <c r="K228" s="137"/>
      <c r="L228" s="66"/>
      <c r="M228" s="107"/>
      <c r="N228" s="66"/>
      <c r="O228" s="66"/>
      <c r="P228" s="66"/>
      <c r="Q228" s="172"/>
      <c r="R228" s="104"/>
      <c r="S228" s="104"/>
      <c r="T228" s="104"/>
      <c r="U228" s="104"/>
      <c r="V228" s="106"/>
      <c r="W228" s="106"/>
      <c r="X228" s="66"/>
      <c r="Y228" s="106"/>
      <c r="Z228" s="66"/>
      <c r="AA228" s="66"/>
      <c r="AB228" s="106"/>
      <c r="AC228" s="66"/>
      <c r="AD228" s="66"/>
      <c r="AE228" s="81"/>
      <c r="AF228" s="81"/>
      <c r="AG228" s="81"/>
      <c r="AH228" s="81"/>
      <c r="AI228" s="81"/>
      <c r="AJ228" s="81"/>
      <c r="AK228" s="81"/>
    </row>
    <row r="229">
      <c r="A229" s="81"/>
      <c r="B229" s="66"/>
      <c r="C229" s="66"/>
      <c r="D229" s="66"/>
      <c r="E229" s="106"/>
      <c r="F229" s="137"/>
      <c r="G229" s="66"/>
      <c r="H229" s="147"/>
      <c r="I229" s="137"/>
      <c r="J229" s="137"/>
      <c r="K229" s="137"/>
      <c r="L229" s="66"/>
      <c r="M229" s="107"/>
      <c r="N229" s="66"/>
      <c r="O229" s="66"/>
      <c r="P229" s="66"/>
      <c r="Q229" s="172"/>
      <c r="R229" s="104"/>
      <c r="S229" s="104"/>
      <c r="T229" s="104"/>
      <c r="U229" s="104"/>
      <c r="V229" s="106"/>
      <c r="W229" s="106"/>
      <c r="X229" s="66"/>
      <c r="Y229" s="106"/>
      <c r="Z229" s="66"/>
      <c r="AA229" s="66"/>
      <c r="AB229" s="106"/>
      <c r="AC229" s="66"/>
      <c r="AD229" s="66"/>
      <c r="AE229" s="81"/>
      <c r="AF229" s="81"/>
      <c r="AG229" s="81"/>
      <c r="AH229" s="81"/>
      <c r="AI229" s="81"/>
      <c r="AJ229" s="81"/>
      <c r="AK229" s="81"/>
    </row>
    <row r="230">
      <c r="A230" s="81"/>
      <c r="B230" s="66"/>
      <c r="C230" s="66"/>
      <c r="D230" s="66"/>
      <c r="E230" s="106"/>
      <c r="F230" s="137"/>
      <c r="G230" s="66"/>
      <c r="H230" s="147"/>
      <c r="I230" s="137"/>
      <c r="J230" s="137"/>
      <c r="K230" s="137"/>
      <c r="L230" s="66"/>
      <c r="M230" s="107"/>
      <c r="N230" s="66"/>
      <c r="O230" s="66"/>
      <c r="P230" s="66"/>
      <c r="Q230" s="172"/>
      <c r="R230" s="104"/>
      <c r="S230" s="104"/>
      <c r="T230" s="104"/>
      <c r="U230" s="104"/>
      <c r="V230" s="106"/>
      <c r="W230" s="106"/>
      <c r="X230" s="66"/>
      <c r="Y230" s="106"/>
      <c r="Z230" s="66"/>
      <c r="AA230" s="66"/>
      <c r="AB230" s="106"/>
      <c r="AC230" s="66"/>
      <c r="AD230" s="66"/>
      <c r="AE230" s="81"/>
      <c r="AF230" s="81"/>
      <c r="AG230" s="81"/>
      <c r="AH230" s="81"/>
      <c r="AI230" s="81"/>
      <c r="AJ230" s="81"/>
      <c r="AK230" s="81"/>
    </row>
    <row r="231">
      <c r="A231" s="81"/>
      <c r="B231" s="66"/>
      <c r="C231" s="66"/>
      <c r="D231" s="66"/>
      <c r="E231" s="106"/>
      <c r="F231" s="137"/>
      <c r="G231" s="66"/>
      <c r="H231" s="147"/>
      <c r="I231" s="137"/>
      <c r="J231" s="137"/>
      <c r="K231" s="137"/>
      <c r="L231" s="66"/>
      <c r="M231" s="107"/>
      <c r="N231" s="66"/>
      <c r="O231" s="66"/>
      <c r="P231" s="66"/>
      <c r="Q231" s="172"/>
      <c r="R231" s="104"/>
      <c r="S231" s="104"/>
      <c r="T231" s="104"/>
      <c r="U231" s="104"/>
      <c r="V231" s="106"/>
      <c r="W231" s="106"/>
      <c r="X231" s="66"/>
      <c r="Y231" s="106"/>
      <c r="Z231" s="66"/>
      <c r="AA231" s="66"/>
      <c r="AB231" s="106"/>
      <c r="AC231" s="66"/>
      <c r="AD231" s="66"/>
      <c r="AE231" s="81"/>
      <c r="AF231" s="81"/>
      <c r="AG231" s="81"/>
      <c r="AH231" s="81"/>
      <c r="AI231" s="81"/>
      <c r="AJ231" s="81"/>
      <c r="AK231" s="81"/>
    </row>
    <row r="232">
      <c r="A232" s="81"/>
      <c r="B232" s="66"/>
      <c r="C232" s="66"/>
      <c r="D232" s="66"/>
      <c r="E232" s="106"/>
      <c r="F232" s="137"/>
      <c r="G232" s="66"/>
      <c r="H232" s="147"/>
      <c r="I232" s="137"/>
      <c r="J232" s="137"/>
      <c r="K232" s="137"/>
      <c r="L232" s="66"/>
      <c r="M232" s="107"/>
      <c r="N232" s="66"/>
      <c r="O232" s="66"/>
      <c r="P232" s="66"/>
      <c r="Q232" s="172"/>
      <c r="R232" s="104"/>
      <c r="S232" s="104"/>
      <c r="T232" s="104"/>
      <c r="U232" s="104"/>
      <c r="V232" s="106"/>
      <c r="W232" s="106"/>
      <c r="X232" s="66"/>
      <c r="Y232" s="106"/>
      <c r="Z232" s="66"/>
      <c r="AA232" s="66"/>
      <c r="AB232" s="106"/>
      <c r="AC232" s="66"/>
      <c r="AD232" s="66"/>
      <c r="AE232" s="81"/>
      <c r="AF232" s="81"/>
      <c r="AG232" s="81"/>
      <c r="AH232" s="81"/>
      <c r="AI232" s="81"/>
      <c r="AJ232" s="81"/>
      <c r="AK232" s="81"/>
    </row>
    <row r="233">
      <c r="A233" s="81"/>
      <c r="B233" s="66"/>
      <c r="C233" s="66"/>
      <c r="D233" s="66"/>
      <c r="E233" s="106"/>
      <c r="F233" s="137"/>
      <c r="G233" s="66"/>
      <c r="H233" s="147"/>
      <c r="I233" s="137"/>
      <c r="J233" s="137"/>
      <c r="K233" s="137"/>
      <c r="L233" s="66"/>
      <c r="M233" s="107"/>
      <c r="N233" s="66"/>
      <c r="O233" s="66"/>
      <c r="P233" s="66"/>
      <c r="Q233" s="172"/>
      <c r="R233" s="104"/>
      <c r="S233" s="104"/>
      <c r="T233" s="104"/>
      <c r="U233" s="104"/>
      <c r="V233" s="106"/>
      <c r="W233" s="106"/>
      <c r="X233" s="66"/>
      <c r="Y233" s="106"/>
      <c r="Z233" s="66"/>
      <c r="AA233" s="66"/>
      <c r="AB233" s="106"/>
      <c r="AC233" s="66"/>
      <c r="AD233" s="66"/>
      <c r="AE233" s="81"/>
      <c r="AF233" s="81"/>
      <c r="AG233" s="81"/>
      <c r="AH233" s="81"/>
      <c r="AI233" s="81"/>
      <c r="AJ233" s="81"/>
      <c r="AK233" s="81"/>
    </row>
    <row r="234">
      <c r="A234" s="81"/>
      <c r="B234" s="66"/>
      <c r="C234" s="66"/>
      <c r="D234" s="66"/>
      <c r="E234" s="106"/>
      <c r="F234" s="137"/>
      <c r="G234" s="66"/>
      <c r="H234" s="147"/>
      <c r="I234" s="137"/>
      <c r="J234" s="137"/>
      <c r="K234" s="137"/>
      <c r="L234" s="66"/>
      <c r="M234" s="107"/>
      <c r="N234" s="66"/>
      <c r="O234" s="66"/>
      <c r="P234" s="66"/>
      <c r="Q234" s="172"/>
      <c r="R234" s="104"/>
      <c r="S234" s="104"/>
      <c r="T234" s="104"/>
      <c r="U234" s="104"/>
      <c r="V234" s="106"/>
      <c r="W234" s="106"/>
      <c r="X234" s="66"/>
      <c r="Y234" s="106"/>
      <c r="Z234" s="66"/>
      <c r="AA234" s="66"/>
      <c r="AB234" s="106"/>
      <c r="AC234" s="66"/>
      <c r="AD234" s="66"/>
      <c r="AE234" s="81"/>
      <c r="AF234" s="81"/>
      <c r="AG234" s="81"/>
      <c r="AH234" s="81"/>
      <c r="AI234" s="81"/>
      <c r="AJ234" s="81"/>
      <c r="AK234" s="81"/>
    </row>
    <row r="235">
      <c r="A235" s="81"/>
      <c r="B235" s="66"/>
      <c r="C235" s="66"/>
      <c r="D235" s="66"/>
      <c r="E235" s="106"/>
      <c r="F235" s="137"/>
      <c r="G235" s="66"/>
      <c r="H235" s="147"/>
      <c r="I235" s="137"/>
      <c r="J235" s="137"/>
      <c r="K235" s="137"/>
      <c r="L235" s="66"/>
      <c r="M235" s="107"/>
      <c r="N235" s="66"/>
      <c r="O235" s="66"/>
      <c r="P235" s="66"/>
      <c r="Q235" s="172"/>
      <c r="R235" s="104"/>
      <c r="S235" s="104"/>
      <c r="T235" s="104"/>
      <c r="U235" s="104"/>
      <c r="V235" s="106"/>
      <c r="W235" s="106"/>
      <c r="X235" s="66"/>
      <c r="Y235" s="106"/>
      <c r="Z235" s="66"/>
      <c r="AA235" s="66"/>
      <c r="AB235" s="106"/>
      <c r="AC235" s="66"/>
      <c r="AD235" s="66"/>
      <c r="AE235" s="81"/>
      <c r="AF235" s="81"/>
      <c r="AG235" s="81"/>
      <c r="AH235" s="81"/>
      <c r="AI235" s="81"/>
      <c r="AJ235" s="81"/>
      <c r="AK235" s="81"/>
    </row>
    <row r="236">
      <c r="A236" s="81"/>
      <c r="B236" s="66"/>
      <c r="C236" s="66"/>
      <c r="D236" s="66"/>
      <c r="E236" s="106"/>
      <c r="F236" s="137"/>
      <c r="G236" s="66"/>
      <c r="H236" s="147"/>
      <c r="I236" s="137"/>
      <c r="J236" s="137"/>
      <c r="K236" s="137"/>
      <c r="L236" s="66"/>
      <c r="M236" s="107"/>
      <c r="N236" s="66"/>
      <c r="O236" s="66"/>
      <c r="P236" s="66"/>
      <c r="Q236" s="172"/>
      <c r="R236" s="104"/>
      <c r="S236" s="104"/>
      <c r="T236" s="104"/>
      <c r="U236" s="104"/>
      <c r="V236" s="106"/>
      <c r="W236" s="106"/>
      <c r="X236" s="66"/>
      <c r="Y236" s="106"/>
      <c r="Z236" s="66"/>
      <c r="AA236" s="66"/>
      <c r="AB236" s="106"/>
      <c r="AC236" s="66"/>
      <c r="AD236" s="66"/>
      <c r="AE236" s="81"/>
      <c r="AF236" s="81"/>
      <c r="AG236" s="81"/>
      <c r="AH236" s="81"/>
      <c r="AI236" s="81"/>
      <c r="AJ236" s="81"/>
      <c r="AK236" s="81"/>
    </row>
    <row r="237">
      <c r="A237" s="81"/>
      <c r="B237" s="66"/>
      <c r="C237" s="66"/>
      <c r="D237" s="66"/>
      <c r="E237" s="106"/>
      <c r="F237" s="137"/>
      <c r="G237" s="66"/>
      <c r="H237" s="147"/>
      <c r="I237" s="137"/>
      <c r="J237" s="137"/>
      <c r="K237" s="137"/>
      <c r="L237" s="66"/>
      <c r="M237" s="107"/>
      <c r="N237" s="66"/>
      <c r="O237" s="66"/>
      <c r="P237" s="66"/>
      <c r="Q237" s="172"/>
      <c r="R237" s="104"/>
      <c r="S237" s="104"/>
      <c r="T237" s="104"/>
      <c r="U237" s="104"/>
      <c r="V237" s="106"/>
      <c r="W237" s="106"/>
      <c r="X237" s="66"/>
      <c r="Y237" s="106"/>
      <c r="Z237" s="66"/>
      <c r="AA237" s="66"/>
      <c r="AB237" s="106"/>
      <c r="AC237" s="66"/>
      <c r="AD237" s="66"/>
      <c r="AE237" s="81"/>
      <c r="AF237" s="81"/>
      <c r="AG237" s="81"/>
      <c r="AH237" s="81"/>
      <c r="AI237" s="81"/>
      <c r="AJ237" s="81"/>
      <c r="AK237" s="81"/>
    </row>
    <row r="238">
      <c r="A238" s="81"/>
      <c r="B238" s="66"/>
      <c r="C238" s="66"/>
      <c r="D238" s="66"/>
      <c r="E238" s="106"/>
      <c r="F238" s="137"/>
      <c r="G238" s="66"/>
      <c r="H238" s="147"/>
      <c r="I238" s="137"/>
      <c r="J238" s="137"/>
      <c r="K238" s="137"/>
      <c r="L238" s="66"/>
      <c r="M238" s="107"/>
      <c r="N238" s="66"/>
      <c r="O238" s="66"/>
      <c r="P238" s="66"/>
      <c r="Q238" s="172"/>
      <c r="R238" s="104"/>
      <c r="S238" s="104"/>
      <c r="T238" s="104"/>
      <c r="U238" s="104"/>
      <c r="V238" s="106"/>
      <c r="W238" s="106"/>
      <c r="X238" s="66"/>
      <c r="Y238" s="106"/>
      <c r="Z238" s="66"/>
      <c r="AA238" s="66"/>
      <c r="AB238" s="106"/>
      <c r="AC238" s="66"/>
      <c r="AD238" s="66"/>
      <c r="AE238" s="81"/>
      <c r="AF238" s="81"/>
      <c r="AG238" s="81"/>
      <c r="AH238" s="81"/>
      <c r="AI238" s="81"/>
      <c r="AJ238" s="81"/>
      <c r="AK238" s="81"/>
    </row>
    <row r="239">
      <c r="A239" s="81"/>
      <c r="B239" s="66"/>
      <c r="C239" s="66"/>
      <c r="D239" s="66"/>
      <c r="E239" s="106"/>
      <c r="F239" s="137"/>
      <c r="G239" s="66"/>
      <c r="H239" s="147"/>
      <c r="I239" s="137"/>
      <c r="J239" s="137"/>
      <c r="K239" s="137"/>
      <c r="L239" s="66"/>
      <c r="M239" s="107"/>
      <c r="N239" s="66"/>
      <c r="O239" s="66"/>
      <c r="P239" s="66"/>
      <c r="Q239" s="172"/>
      <c r="R239" s="104"/>
      <c r="S239" s="104"/>
      <c r="T239" s="104"/>
      <c r="U239" s="104"/>
      <c r="V239" s="106"/>
      <c r="W239" s="106"/>
      <c r="X239" s="66"/>
      <c r="Y239" s="106"/>
      <c r="Z239" s="66"/>
      <c r="AA239" s="66"/>
      <c r="AB239" s="106"/>
      <c r="AC239" s="66"/>
      <c r="AD239" s="66"/>
      <c r="AE239" s="81"/>
      <c r="AF239" s="81"/>
      <c r="AG239" s="81"/>
      <c r="AH239" s="81"/>
      <c r="AI239" s="81"/>
      <c r="AJ239" s="81"/>
      <c r="AK239" s="81"/>
    </row>
    <row r="240">
      <c r="A240" s="81"/>
      <c r="B240" s="66"/>
      <c r="C240" s="66"/>
      <c r="D240" s="66"/>
      <c r="E240" s="106"/>
      <c r="F240" s="137"/>
      <c r="G240" s="66"/>
      <c r="H240" s="147"/>
      <c r="I240" s="137"/>
      <c r="J240" s="137"/>
      <c r="K240" s="137"/>
      <c r="L240" s="66"/>
      <c r="M240" s="107"/>
      <c r="N240" s="66"/>
      <c r="O240" s="66"/>
      <c r="P240" s="66"/>
      <c r="Q240" s="172"/>
      <c r="R240" s="104"/>
      <c r="S240" s="104"/>
      <c r="T240" s="104"/>
      <c r="U240" s="104"/>
      <c r="V240" s="106"/>
      <c r="W240" s="106"/>
      <c r="X240" s="66"/>
      <c r="Y240" s="106"/>
      <c r="Z240" s="66"/>
      <c r="AA240" s="66"/>
      <c r="AB240" s="106"/>
      <c r="AC240" s="66"/>
      <c r="AD240" s="66"/>
      <c r="AE240" s="81"/>
      <c r="AF240" s="81"/>
      <c r="AG240" s="81"/>
      <c r="AH240" s="81"/>
      <c r="AI240" s="81"/>
      <c r="AJ240" s="81"/>
      <c r="AK240" s="81"/>
    </row>
    <row r="241">
      <c r="A241" s="81"/>
      <c r="B241" s="66"/>
      <c r="C241" s="66"/>
      <c r="D241" s="66"/>
      <c r="E241" s="106"/>
      <c r="F241" s="137"/>
      <c r="G241" s="66"/>
      <c r="H241" s="147"/>
      <c r="I241" s="137"/>
      <c r="J241" s="137"/>
      <c r="K241" s="137"/>
      <c r="L241" s="66"/>
      <c r="M241" s="107"/>
      <c r="N241" s="66"/>
      <c r="O241" s="66"/>
      <c r="P241" s="66"/>
      <c r="Q241" s="172"/>
      <c r="R241" s="104"/>
      <c r="S241" s="104"/>
      <c r="T241" s="104"/>
      <c r="U241" s="104"/>
      <c r="V241" s="106"/>
      <c r="W241" s="106"/>
      <c r="X241" s="66"/>
      <c r="Y241" s="106"/>
      <c r="Z241" s="66"/>
      <c r="AA241" s="66"/>
      <c r="AB241" s="106"/>
      <c r="AC241" s="66"/>
      <c r="AD241" s="66"/>
      <c r="AE241" s="81"/>
      <c r="AF241" s="81"/>
      <c r="AG241" s="81"/>
      <c r="AH241" s="81"/>
      <c r="AI241" s="81"/>
      <c r="AJ241" s="81"/>
      <c r="AK241" s="81"/>
    </row>
    <row r="242">
      <c r="A242" s="81"/>
      <c r="B242" s="66"/>
      <c r="C242" s="66"/>
      <c r="D242" s="66"/>
      <c r="E242" s="106"/>
      <c r="F242" s="137"/>
      <c r="G242" s="66"/>
      <c r="H242" s="147"/>
      <c r="I242" s="137"/>
      <c r="J242" s="137"/>
      <c r="K242" s="137"/>
      <c r="L242" s="66"/>
      <c r="M242" s="107"/>
      <c r="N242" s="66"/>
      <c r="O242" s="66"/>
      <c r="P242" s="66"/>
      <c r="Q242" s="172"/>
      <c r="R242" s="104"/>
      <c r="S242" s="104"/>
      <c r="T242" s="104"/>
      <c r="U242" s="104"/>
      <c r="V242" s="106"/>
      <c r="W242" s="106"/>
      <c r="X242" s="66"/>
      <c r="Y242" s="106"/>
      <c r="Z242" s="66"/>
      <c r="AA242" s="66"/>
      <c r="AB242" s="106"/>
      <c r="AC242" s="66"/>
      <c r="AD242" s="66"/>
      <c r="AE242" s="81"/>
      <c r="AF242" s="81"/>
      <c r="AG242" s="81"/>
      <c r="AH242" s="81"/>
      <c r="AI242" s="81"/>
      <c r="AJ242" s="81"/>
      <c r="AK242" s="81"/>
    </row>
    <row r="243">
      <c r="A243" s="81"/>
      <c r="B243" s="66"/>
      <c r="C243" s="66"/>
      <c r="D243" s="66"/>
      <c r="E243" s="106"/>
      <c r="F243" s="137"/>
      <c r="G243" s="66"/>
      <c r="H243" s="147"/>
      <c r="I243" s="137"/>
      <c r="J243" s="137"/>
      <c r="K243" s="137"/>
      <c r="L243" s="66"/>
      <c r="M243" s="107"/>
      <c r="N243" s="66"/>
      <c r="O243" s="66"/>
      <c r="P243" s="66"/>
      <c r="Q243" s="172"/>
      <c r="R243" s="104"/>
      <c r="S243" s="104"/>
      <c r="T243" s="104"/>
      <c r="U243" s="104"/>
      <c r="V243" s="106"/>
      <c r="W243" s="106"/>
      <c r="X243" s="66"/>
      <c r="Y243" s="106"/>
      <c r="Z243" s="66"/>
      <c r="AA243" s="66"/>
      <c r="AB243" s="106"/>
      <c r="AC243" s="66"/>
      <c r="AD243" s="66"/>
      <c r="AE243" s="81"/>
      <c r="AF243" s="81"/>
      <c r="AG243" s="81"/>
      <c r="AH243" s="81"/>
      <c r="AI243" s="81"/>
      <c r="AJ243" s="81"/>
      <c r="AK243" s="81"/>
    </row>
    <row r="244">
      <c r="A244" s="81"/>
      <c r="B244" s="66"/>
      <c r="C244" s="66"/>
      <c r="D244" s="66"/>
      <c r="E244" s="106"/>
      <c r="F244" s="137"/>
      <c r="G244" s="66"/>
      <c r="H244" s="147"/>
      <c r="I244" s="137"/>
      <c r="J244" s="137"/>
      <c r="K244" s="137"/>
      <c r="L244" s="66"/>
      <c r="M244" s="107"/>
      <c r="N244" s="66"/>
      <c r="O244" s="66"/>
      <c r="P244" s="66"/>
      <c r="Q244" s="172"/>
      <c r="R244" s="104"/>
      <c r="S244" s="104"/>
      <c r="T244" s="104"/>
      <c r="U244" s="104"/>
      <c r="V244" s="106"/>
      <c r="W244" s="106"/>
      <c r="X244" s="66"/>
      <c r="Y244" s="106"/>
      <c r="Z244" s="66"/>
      <c r="AA244" s="66"/>
      <c r="AB244" s="106"/>
      <c r="AC244" s="66"/>
      <c r="AD244" s="66"/>
      <c r="AE244" s="81"/>
      <c r="AF244" s="81"/>
      <c r="AG244" s="81"/>
      <c r="AH244" s="81"/>
      <c r="AI244" s="81"/>
      <c r="AJ244" s="81"/>
      <c r="AK244" s="81"/>
    </row>
    <row r="245">
      <c r="A245" s="81"/>
      <c r="B245" s="66"/>
      <c r="C245" s="66"/>
      <c r="D245" s="66"/>
      <c r="E245" s="106"/>
      <c r="F245" s="137"/>
      <c r="G245" s="66"/>
      <c r="H245" s="147"/>
      <c r="I245" s="137"/>
      <c r="J245" s="137"/>
      <c r="K245" s="137"/>
      <c r="L245" s="66"/>
      <c r="M245" s="107"/>
      <c r="N245" s="66"/>
      <c r="O245" s="66"/>
      <c r="P245" s="66"/>
      <c r="Q245" s="172"/>
      <c r="R245" s="104"/>
      <c r="S245" s="104"/>
      <c r="T245" s="104"/>
      <c r="U245" s="104"/>
      <c r="V245" s="106"/>
      <c r="W245" s="106"/>
      <c r="X245" s="66"/>
      <c r="Y245" s="106"/>
      <c r="Z245" s="66"/>
      <c r="AA245" s="66"/>
      <c r="AB245" s="106"/>
      <c r="AC245" s="66"/>
      <c r="AD245" s="66"/>
      <c r="AE245" s="81"/>
      <c r="AF245" s="81"/>
      <c r="AG245" s="81"/>
      <c r="AH245" s="81"/>
      <c r="AI245" s="81"/>
      <c r="AJ245" s="81"/>
      <c r="AK245" s="81"/>
    </row>
    <row r="246">
      <c r="A246" s="81"/>
      <c r="B246" s="66"/>
      <c r="C246" s="66"/>
      <c r="D246" s="66"/>
      <c r="E246" s="106"/>
      <c r="F246" s="137"/>
      <c r="G246" s="66"/>
      <c r="H246" s="147"/>
      <c r="I246" s="137"/>
      <c r="J246" s="137"/>
      <c r="K246" s="137"/>
      <c r="L246" s="66"/>
      <c r="M246" s="107"/>
      <c r="N246" s="66"/>
      <c r="O246" s="66"/>
      <c r="P246" s="66"/>
      <c r="Q246" s="172"/>
      <c r="R246" s="104"/>
      <c r="S246" s="104"/>
      <c r="T246" s="104"/>
      <c r="U246" s="104"/>
      <c r="V246" s="106"/>
      <c r="W246" s="106"/>
      <c r="X246" s="66"/>
      <c r="Y246" s="106"/>
      <c r="Z246" s="66"/>
      <c r="AA246" s="66"/>
      <c r="AB246" s="106"/>
      <c r="AC246" s="66"/>
      <c r="AD246" s="66"/>
      <c r="AE246" s="81"/>
      <c r="AF246" s="81"/>
      <c r="AG246" s="81"/>
      <c r="AH246" s="81"/>
      <c r="AI246" s="81"/>
      <c r="AJ246" s="81"/>
      <c r="AK246" s="81"/>
    </row>
    <row r="247">
      <c r="A247" s="81"/>
      <c r="B247" s="66"/>
      <c r="C247" s="66"/>
      <c r="D247" s="66"/>
      <c r="E247" s="106"/>
      <c r="F247" s="137"/>
      <c r="G247" s="66"/>
      <c r="H247" s="147"/>
      <c r="I247" s="137"/>
      <c r="J247" s="137"/>
      <c r="K247" s="137"/>
      <c r="L247" s="66"/>
      <c r="M247" s="107"/>
      <c r="N247" s="66"/>
      <c r="O247" s="66"/>
      <c r="P247" s="66"/>
      <c r="Q247" s="172"/>
      <c r="R247" s="104"/>
      <c r="S247" s="104"/>
      <c r="T247" s="104"/>
      <c r="U247" s="104"/>
      <c r="V247" s="106"/>
      <c r="W247" s="106"/>
      <c r="X247" s="66"/>
      <c r="Y247" s="106"/>
      <c r="Z247" s="66"/>
      <c r="AA247" s="66"/>
      <c r="AB247" s="106"/>
      <c r="AC247" s="66"/>
      <c r="AD247" s="66"/>
      <c r="AE247" s="81"/>
      <c r="AF247" s="81"/>
      <c r="AG247" s="81"/>
      <c r="AH247" s="81"/>
      <c r="AI247" s="81"/>
      <c r="AJ247" s="81"/>
      <c r="AK247" s="81"/>
    </row>
    <row r="248">
      <c r="A248" s="81"/>
      <c r="B248" s="66"/>
      <c r="C248" s="66"/>
      <c r="D248" s="66"/>
      <c r="E248" s="106"/>
      <c r="F248" s="137"/>
      <c r="G248" s="66"/>
      <c r="H248" s="147"/>
      <c r="I248" s="137"/>
      <c r="J248" s="137"/>
      <c r="K248" s="137"/>
      <c r="L248" s="66"/>
      <c r="M248" s="107"/>
      <c r="N248" s="66"/>
      <c r="O248" s="66"/>
      <c r="P248" s="66"/>
      <c r="Q248" s="172"/>
      <c r="R248" s="104"/>
      <c r="S248" s="104"/>
      <c r="T248" s="104"/>
      <c r="U248" s="104"/>
      <c r="V248" s="106"/>
      <c r="W248" s="106"/>
      <c r="X248" s="66"/>
      <c r="Y248" s="106"/>
      <c r="Z248" s="66"/>
      <c r="AA248" s="66"/>
      <c r="AB248" s="106"/>
      <c r="AC248" s="66"/>
      <c r="AD248" s="66"/>
      <c r="AE248" s="81"/>
      <c r="AF248" s="81"/>
      <c r="AG248" s="81"/>
      <c r="AH248" s="81"/>
      <c r="AI248" s="81"/>
      <c r="AJ248" s="81"/>
      <c r="AK248" s="81"/>
    </row>
    <row r="249">
      <c r="A249" s="81"/>
      <c r="B249" s="66"/>
      <c r="C249" s="66"/>
      <c r="D249" s="66"/>
      <c r="E249" s="106"/>
      <c r="F249" s="137"/>
      <c r="G249" s="66"/>
      <c r="H249" s="147"/>
      <c r="I249" s="137"/>
      <c r="J249" s="137"/>
      <c r="K249" s="137"/>
      <c r="L249" s="66"/>
      <c r="M249" s="107"/>
      <c r="N249" s="66"/>
      <c r="O249" s="66"/>
      <c r="P249" s="66"/>
      <c r="Q249" s="172"/>
      <c r="R249" s="104"/>
      <c r="S249" s="104"/>
      <c r="T249" s="104"/>
      <c r="U249" s="104"/>
      <c r="V249" s="106"/>
      <c r="W249" s="106"/>
      <c r="X249" s="66"/>
      <c r="Y249" s="106"/>
      <c r="Z249" s="66"/>
      <c r="AA249" s="66"/>
      <c r="AB249" s="106"/>
      <c r="AC249" s="66"/>
      <c r="AD249" s="66"/>
      <c r="AE249" s="81"/>
      <c r="AF249" s="81"/>
      <c r="AG249" s="81"/>
      <c r="AH249" s="81"/>
      <c r="AI249" s="81"/>
      <c r="AJ249" s="81"/>
      <c r="AK249" s="81"/>
    </row>
    <row r="250">
      <c r="A250" s="81"/>
      <c r="B250" s="66"/>
      <c r="C250" s="66"/>
      <c r="D250" s="66"/>
      <c r="E250" s="106"/>
      <c r="F250" s="137"/>
      <c r="G250" s="66"/>
      <c r="H250" s="147"/>
      <c r="I250" s="137"/>
      <c r="J250" s="137"/>
      <c r="K250" s="137"/>
      <c r="L250" s="66"/>
      <c r="M250" s="107"/>
      <c r="N250" s="66"/>
      <c r="O250" s="66"/>
      <c r="P250" s="66"/>
      <c r="Q250" s="172"/>
      <c r="R250" s="104"/>
      <c r="S250" s="104"/>
      <c r="T250" s="104"/>
      <c r="U250" s="104"/>
      <c r="V250" s="106"/>
      <c r="W250" s="106"/>
      <c r="X250" s="66"/>
      <c r="Y250" s="106"/>
      <c r="Z250" s="66"/>
      <c r="AA250" s="66"/>
      <c r="AB250" s="106"/>
      <c r="AC250" s="66"/>
      <c r="AD250" s="66"/>
      <c r="AE250" s="81"/>
      <c r="AF250" s="81"/>
      <c r="AG250" s="81"/>
      <c r="AH250" s="81"/>
      <c r="AI250" s="81"/>
      <c r="AJ250" s="81"/>
      <c r="AK250" s="81"/>
    </row>
    <row r="251">
      <c r="A251" s="81"/>
      <c r="B251" s="66"/>
      <c r="C251" s="66"/>
      <c r="D251" s="66"/>
      <c r="E251" s="106"/>
      <c r="F251" s="137"/>
      <c r="G251" s="66"/>
      <c r="H251" s="147"/>
      <c r="I251" s="137"/>
      <c r="J251" s="137"/>
      <c r="K251" s="137"/>
      <c r="L251" s="66"/>
      <c r="M251" s="107"/>
      <c r="N251" s="66"/>
      <c r="O251" s="66"/>
      <c r="P251" s="66"/>
      <c r="Q251" s="172"/>
      <c r="R251" s="104"/>
      <c r="S251" s="104"/>
      <c r="T251" s="104"/>
      <c r="U251" s="104"/>
      <c r="V251" s="106"/>
      <c r="W251" s="106"/>
      <c r="X251" s="66"/>
      <c r="Y251" s="106"/>
      <c r="Z251" s="66"/>
      <c r="AA251" s="66"/>
      <c r="AB251" s="106"/>
      <c r="AC251" s="66"/>
      <c r="AD251" s="66"/>
      <c r="AE251" s="81"/>
      <c r="AF251" s="81"/>
      <c r="AG251" s="81"/>
      <c r="AH251" s="81"/>
      <c r="AI251" s="81"/>
      <c r="AJ251" s="81"/>
      <c r="AK251" s="81"/>
    </row>
    <row r="252">
      <c r="A252" s="81"/>
      <c r="B252" s="66"/>
      <c r="C252" s="66"/>
      <c r="D252" s="66"/>
      <c r="E252" s="106"/>
      <c r="F252" s="137"/>
      <c r="G252" s="66"/>
      <c r="H252" s="147"/>
      <c r="I252" s="137"/>
      <c r="J252" s="137"/>
      <c r="K252" s="137"/>
      <c r="L252" s="66"/>
      <c r="M252" s="107"/>
      <c r="N252" s="66"/>
      <c r="O252" s="66"/>
      <c r="P252" s="66"/>
      <c r="Q252" s="172"/>
      <c r="R252" s="104"/>
      <c r="S252" s="104"/>
      <c r="T252" s="104"/>
      <c r="U252" s="104"/>
      <c r="V252" s="106"/>
      <c r="W252" s="106"/>
      <c r="X252" s="66"/>
      <c r="Y252" s="106"/>
      <c r="Z252" s="66"/>
      <c r="AA252" s="66"/>
      <c r="AB252" s="106"/>
      <c r="AC252" s="66"/>
      <c r="AD252" s="66"/>
      <c r="AE252" s="81"/>
      <c r="AF252" s="81"/>
      <c r="AG252" s="81"/>
      <c r="AH252" s="81"/>
      <c r="AI252" s="81"/>
      <c r="AJ252" s="81"/>
      <c r="AK252" s="81"/>
    </row>
    <row r="253">
      <c r="A253" s="81"/>
      <c r="B253" s="66"/>
      <c r="C253" s="66"/>
      <c r="D253" s="66"/>
      <c r="E253" s="106"/>
      <c r="F253" s="137"/>
      <c r="G253" s="66"/>
      <c r="H253" s="147"/>
      <c r="I253" s="137"/>
      <c r="J253" s="137"/>
      <c r="K253" s="137"/>
      <c r="L253" s="66"/>
      <c r="M253" s="107"/>
      <c r="N253" s="66"/>
      <c r="O253" s="66"/>
      <c r="P253" s="66"/>
      <c r="Q253" s="172"/>
      <c r="R253" s="104"/>
      <c r="S253" s="104"/>
      <c r="T253" s="104"/>
      <c r="U253" s="104"/>
      <c r="V253" s="106"/>
      <c r="W253" s="106"/>
      <c r="X253" s="66"/>
      <c r="Y253" s="106"/>
      <c r="Z253" s="66"/>
      <c r="AA253" s="66"/>
      <c r="AB253" s="106"/>
      <c r="AC253" s="66"/>
      <c r="AD253" s="66"/>
      <c r="AE253" s="81"/>
      <c r="AF253" s="81"/>
      <c r="AG253" s="81"/>
      <c r="AH253" s="81"/>
      <c r="AI253" s="81"/>
      <c r="AJ253" s="81"/>
      <c r="AK253" s="81"/>
    </row>
    <row r="254">
      <c r="A254" s="81"/>
      <c r="B254" s="66"/>
      <c r="C254" s="66"/>
      <c r="D254" s="66"/>
      <c r="E254" s="106"/>
      <c r="F254" s="137"/>
      <c r="G254" s="66"/>
      <c r="H254" s="147"/>
      <c r="I254" s="137"/>
      <c r="J254" s="137"/>
      <c r="K254" s="137"/>
      <c r="L254" s="66"/>
      <c r="M254" s="107"/>
      <c r="N254" s="66"/>
      <c r="O254" s="66"/>
      <c r="P254" s="66"/>
      <c r="Q254" s="172"/>
      <c r="R254" s="104"/>
      <c r="S254" s="104"/>
      <c r="T254" s="104"/>
      <c r="U254" s="104"/>
      <c r="V254" s="106"/>
      <c r="W254" s="106"/>
      <c r="X254" s="66"/>
      <c r="Y254" s="106"/>
      <c r="Z254" s="66"/>
      <c r="AA254" s="66"/>
      <c r="AB254" s="106"/>
      <c r="AC254" s="66"/>
      <c r="AD254" s="66"/>
      <c r="AE254" s="81"/>
      <c r="AF254" s="81"/>
      <c r="AG254" s="81"/>
      <c r="AH254" s="81"/>
      <c r="AI254" s="81"/>
      <c r="AJ254" s="81"/>
      <c r="AK254" s="81"/>
    </row>
    <row r="255">
      <c r="A255" s="81"/>
      <c r="B255" s="66"/>
      <c r="C255" s="66"/>
      <c r="D255" s="66"/>
      <c r="E255" s="106"/>
      <c r="F255" s="137"/>
      <c r="G255" s="66"/>
      <c r="H255" s="147"/>
      <c r="I255" s="137"/>
      <c r="J255" s="137"/>
      <c r="K255" s="137"/>
      <c r="L255" s="66"/>
      <c r="M255" s="107"/>
      <c r="N255" s="66"/>
      <c r="O255" s="66"/>
      <c r="P255" s="66"/>
      <c r="Q255" s="172"/>
      <c r="R255" s="104"/>
      <c r="S255" s="104"/>
      <c r="T255" s="104"/>
      <c r="U255" s="104"/>
      <c r="V255" s="106"/>
      <c r="W255" s="106"/>
      <c r="X255" s="66"/>
      <c r="Y255" s="106"/>
      <c r="Z255" s="66"/>
      <c r="AA255" s="66"/>
      <c r="AB255" s="106"/>
      <c r="AC255" s="66"/>
      <c r="AD255" s="66"/>
      <c r="AE255" s="81"/>
      <c r="AF255" s="81"/>
      <c r="AG255" s="81"/>
      <c r="AH255" s="81"/>
      <c r="AI255" s="81"/>
      <c r="AJ255" s="81"/>
      <c r="AK255" s="81"/>
    </row>
    <row r="256">
      <c r="A256" s="81"/>
      <c r="B256" s="66"/>
      <c r="C256" s="66"/>
      <c r="D256" s="66"/>
      <c r="E256" s="106"/>
      <c r="F256" s="137"/>
      <c r="G256" s="66"/>
      <c r="H256" s="147"/>
      <c r="I256" s="137"/>
      <c r="J256" s="137"/>
      <c r="K256" s="137"/>
      <c r="L256" s="66"/>
      <c r="M256" s="107"/>
      <c r="N256" s="66"/>
      <c r="O256" s="66"/>
      <c r="P256" s="66"/>
      <c r="Q256" s="172"/>
      <c r="R256" s="104"/>
      <c r="S256" s="104"/>
      <c r="T256" s="104"/>
      <c r="U256" s="104"/>
      <c r="V256" s="106"/>
      <c r="W256" s="106"/>
      <c r="X256" s="66"/>
      <c r="Y256" s="106"/>
      <c r="Z256" s="66"/>
      <c r="AA256" s="66"/>
      <c r="AB256" s="106"/>
      <c r="AC256" s="66"/>
      <c r="AD256" s="66"/>
      <c r="AE256" s="81"/>
      <c r="AF256" s="81"/>
      <c r="AG256" s="81"/>
      <c r="AH256" s="81"/>
      <c r="AI256" s="81"/>
      <c r="AJ256" s="81"/>
      <c r="AK256" s="81"/>
    </row>
    <row r="257">
      <c r="A257" s="81"/>
      <c r="B257" s="66"/>
      <c r="C257" s="66"/>
      <c r="D257" s="66"/>
      <c r="E257" s="106"/>
      <c r="F257" s="137"/>
      <c r="G257" s="66"/>
      <c r="H257" s="147"/>
      <c r="I257" s="137"/>
      <c r="J257" s="137"/>
      <c r="K257" s="137"/>
      <c r="L257" s="66"/>
      <c r="M257" s="107"/>
      <c r="N257" s="66"/>
      <c r="O257" s="66"/>
      <c r="P257" s="66"/>
      <c r="Q257" s="172"/>
      <c r="R257" s="104"/>
      <c r="S257" s="104"/>
      <c r="T257" s="104"/>
      <c r="U257" s="104"/>
      <c r="V257" s="106"/>
      <c r="W257" s="106"/>
      <c r="X257" s="66"/>
      <c r="Y257" s="106"/>
      <c r="Z257" s="66"/>
      <c r="AA257" s="66"/>
      <c r="AB257" s="106"/>
      <c r="AC257" s="66"/>
      <c r="AD257" s="66"/>
      <c r="AE257" s="81"/>
      <c r="AF257" s="81"/>
      <c r="AG257" s="81"/>
      <c r="AH257" s="81"/>
      <c r="AI257" s="81"/>
      <c r="AJ257" s="81"/>
      <c r="AK257" s="81"/>
    </row>
    <row r="258">
      <c r="A258" s="81"/>
      <c r="B258" s="66"/>
      <c r="C258" s="66"/>
      <c r="D258" s="66"/>
      <c r="E258" s="106"/>
      <c r="F258" s="137"/>
      <c r="G258" s="66"/>
      <c r="H258" s="147"/>
      <c r="I258" s="137"/>
      <c r="J258" s="137"/>
      <c r="K258" s="137"/>
      <c r="L258" s="66"/>
      <c r="M258" s="107"/>
      <c r="N258" s="66"/>
      <c r="O258" s="66"/>
      <c r="P258" s="66"/>
      <c r="Q258" s="172"/>
      <c r="R258" s="104"/>
      <c r="S258" s="104"/>
      <c r="T258" s="104"/>
      <c r="U258" s="104"/>
      <c r="V258" s="106"/>
      <c r="W258" s="106"/>
      <c r="X258" s="66"/>
      <c r="Y258" s="106"/>
      <c r="Z258" s="66"/>
      <c r="AA258" s="66"/>
      <c r="AB258" s="106"/>
      <c r="AC258" s="66"/>
      <c r="AD258" s="66"/>
      <c r="AE258" s="81"/>
      <c r="AF258" s="81"/>
      <c r="AG258" s="81"/>
      <c r="AH258" s="81"/>
      <c r="AI258" s="81"/>
      <c r="AJ258" s="81"/>
      <c r="AK258" s="81"/>
    </row>
    <row r="259">
      <c r="A259" s="81"/>
      <c r="B259" s="66"/>
      <c r="C259" s="66"/>
      <c r="D259" s="66"/>
      <c r="E259" s="106"/>
      <c r="F259" s="137"/>
      <c r="G259" s="66"/>
      <c r="H259" s="147"/>
      <c r="I259" s="137"/>
      <c r="J259" s="137"/>
      <c r="K259" s="137"/>
      <c r="L259" s="66"/>
      <c r="M259" s="107"/>
      <c r="N259" s="66"/>
      <c r="O259" s="66"/>
      <c r="P259" s="66"/>
      <c r="Q259" s="172"/>
      <c r="R259" s="104"/>
      <c r="S259" s="104"/>
      <c r="T259" s="104"/>
      <c r="U259" s="104"/>
      <c r="V259" s="106"/>
      <c r="W259" s="106"/>
      <c r="X259" s="66"/>
      <c r="Y259" s="106"/>
      <c r="Z259" s="66"/>
      <c r="AA259" s="66"/>
      <c r="AB259" s="106"/>
      <c r="AC259" s="66"/>
      <c r="AD259" s="66"/>
      <c r="AE259" s="81"/>
      <c r="AF259" s="81"/>
      <c r="AG259" s="81"/>
      <c r="AH259" s="81"/>
      <c r="AI259" s="81"/>
      <c r="AJ259" s="81"/>
      <c r="AK259" s="81"/>
    </row>
    <row r="260">
      <c r="A260" s="81"/>
      <c r="B260" s="66"/>
      <c r="C260" s="66"/>
      <c r="D260" s="66"/>
      <c r="E260" s="106"/>
      <c r="F260" s="137"/>
      <c r="G260" s="66"/>
      <c r="H260" s="147"/>
      <c r="I260" s="137"/>
      <c r="J260" s="137"/>
      <c r="K260" s="137"/>
      <c r="L260" s="66"/>
      <c r="M260" s="107"/>
      <c r="N260" s="66"/>
      <c r="O260" s="66"/>
      <c r="P260" s="66"/>
      <c r="Q260" s="172"/>
      <c r="R260" s="104"/>
      <c r="S260" s="104"/>
      <c r="T260" s="104"/>
      <c r="U260" s="104"/>
      <c r="V260" s="106"/>
      <c r="W260" s="106"/>
      <c r="X260" s="66"/>
      <c r="Y260" s="106"/>
      <c r="Z260" s="66"/>
      <c r="AA260" s="66"/>
      <c r="AB260" s="106"/>
      <c r="AC260" s="66"/>
      <c r="AD260" s="66"/>
      <c r="AE260" s="81"/>
      <c r="AF260" s="81"/>
      <c r="AG260" s="81"/>
      <c r="AH260" s="81"/>
      <c r="AI260" s="81"/>
      <c r="AJ260" s="81"/>
      <c r="AK260" s="81"/>
    </row>
    <row r="261">
      <c r="A261" s="81"/>
      <c r="B261" s="66"/>
      <c r="C261" s="66"/>
      <c r="D261" s="66"/>
      <c r="E261" s="106"/>
      <c r="F261" s="137"/>
      <c r="G261" s="66"/>
      <c r="H261" s="147"/>
      <c r="I261" s="137"/>
      <c r="J261" s="137"/>
      <c r="K261" s="137"/>
      <c r="L261" s="66"/>
      <c r="M261" s="107"/>
      <c r="N261" s="66"/>
      <c r="O261" s="66"/>
      <c r="P261" s="66"/>
      <c r="Q261" s="172"/>
      <c r="R261" s="104"/>
      <c r="S261" s="104"/>
      <c r="T261" s="104"/>
      <c r="U261" s="104"/>
      <c r="V261" s="106"/>
      <c r="W261" s="106"/>
      <c r="X261" s="66"/>
      <c r="Y261" s="106"/>
      <c r="Z261" s="66"/>
      <c r="AA261" s="66"/>
      <c r="AB261" s="106"/>
      <c r="AC261" s="66"/>
      <c r="AD261" s="66"/>
      <c r="AE261" s="81"/>
      <c r="AF261" s="81"/>
      <c r="AG261" s="81"/>
      <c r="AH261" s="81"/>
      <c r="AI261" s="81"/>
      <c r="AJ261" s="81"/>
      <c r="AK261" s="81"/>
    </row>
    <row r="262">
      <c r="A262" s="81"/>
      <c r="B262" s="66"/>
      <c r="C262" s="66"/>
      <c r="D262" s="66"/>
      <c r="E262" s="106"/>
      <c r="F262" s="137"/>
      <c r="G262" s="66"/>
      <c r="H262" s="147"/>
      <c r="I262" s="137"/>
      <c r="J262" s="137"/>
      <c r="K262" s="137"/>
      <c r="L262" s="66"/>
      <c r="M262" s="107"/>
      <c r="N262" s="66"/>
      <c r="O262" s="66"/>
      <c r="P262" s="66"/>
      <c r="Q262" s="172"/>
      <c r="R262" s="104"/>
      <c r="S262" s="104"/>
      <c r="T262" s="104"/>
      <c r="U262" s="104"/>
      <c r="V262" s="106"/>
      <c r="W262" s="106"/>
      <c r="X262" s="66"/>
      <c r="Y262" s="106"/>
      <c r="Z262" s="66"/>
      <c r="AA262" s="66"/>
      <c r="AB262" s="106"/>
      <c r="AC262" s="66"/>
      <c r="AD262" s="66"/>
      <c r="AE262" s="81"/>
      <c r="AF262" s="81"/>
      <c r="AG262" s="81"/>
      <c r="AH262" s="81"/>
      <c r="AI262" s="81"/>
      <c r="AJ262" s="81"/>
      <c r="AK262" s="81"/>
    </row>
    <row r="263">
      <c r="A263" s="81"/>
      <c r="B263" s="66"/>
      <c r="C263" s="66"/>
      <c r="D263" s="66"/>
      <c r="E263" s="106"/>
      <c r="F263" s="137"/>
      <c r="G263" s="66"/>
      <c r="H263" s="147"/>
      <c r="I263" s="137"/>
      <c r="J263" s="137"/>
      <c r="K263" s="137"/>
      <c r="L263" s="66"/>
      <c r="M263" s="107"/>
      <c r="N263" s="66"/>
      <c r="O263" s="66"/>
      <c r="P263" s="66"/>
      <c r="Q263" s="172"/>
      <c r="R263" s="104"/>
      <c r="S263" s="104"/>
      <c r="T263" s="104"/>
      <c r="U263" s="104"/>
      <c r="V263" s="106"/>
      <c r="W263" s="106"/>
      <c r="X263" s="66"/>
      <c r="Y263" s="106"/>
      <c r="Z263" s="66"/>
      <c r="AA263" s="66"/>
      <c r="AB263" s="106"/>
      <c r="AC263" s="66"/>
      <c r="AD263" s="66"/>
      <c r="AE263" s="81"/>
      <c r="AF263" s="81"/>
      <c r="AG263" s="81"/>
      <c r="AH263" s="81"/>
      <c r="AI263" s="81"/>
      <c r="AJ263" s="81"/>
      <c r="AK263" s="81"/>
    </row>
    <row r="264">
      <c r="A264" s="81"/>
      <c r="B264" s="66"/>
      <c r="C264" s="66"/>
      <c r="D264" s="66"/>
      <c r="E264" s="106"/>
      <c r="F264" s="137"/>
      <c r="G264" s="66"/>
      <c r="H264" s="147"/>
      <c r="I264" s="137"/>
      <c r="J264" s="137"/>
      <c r="K264" s="137"/>
      <c r="L264" s="66"/>
      <c r="M264" s="107"/>
      <c r="N264" s="66"/>
      <c r="O264" s="66"/>
      <c r="P264" s="66"/>
      <c r="Q264" s="172"/>
      <c r="R264" s="104"/>
      <c r="S264" s="104"/>
      <c r="T264" s="104"/>
      <c r="U264" s="104"/>
      <c r="V264" s="106"/>
      <c r="W264" s="106"/>
      <c r="X264" s="66"/>
      <c r="Y264" s="106"/>
      <c r="Z264" s="66"/>
      <c r="AA264" s="66"/>
      <c r="AB264" s="106"/>
      <c r="AC264" s="66"/>
      <c r="AD264" s="66"/>
      <c r="AE264" s="81"/>
      <c r="AF264" s="81"/>
      <c r="AG264" s="81"/>
      <c r="AH264" s="81"/>
      <c r="AI264" s="81"/>
      <c r="AJ264" s="81"/>
      <c r="AK264" s="81"/>
    </row>
    <row r="265">
      <c r="A265" s="81"/>
      <c r="B265" s="66"/>
      <c r="C265" s="66"/>
      <c r="D265" s="66"/>
      <c r="E265" s="106"/>
      <c r="F265" s="137"/>
      <c r="G265" s="66"/>
      <c r="H265" s="147"/>
      <c r="I265" s="137"/>
      <c r="J265" s="137"/>
      <c r="K265" s="137"/>
      <c r="L265" s="66"/>
      <c r="M265" s="107"/>
      <c r="N265" s="66"/>
      <c r="O265" s="66"/>
      <c r="P265" s="66"/>
      <c r="Q265" s="172"/>
      <c r="R265" s="104"/>
      <c r="S265" s="104"/>
      <c r="T265" s="104"/>
      <c r="U265" s="104"/>
      <c r="V265" s="106"/>
      <c r="W265" s="106"/>
      <c r="X265" s="66"/>
      <c r="Y265" s="106"/>
      <c r="Z265" s="66"/>
      <c r="AA265" s="66"/>
      <c r="AB265" s="106"/>
      <c r="AC265" s="66"/>
      <c r="AD265" s="66"/>
      <c r="AE265" s="81"/>
      <c r="AF265" s="81"/>
      <c r="AG265" s="81"/>
      <c r="AH265" s="81"/>
      <c r="AI265" s="81"/>
      <c r="AJ265" s="81"/>
      <c r="AK265" s="81"/>
    </row>
    <row r="266">
      <c r="A266" s="81"/>
      <c r="B266" s="66"/>
      <c r="C266" s="66"/>
      <c r="D266" s="66"/>
      <c r="E266" s="106"/>
      <c r="F266" s="137"/>
      <c r="G266" s="66"/>
      <c r="H266" s="147"/>
      <c r="I266" s="137"/>
      <c r="J266" s="137"/>
      <c r="K266" s="137"/>
      <c r="L266" s="66"/>
      <c r="M266" s="107"/>
      <c r="N266" s="66"/>
      <c r="O266" s="66"/>
      <c r="P266" s="66"/>
      <c r="Q266" s="172"/>
      <c r="R266" s="104"/>
      <c r="S266" s="104"/>
      <c r="T266" s="104"/>
      <c r="U266" s="104"/>
      <c r="V266" s="106"/>
      <c r="W266" s="106"/>
      <c r="X266" s="66"/>
      <c r="Y266" s="106"/>
      <c r="Z266" s="66"/>
      <c r="AA266" s="66"/>
      <c r="AB266" s="106"/>
      <c r="AC266" s="66"/>
      <c r="AD266" s="66"/>
      <c r="AE266" s="81"/>
      <c r="AF266" s="81"/>
      <c r="AG266" s="81"/>
      <c r="AH266" s="81"/>
      <c r="AI266" s="81"/>
      <c r="AJ266" s="81"/>
      <c r="AK266" s="81"/>
    </row>
    <row r="267">
      <c r="A267" s="81"/>
      <c r="B267" s="66"/>
      <c r="C267" s="66"/>
      <c r="D267" s="66"/>
      <c r="E267" s="106"/>
      <c r="F267" s="137"/>
      <c r="G267" s="66"/>
      <c r="H267" s="147"/>
      <c r="I267" s="137"/>
      <c r="J267" s="137"/>
      <c r="K267" s="137"/>
      <c r="L267" s="66"/>
      <c r="M267" s="107"/>
      <c r="N267" s="66"/>
      <c r="O267" s="66"/>
      <c r="P267" s="66"/>
      <c r="Q267" s="172"/>
      <c r="R267" s="104"/>
      <c r="S267" s="104"/>
      <c r="T267" s="104"/>
      <c r="U267" s="104"/>
      <c r="V267" s="106"/>
      <c r="W267" s="106"/>
      <c r="X267" s="66"/>
      <c r="Y267" s="106"/>
      <c r="Z267" s="66"/>
      <c r="AA267" s="66"/>
      <c r="AB267" s="106"/>
      <c r="AC267" s="66"/>
      <c r="AD267" s="66"/>
      <c r="AE267" s="81"/>
      <c r="AF267" s="81"/>
      <c r="AG267" s="81"/>
      <c r="AH267" s="81"/>
      <c r="AI267" s="81"/>
      <c r="AJ267" s="81"/>
      <c r="AK267" s="81"/>
    </row>
    <row r="268">
      <c r="A268" s="81"/>
      <c r="B268" s="66"/>
      <c r="C268" s="66"/>
      <c r="D268" s="66"/>
      <c r="E268" s="106"/>
      <c r="F268" s="137"/>
      <c r="G268" s="66"/>
      <c r="H268" s="147"/>
      <c r="I268" s="137"/>
      <c r="J268" s="137"/>
      <c r="K268" s="137"/>
      <c r="L268" s="66"/>
      <c r="M268" s="107"/>
      <c r="N268" s="66"/>
      <c r="O268" s="66"/>
      <c r="P268" s="66"/>
      <c r="Q268" s="172"/>
      <c r="R268" s="104"/>
      <c r="S268" s="104"/>
      <c r="T268" s="104"/>
      <c r="U268" s="104"/>
      <c r="V268" s="106"/>
      <c r="W268" s="106"/>
      <c r="X268" s="66"/>
      <c r="Y268" s="106"/>
      <c r="Z268" s="66"/>
      <c r="AA268" s="66"/>
      <c r="AB268" s="106"/>
      <c r="AC268" s="66"/>
      <c r="AD268" s="66"/>
      <c r="AE268" s="81"/>
      <c r="AF268" s="81"/>
      <c r="AG268" s="81"/>
      <c r="AH268" s="81"/>
      <c r="AI268" s="81"/>
      <c r="AJ268" s="81"/>
      <c r="AK268" s="81"/>
    </row>
    <row r="269">
      <c r="A269" s="81"/>
      <c r="B269" s="66"/>
      <c r="C269" s="66"/>
      <c r="D269" s="66"/>
      <c r="E269" s="106"/>
      <c r="F269" s="137"/>
      <c r="G269" s="66"/>
      <c r="H269" s="147"/>
      <c r="I269" s="137"/>
      <c r="J269" s="137"/>
      <c r="K269" s="137"/>
      <c r="L269" s="66"/>
      <c r="M269" s="107"/>
      <c r="N269" s="66"/>
      <c r="O269" s="66"/>
      <c r="P269" s="66"/>
      <c r="Q269" s="172"/>
      <c r="R269" s="104"/>
      <c r="S269" s="104"/>
      <c r="T269" s="104"/>
      <c r="U269" s="104"/>
      <c r="V269" s="106"/>
      <c r="W269" s="106"/>
      <c r="X269" s="66"/>
      <c r="Y269" s="106"/>
      <c r="Z269" s="66"/>
      <c r="AA269" s="66"/>
      <c r="AB269" s="106"/>
      <c r="AC269" s="66"/>
      <c r="AD269" s="66"/>
      <c r="AE269" s="81"/>
      <c r="AF269" s="81"/>
      <c r="AG269" s="81"/>
      <c r="AH269" s="81"/>
      <c r="AI269" s="81"/>
      <c r="AJ269" s="81"/>
      <c r="AK269" s="81"/>
    </row>
    <row r="270">
      <c r="A270" s="81"/>
      <c r="B270" s="66"/>
      <c r="C270" s="66"/>
      <c r="D270" s="66"/>
      <c r="E270" s="106"/>
      <c r="F270" s="137"/>
      <c r="G270" s="66"/>
      <c r="H270" s="147"/>
      <c r="I270" s="137"/>
      <c r="J270" s="137"/>
      <c r="K270" s="137"/>
      <c r="L270" s="66"/>
      <c r="M270" s="107"/>
      <c r="N270" s="66"/>
      <c r="O270" s="66"/>
      <c r="P270" s="66"/>
      <c r="Q270" s="172"/>
      <c r="R270" s="104"/>
      <c r="S270" s="104"/>
      <c r="T270" s="104"/>
      <c r="U270" s="104"/>
      <c r="V270" s="106"/>
      <c r="W270" s="106"/>
      <c r="X270" s="66"/>
      <c r="Y270" s="106"/>
      <c r="Z270" s="66"/>
      <c r="AA270" s="66"/>
      <c r="AB270" s="106"/>
      <c r="AC270" s="66"/>
      <c r="AD270" s="66"/>
      <c r="AE270" s="81"/>
      <c r="AF270" s="81"/>
      <c r="AG270" s="81"/>
      <c r="AH270" s="81"/>
      <c r="AI270" s="81"/>
      <c r="AJ270" s="81"/>
      <c r="AK270" s="81"/>
    </row>
    <row r="271">
      <c r="A271" s="81"/>
      <c r="B271" s="66"/>
      <c r="C271" s="66"/>
      <c r="D271" s="66"/>
      <c r="E271" s="106"/>
      <c r="F271" s="137"/>
      <c r="G271" s="66"/>
      <c r="H271" s="147"/>
      <c r="I271" s="137"/>
      <c r="J271" s="137"/>
      <c r="K271" s="137"/>
      <c r="L271" s="66"/>
      <c r="M271" s="107"/>
      <c r="N271" s="66"/>
      <c r="O271" s="66"/>
      <c r="P271" s="66"/>
      <c r="Q271" s="172"/>
      <c r="R271" s="104"/>
      <c r="S271" s="104"/>
      <c r="T271" s="104"/>
      <c r="U271" s="104"/>
      <c r="V271" s="106"/>
      <c r="W271" s="106"/>
      <c r="X271" s="66"/>
      <c r="Y271" s="106"/>
      <c r="Z271" s="66"/>
      <c r="AA271" s="66"/>
      <c r="AB271" s="106"/>
      <c r="AC271" s="66"/>
      <c r="AD271" s="66"/>
      <c r="AE271" s="81"/>
      <c r="AF271" s="81"/>
      <c r="AG271" s="81"/>
      <c r="AH271" s="81"/>
      <c r="AI271" s="81"/>
      <c r="AJ271" s="81"/>
      <c r="AK271" s="81"/>
    </row>
    <row r="272">
      <c r="A272" s="81"/>
      <c r="B272" s="66"/>
      <c r="C272" s="66"/>
      <c r="D272" s="66"/>
      <c r="E272" s="106"/>
      <c r="F272" s="137"/>
      <c r="G272" s="66"/>
      <c r="H272" s="147"/>
      <c r="I272" s="137"/>
      <c r="J272" s="137"/>
      <c r="K272" s="137"/>
      <c r="L272" s="66"/>
      <c r="M272" s="107"/>
      <c r="N272" s="66"/>
      <c r="O272" s="66"/>
      <c r="P272" s="66"/>
      <c r="Q272" s="172"/>
      <c r="R272" s="104"/>
      <c r="S272" s="104"/>
      <c r="T272" s="104"/>
      <c r="U272" s="104"/>
      <c r="V272" s="106"/>
      <c r="W272" s="106"/>
      <c r="X272" s="66"/>
      <c r="Y272" s="106"/>
      <c r="Z272" s="66"/>
      <c r="AA272" s="66"/>
      <c r="AB272" s="106"/>
      <c r="AC272" s="66"/>
      <c r="AD272" s="66"/>
      <c r="AE272" s="81"/>
      <c r="AF272" s="81"/>
      <c r="AG272" s="81"/>
      <c r="AH272" s="81"/>
      <c r="AI272" s="81"/>
      <c r="AJ272" s="81"/>
      <c r="AK272" s="81"/>
    </row>
    <row r="273">
      <c r="A273" s="81"/>
      <c r="B273" s="66"/>
      <c r="C273" s="66"/>
      <c r="D273" s="66"/>
      <c r="E273" s="106"/>
      <c r="F273" s="137"/>
      <c r="G273" s="66"/>
      <c r="H273" s="147"/>
      <c r="I273" s="137"/>
      <c r="J273" s="137"/>
      <c r="K273" s="137"/>
      <c r="L273" s="66"/>
      <c r="M273" s="107"/>
      <c r="N273" s="66"/>
      <c r="O273" s="66"/>
      <c r="P273" s="66"/>
      <c r="Q273" s="172"/>
      <c r="R273" s="104"/>
      <c r="S273" s="104"/>
      <c r="T273" s="104"/>
      <c r="U273" s="104"/>
      <c r="V273" s="106"/>
      <c r="W273" s="106"/>
      <c r="X273" s="66"/>
      <c r="Y273" s="106"/>
      <c r="Z273" s="66"/>
      <c r="AA273" s="66"/>
      <c r="AB273" s="106"/>
      <c r="AC273" s="66"/>
      <c r="AD273" s="66"/>
      <c r="AE273" s="81"/>
      <c r="AF273" s="81"/>
      <c r="AG273" s="81"/>
      <c r="AH273" s="81"/>
      <c r="AI273" s="81"/>
      <c r="AJ273" s="81"/>
      <c r="AK273" s="81"/>
    </row>
    <row r="274">
      <c r="A274" s="81"/>
      <c r="B274" s="66"/>
      <c r="C274" s="66"/>
      <c r="D274" s="66"/>
      <c r="E274" s="106"/>
      <c r="F274" s="137"/>
      <c r="G274" s="66"/>
      <c r="H274" s="147"/>
      <c r="I274" s="137"/>
      <c r="J274" s="137"/>
      <c r="K274" s="137"/>
      <c r="L274" s="66"/>
      <c r="M274" s="107"/>
      <c r="N274" s="66"/>
      <c r="O274" s="66"/>
      <c r="P274" s="66"/>
      <c r="Q274" s="172"/>
      <c r="R274" s="104"/>
      <c r="S274" s="104"/>
      <c r="T274" s="104"/>
      <c r="U274" s="104"/>
      <c r="V274" s="106"/>
      <c r="W274" s="106"/>
      <c r="X274" s="66"/>
      <c r="Y274" s="106"/>
      <c r="Z274" s="66"/>
      <c r="AA274" s="66"/>
      <c r="AB274" s="106"/>
      <c r="AC274" s="66"/>
      <c r="AD274" s="66"/>
      <c r="AE274" s="81"/>
      <c r="AF274" s="81"/>
      <c r="AG274" s="81"/>
      <c r="AH274" s="81"/>
      <c r="AI274" s="81"/>
      <c r="AJ274" s="81"/>
      <c r="AK274" s="81"/>
    </row>
    <row r="275">
      <c r="A275" s="81"/>
      <c r="B275" s="66"/>
      <c r="C275" s="66"/>
      <c r="D275" s="66"/>
      <c r="E275" s="106"/>
      <c r="F275" s="137"/>
      <c r="G275" s="66"/>
      <c r="H275" s="147"/>
      <c r="I275" s="137"/>
      <c r="J275" s="137"/>
      <c r="K275" s="137"/>
      <c r="L275" s="66"/>
      <c r="M275" s="107"/>
      <c r="N275" s="66"/>
      <c r="O275" s="66"/>
      <c r="P275" s="66"/>
      <c r="Q275" s="172"/>
      <c r="R275" s="104"/>
      <c r="S275" s="104"/>
      <c r="T275" s="104"/>
      <c r="U275" s="104"/>
      <c r="V275" s="106"/>
      <c r="W275" s="106"/>
      <c r="X275" s="66"/>
      <c r="Y275" s="106"/>
      <c r="Z275" s="66"/>
      <c r="AA275" s="66"/>
      <c r="AB275" s="106"/>
      <c r="AC275" s="66"/>
      <c r="AD275" s="66"/>
      <c r="AE275" s="81"/>
      <c r="AF275" s="81"/>
      <c r="AG275" s="81"/>
      <c r="AH275" s="81"/>
      <c r="AI275" s="81"/>
      <c r="AJ275" s="81"/>
      <c r="AK275" s="81"/>
    </row>
    <row r="276">
      <c r="A276" s="81"/>
      <c r="B276" s="66"/>
      <c r="C276" s="66"/>
      <c r="D276" s="66"/>
      <c r="E276" s="106"/>
      <c r="F276" s="137"/>
      <c r="G276" s="66"/>
      <c r="H276" s="147"/>
      <c r="I276" s="137"/>
      <c r="J276" s="137"/>
      <c r="K276" s="137"/>
      <c r="L276" s="66"/>
      <c r="M276" s="107"/>
      <c r="N276" s="66"/>
      <c r="O276" s="66"/>
      <c r="P276" s="66"/>
      <c r="Q276" s="172"/>
      <c r="R276" s="104"/>
      <c r="S276" s="104"/>
      <c r="T276" s="104"/>
      <c r="U276" s="104"/>
      <c r="V276" s="106"/>
      <c r="W276" s="106"/>
      <c r="X276" s="66"/>
      <c r="Y276" s="106"/>
      <c r="Z276" s="66"/>
      <c r="AA276" s="66"/>
      <c r="AB276" s="106"/>
      <c r="AC276" s="66"/>
      <c r="AD276" s="66"/>
      <c r="AE276" s="81"/>
      <c r="AF276" s="81"/>
      <c r="AG276" s="81"/>
      <c r="AH276" s="81"/>
      <c r="AI276" s="81"/>
      <c r="AJ276" s="81"/>
      <c r="AK276" s="81"/>
    </row>
    <row r="277">
      <c r="A277" s="81"/>
      <c r="B277" s="66"/>
      <c r="C277" s="66"/>
      <c r="D277" s="66"/>
      <c r="E277" s="106"/>
      <c r="F277" s="137"/>
      <c r="G277" s="66"/>
      <c r="H277" s="147"/>
      <c r="I277" s="137"/>
      <c r="J277" s="137"/>
      <c r="K277" s="137"/>
      <c r="L277" s="66"/>
      <c r="M277" s="107"/>
      <c r="N277" s="66"/>
      <c r="O277" s="66"/>
      <c r="P277" s="66"/>
      <c r="Q277" s="172"/>
      <c r="R277" s="104"/>
      <c r="S277" s="104"/>
      <c r="T277" s="104"/>
      <c r="U277" s="104"/>
      <c r="V277" s="106"/>
      <c r="W277" s="106"/>
      <c r="X277" s="66"/>
      <c r="Y277" s="106"/>
      <c r="Z277" s="66"/>
      <c r="AA277" s="66"/>
      <c r="AB277" s="106"/>
      <c r="AC277" s="66"/>
      <c r="AD277" s="66"/>
      <c r="AE277" s="81"/>
      <c r="AF277" s="81"/>
      <c r="AG277" s="81"/>
      <c r="AH277" s="81"/>
      <c r="AI277" s="81"/>
      <c r="AJ277" s="81"/>
      <c r="AK277" s="81"/>
    </row>
    <row r="278">
      <c r="A278" s="81"/>
      <c r="B278" s="66"/>
      <c r="C278" s="66"/>
      <c r="D278" s="66"/>
      <c r="E278" s="106"/>
      <c r="F278" s="137"/>
      <c r="G278" s="66"/>
      <c r="H278" s="147"/>
      <c r="I278" s="137"/>
      <c r="J278" s="137"/>
      <c r="K278" s="137"/>
      <c r="L278" s="66"/>
      <c r="M278" s="107"/>
      <c r="N278" s="66"/>
      <c r="O278" s="66"/>
      <c r="P278" s="66"/>
      <c r="Q278" s="172"/>
      <c r="R278" s="104"/>
      <c r="S278" s="104"/>
      <c r="T278" s="104"/>
      <c r="U278" s="104"/>
      <c r="V278" s="106"/>
      <c r="W278" s="106"/>
      <c r="X278" s="66"/>
      <c r="Y278" s="106"/>
      <c r="Z278" s="66"/>
      <c r="AA278" s="66"/>
      <c r="AB278" s="106"/>
      <c r="AC278" s="66"/>
      <c r="AD278" s="66"/>
      <c r="AE278" s="81"/>
      <c r="AF278" s="81"/>
      <c r="AG278" s="81"/>
      <c r="AH278" s="81"/>
      <c r="AI278" s="81"/>
      <c r="AJ278" s="81"/>
      <c r="AK278" s="81"/>
    </row>
    <row r="279">
      <c r="A279" s="81"/>
      <c r="B279" s="66"/>
      <c r="C279" s="66"/>
      <c r="D279" s="66"/>
      <c r="E279" s="106"/>
      <c r="F279" s="137"/>
      <c r="G279" s="66"/>
      <c r="H279" s="147"/>
      <c r="I279" s="137"/>
      <c r="J279" s="137"/>
      <c r="K279" s="137"/>
      <c r="L279" s="66"/>
      <c r="M279" s="107"/>
      <c r="N279" s="66"/>
      <c r="O279" s="66"/>
      <c r="P279" s="66"/>
      <c r="Q279" s="172"/>
      <c r="R279" s="104"/>
      <c r="S279" s="104"/>
      <c r="T279" s="104"/>
      <c r="U279" s="104"/>
      <c r="V279" s="106"/>
      <c r="W279" s="106"/>
      <c r="X279" s="66"/>
      <c r="Y279" s="106"/>
      <c r="Z279" s="66"/>
      <c r="AA279" s="66"/>
      <c r="AB279" s="106"/>
      <c r="AC279" s="66"/>
      <c r="AD279" s="66"/>
      <c r="AE279" s="81"/>
      <c r="AF279" s="81"/>
      <c r="AG279" s="81"/>
      <c r="AH279" s="81"/>
      <c r="AI279" s="81"/>
      <c r="AJ279" s="81"/>
      <c r="AK279" s="81"/>
    </row>
    <row r="280">
      <c r="A280" s="81"/>
      <c r="B280" s="66"/>
      <c r="C280" s="66"/>
      <c r="D280" s="66"/>
      <c r="E280" s="106"/>
      <c r="F280" s="137"/>
      <c r="G280" s="66"/>
      <c r="H280" s="147"/>
      <c r="I280" s="137"/>
      <c r="J280" s="137"/>
      <c r="K280" s="137"/>
      <c r="L280" s="66"/>
      <c r="M280" s="107"/>
      <c r="N280" s="66"/>
      <c r="O280" s="66"/>
      <c r="P280" s="66"/>
      <c r="Q280" s="172"/>
      <c r="R280" s="104"/>
      <c r="S280" s="104"/>
      <c r="T280" s="104"/>
      <c r="U280" s="104"/>
      <c r="V280" s="106"/>
      <c r="W280" s="106"/>
      <c r="X280" s="66"/>
      <c r="Y280" s="106"/>
      <c r="Z280" s="66"/>
      <c r="AA280" s="66"/>
      <c r="AB280" s="106"/>
      <c r="AC280" s="66"/>
      <c r="AD280" s="66"/>
      <c r="AE280" s="81"/>
      <c r="AF280" s="81"/>
      <c r="AG280" s="81"/>
      <c r="AH280" s="81"/>
      <c r="AI280" s="81"/>
      <c r="AJ280" s="81"/>
      <c r="AK280" s="81"/>
    </row>
    <row r="281">
      <c r="A281" s="81"/>
      <c r="B281" s="66"/>
      <c r="C281" s="66"/>
      <c r="D281" s="66"/>
      <c r="E281" s="106"/>
      <c r="F281" s="137"/>
      <c r="G281" s="66"/>
      <c r="H281" s="147"/>
      <c r="I281" s="137"/>
      <c r="J281" s="137"/>
      <c r="K281" s="137"/>
      <c r="L281" s="66"/>
      <c r="M281" s="107"/>
      <c r="N281" s="66"/>
      <c r="O281" s="66"/>
      <c r="P281" s="66"/>
      <c r="Q281" s="172"/>
      <c r="R281" s="104"/>
      <c r="S281" s="104"/>
      <c r="T281" s="104"/>
      <c r="U281" s="104"/>
      <c r="V281" s="106"/>
      <c r="W281" s="106"/>
      <c r="X281" s="66"/>
      <c r="Y281" s="106"/>
      <c r="Z281" s="66"/>
      <c r="AA281" s="66"/>
      <c r="AB281" s="106"/>
      <c r="AC281" s="66"/>
      <c r="AD281" s="66"/>
      <c r="AE281" s="81"/>
      <c r="AF281" s="81"/>
      <c r="AG281" s="81"/>
      <c r="AH281" s="81"/>
      <c r="AI281" s="81"/>
      <c r="AJ281" s="81"/>
      <c r="AK281" s="81"/>
    </row>
    <row r="282">
      <c r="A282" s="81"/>
      <c r="B282" s="66"/>
      <c r="C282" s="66"/>
      <c r="D282" s="66"/>
      <c r="E282" s="106"/>
      <c r="F282" s="137"/>
      <c r="G282" s="66"/>
      <c r="H282" s="147"/>
      <c r="I282" s="137"/>
      <c r="J282" s="137"/>
      <c r="K282" s="137"/>
      <c r="L282" s="66"/>
      <c r="M282" s="107"/>
      <c r="N282" s="66"/>
      <c r="O282" s="66"/>
      <c r="P282" s="66"/>
      <c r="Q282" s="172"/>
      <c r="R282" s="104"/>
      <c r="S282" s="104"/>
      <c r="T282" s="104"/>
      <c r="U282" s="104"/>
      <c r="V282" s="106"/>
      <c r="W282" s="106"/>
      <c r="X282" s="66"/>
      <c r="Y282" s="106"/>
      <c r="Z282" s="66"/>
      <c r="AA282" s="66"/>
      <c r="AB282" s="106"/>
      <c r="AC282" s="66"/>
      <c r="AD282" s="66"/>
      <c r="AE282" s="81"/>
      <c r="AF282" s="81"/>
      <c r="AG282" s="81"/>
      <c r="AH282" s="81"/>
      <c r="AI282" s="81"/>
      <c r="AJ282" s="81"/>
      <c r="AK282" s="81"/>
    </row>
    <row r="283">
      <c r="A283" s="81"/>
      <c r="B283" s="66"/>
      <c r="C283" s="66"/>
      <c r="D283" s="66"/>
      <c r="E283" s="106"/>
      <c r="F283" s="137"/>
      <c r="G283" s="66"/>
      <c r="H283" s="147"/>
      <c r="I283" s="137"/>
      <c r="J283" s="137"/>
      <c r="K283" s="137"/>
      <c r="L283" s="66"/>
      <c r="M283" s="107"/>
      <c r="N283" s="66"/>
      <c r="O283" s="66"/>
      <c r="P283" s="66"/>
      <c r="Q283" s="172"/>
      <c r="R283" s="104"/>
      <c r="S283" s="104"/>
      <c r="T283" s="104"/>
      <c r="U283" s="104"/>
      <c r="V283" s="106"/>
      <c r="W283" s="106"/>
      <c r="X283" s="66"/>
      <c r="Y283" s="106"/>
      <c r="Z283" s="66"/>
      <c r="AA283" s="66"/>
      <c r="AB283" s="106"/>
      <c r="AC283" s="66"/>
      <c r="AD283" s="66"/>
      <c r="AE283" s="81"/>
      <c r="AF283" s="81"/>
      <c r="AG283" s="81"/>
      <c r="AH283" s="81"/>
      <c r="AI283" s="81"/>
      <c r="AJ283" s="81"/>
      <c r="AK283" s="81"/>
    </row>
    <row r="284">
      <c r="A284" s="81"/>
      <c r="B284" s="66"/>
      <c r="C284" s="66"/>
      <c r="D284" s="66"/>
      <c r="E284" s="106"/>
      <c r="F284" s="137"/>
      <c r="G284" s="66"/>
      <c r="H284" s="147"/>
      <c r="I284" s="137"/>
      <c r="J284" s="137"/>
      <c r="K284" s="137"/>
      <c r="L284" s="66"/>
      <c r="M284" s="107"/>
      <c r="N284" s="66"/>
      <c r="O284" s="66"/>
      <c r="P284" s="66"/>
      <c r="Q284" s="172"/>
      <c r="R284" s="104"/>
      <c r="S284" s="104"/>
      <c r="T284" s="104"/>
      <c r="U284" s="104"/>
      <c r="V284" s="106"/>
      <c r="W284" s="106"/>
      <c r="X284" s="66"/>
      <c r="Y284" s="106"/>
      <c r="Z284" s="66"/>
      <c r="AA284" s="66"/>
      <c r="AB284" s="106"/>
      <c r="AC284" s="66"/>
      <c r="AD284" s="66"/>
      <c r="AE284" s="81"/>
      <c r="AF284" s="81"/>
      <c r="AG284" s="81"/>
      <c r="AH284" s="81"/>
      <c r="AI284" s="81"/>
      <c r="AJ284" s="81"/>
      <c r="AK284" s="81"/>
    </row>
    <row r="285">
      <c r="A285" s="81"/>
      <c r="B285" s="66"/>
      <c r="C285" s="66"/>
      <c r="D285" s="66"/>
      <c r="E285" s="106"/>
      <c r="F285" s="137"/>
      <c r="G285" s="66"/>
      <c r="H285" s="147"/>
      <c r="I285" s="137"/>
      <c r="J285" s="137"/>
      <c r="K285" s="137"/>
      <c r="L285" s="66"/>
      <c r="M285" s="107"/>
      <c r="N285" s="66"/>
      <c r="O285" s="66"/>
      <c r="P285" s="66"/>
      <c r="Q285" s="172"/>
      <c r="R285" s="104"/>
      <c r="S285" s="104"/>
      <c r="T285" s="104"/>
      <c r="U285" s="104"/>
      <c r="V285" s="106"/>
      <c r="W285" s="106"/>
      <c r="X285" s="66"/>
      <c r="Y285" s="106"/>
      <c r="Z285" s="66"/>
      <c r="AA285" s="66"/>
      <c r="AB285" s="106"/>
      <c r="AC285" s="66"/>
      <c r="AD285" s="66"/>
      <c r="AE285" s="81"/>
      <c r="AF285" s="81"/>
      <c r="AG285" s="81"/>
      <c r="AH285" s="81"/>
      <c r="AI285" s="81"/>
      <c r="AJ285" s="81"/>
      <c r="AK285" s="81"/>
    </row>
    <row r="286">
      <c r="A286" s="81"/>
      <c r="B286" s="66"/>
      <c r="C286" s="66"/>
      <c r="D286" s="66"/>
      <c r="E286" s="106"/>
      <c r="F286" s="137"/>
      <c r="G286" s="66"/>
      <c r="H286" s="147"/>
      <c r="I286" s="137"/>
      <c r="J286" s="137"/>
      <c r="K286" s="137"/>
      <c r="L286" s="66"/>
      <c r="M286" s="107"/>
      <c r="N286" s="66"/>
      <c r="O286" s="66"/>
      <c r="P286" s="66"/>
      <c r="Q286" s="172"/>
      <c r="R286" s="104"/>
      <c r="S286" s="104"/>
      <c r="T286" s="104"/>
      <c r="U286" s="104"/>
      <c r="V286" s="106"/>
      <c r="W286" s="106"/>
      <c r="X286" s="66"/>
      <c r="Y286" s="106"/>
      <c r="Z286" s="66"/>
      <c r="AA286" s="66"/>
      <c r="AB286" s="106"/>
      <c r="AC286" s="66"/>
      <c r="AD286" s="66"/>
      <c r="AE286" s="81"/>
      <c r="AF286" s="81"/>
      <c r="AG286" s="81"/>
      <c r="AH286" s="81"/>
      <c r="AI286" s="81"/>
      <c r="AJ286" s="81"/>
      <c r="AK286" s="81"/>
    </row>
    <row r="287">
      <c r="A287" s="81"/>
      <c r="B287" s="66"/>
      <c r="C287" s="66"/>
      <c r="D287" s="66"/>
      <c r="E287" s="106"/>
      <c r="F287" s="137"/>
      <c r="G287" s="66"/>
      <c r="H287" s="147"/>
      <c r="I287" s="137"/>
      <c r="J287" s="137"/>
      <c r="K287" s="137"/>
      <c r="L287" s="66"/>
      <c r="M287" s="107"/>
      <c r="N287" s="66"/>
      <c r="O287" s="66"/>
      <c r="P287" s="66"/>
      <c r="Q287" s="172"/>
      <c r="R287" s="104"/>
      <c r="S287" s="104"/>
      <c r="T287" s="104"/>
      <c r="U287" s="104"/>
      <c r="V287" s="106"/>
      <c r="W287" s="106"/>
      <c r="X287" s="66"/>
      <c r="Y287" s="106"/>
      <c r="Z287" s="66"/>
      <c r="AA287" s="66"/>
      <c r="AB287" s="106"/>
      <c r="AC287" s="66"/>
      <c r="AD287" s="66"/>
      <c r="AE287" s="81"/>
      <c r="AF287" s="81"/>
      <c r="AG287" s="81"/>
      <c r="AH287" s="81"/>
      <c r="AI287" s="81"/>
      <c r="AJ287" s="81"/>
      <c r="AK287" s="81"/>
    </row>
    <row r="288">
      <c r="A288" s="81"/>
      <c r="B288" s="66"/>
      <c r="C288" s="66"/>
      <c r="D288" s="66"/>
      <c r="E288" s="106"/>
      <c r="F288" s="137"/>
      <c r="G288" s="66"/>
      <c r="H288" s="147"/>
      <c r="I288" s="137"/>
      <c r="J288" s="137"/>
      <c r="K288" s="137"/>
      <c r="L288" s="66"/>
      <c r="M288" s="107"/>
      <c r="N288" s="66"/>
      <c r="O288" s="66"/>
      <c r="P288" s="66"/>
      <c r="Q288" s="172"/>
      <c r="R288" s="104"/>
      <c r="S288" s="104"/>
      <c r="T288" s="104"/>
      <c r="U288" s="104"/>
      <c r="V288" s="106"/>
      <c r="W288" s="106"/>
      <c r="X288" s="66"/>
      <c r="Y288" s="106"/>
      <c r="Z288" s="66"/>
      <c r="AA288" s="66"/>
      <c r="AB288" s="106"/>
      <c r="AC288" s="66"/>
      <c r="AD288" s="66"/>
      <c r="AE288" s="81"/>
      <c r="AF288" s="81"/>
      <c r="AG288" s="81"/>
      <c r="AH288" s="81"/>
      <c r="AI288" s="81"/>
      <c r="AJ288" s="81"/>
      <c r="AK288" s="81"/>
    </row>
    <row r="289">
      <c r="A289" s="81"/>
      <c r="B289" s="66"/>
      <c r="C289" s="66"/>
      <c r="D289" s="66"/>
      <c r="E289" s="106"/>
      <c r="F289" s="137"/>
      <c r="G289" s="66"/>
      <c r="H289" s="147"/>
      <c r="I289" s="137"/>
      <c r="J289" s="137"/>
      <c r="K289" s="137"/>
      <c r="L289" s="66"/>
      <c r="M289" s="107"/>
      <c r="N289" s="66"/>
      <c r="O289" s="66"/>
      <c r="P289" s="66"/>
      <c r="Q289" s="172"/>
      <c r="R289" s="104"/>
      <c r="S289" s="104"/>
      <c r="T289" s="104"/>
      <c r="U289" s="104"/>
      <c r="V289" s="106"/>
      <c r="W289" s="106"/>
      <c r="X289" s="66"/>
      <c r="Y289" s="106"/>
      <c r="Z289" s="66"/>
      <c r="AA289" s="66"/>
      <c r="AB289" s="106"/>
      <c r="AC289" s="66"/>
      <c r="AD289" s="66"/>
      <c r="AE289" s="81"/>
      <c r="AF289" s="81"/>
      <c r="AG289" s="81"/>
      <c r="AH289" s="81"/>
      <c r="AI289" s="81"/>
      <c r="AJ289" s="81"/>
      <c r="AK289" s="81"/>
    </row>
    <row r="290">
      <c r="A290" s="81"/>
      <c r="B290" s="66"/>
      <c r="C290" s="66"/>
      <c r="D290" s="66"/>
      <c r="E290" s="106"/>
      <c r="F290" s="137"/>
      <c r="G290" s="66"/>
      <c r="H290" s="147"/>
      <c r="I290" s="137"/>
      <c r="J290" s="137"/>
      <c r="K290" s="137"/>
      <c r="L290" s="66"/>
      <c r="M290" s="107"/>
      <c r="N290" s="66"/>
      <c r="O290" s="66"/>
      <c r="P290" s="66"/>
      <c r="Q290" s="172"/>
      <c r="R290" s="104"/>
      <c r="S290" s="104"/>
      <c r="T290" s="104"/>
      <c r="U290" s="104"/>
      <c r="V290" s="106"/>
      <c r="W290" s="106"/>
      <c r="X290" s="66"/>
      <c r="Y290" s="106"/>
      <c r="Z290" s="66"/>
      <c r="AA290" s="66"/>
      <c r="AB290" s="106"/>
      <c r="AC290" s="66"/>
      <c r="AD290" s="66"/>
      <c r="AE290" s="81"/>
      <c r="AF290" s="81"/>
      <c r="AG290" s="81"/>
      <c r="AH290" s="81"/>
      <c r="AI290" s="81"/>
      <c r="AJ290" s="81"/>
      <c r="AK290" s="81"/>
    </row>
    <row r="291">
      <c r="A291" s="81"/>
      <c r="B291" s="66"/>
      <c r="C291" s="66"/>
      <c r="D291" s="66"/>
      <c r="E291" s="106"/>
      <c r="F291" s="137"/>
      <c r="G291" s="66"/>
      <c r="H291" s="147"/>
      <c r="I291" s="137"/>
      <c r="J291" s="137"/>
      <c r="K291" s="137"/>
      <c r="L291" s="66"/>
      <c r="M291" s="107"/>
      <c r="N291" s="66"/>
      <c r="O291" s="66"/>
      <c r="P291" s="66"/>
      <c r="Q291" s="172"/>
      <c r="R291" s="104"/>
      <c r="S291" s="104"/>
      <c r="T291" s="104"/>
      <c r="U291" s="104"/>
      <c r="V291" s="106"/>
      <c r="W291" s="106"/>
      <c r="X291" s="66"/>
      <c r="Y291" s="106"/>
      <c r="Z291" s="66"/>
      <c r="AA291" s="66"/>
      <c r="AB291" s="106"/>
      <c r="AC291" s="66"/>
      <c r="AD291" s="66"/>
      <c r="AE291" s="81"/>
      <c r="AF291" s="81"/>
      <c r="AG291" s="81"/>
      <c r="AH291" s="81"/>
      <c r="AI291" s="81"/>
      <c r="AJ291" s="81"/>
      <c r="AK291" s="81"/>
    </row>
    <row r="292">
      <c r="A292" s="81"/>
      <c r="B292" s="66"/>
      <c r="C292" s="66"/>
      <c r="D292" s="66"/>
      <c r="E292" s="106"/>
      <c r="F292" s="137"/>
      <c r="G292" s="66"/>
      <c r="H292" s="147"/>
      <c r="I292" s="137"/>
      <c r="J292" s="137"/>
      <c r="K292" s="137"/>
      <c r="L292" s="66"/>
      <c r="M292" s="107"/>
      <c r="N292" s="66"/>
      <c r="O292" s="66"/>
      <c r="P292" s="66"/>
      <c r="Q292" s="172"/>
      <c r="R292" s="104"/>
      <c r="S292" s="104"/>
      <c r="T292" s="104"/>
      <c r="U292" s="104"/>
      <c r="V292" s="106"/>
      <c r="W292" s="106"/>
      <c r="X292" s="66"/>
      <c r="Y292" s="106"/>
      <c r="Z292" s="66"/>
      <c r="AA292" s="66"/>
      <c r="AB292" s="106"/>
      <c r="AC292" s="66"/>
      <c r="AD292" s="66"/>
      <c r="AE292" s="81"/>
      <c r="AF292" s="81"/>
      <c r="AG292" s="81"/>
      <c r="AH292" s="81"/>
      <c r="AI292" s="81"/>
      <c r="AJ292" s="81"/>
      <c r="AK292" s="81"/>
    </row>
    <row r="293">
      <c r="A293" s="81"/>
      <c r="B293" s="66"/>
      <c r="C293" s="66"/>
      <c r="D293" s="66"/>
      <c r="E293" s="106"/>
      <c r="F293" s="137"/>
      <c r="G293" s="66"/>
      <c r="H293" s="147"/>
      <c r="I293" s="137"/>
      <c r="J293" s="137"/>
      <c r="K293" s="137"/>
      <c r="L293" s="66"/>
      <c r="M293" s="107"/>
      <c r="N293" s="66"/>
      <c r="O293" s="66"/>
      <c r="P293" s="66"/>
      <c r="Q293" s="172"/>
      <c r="R293" s="104"/>
      <c r="S293" s="104"/>
      <c r="T293" s="104"/>
      <c r="U293" s="104"/>
      <c r="V293" s="106"/>
      <c r="W293" s="106"/>
      <c r="X293" s="66"/>
      <c r="Y293" s="106"/>
      <c r="Z293" s="66"/>
      <c r="AA293" s="66"/>
      <c r="AB293" s="106"/>
      <c r="AC293" s="66"/>
      <c r="AD293" s="66"/>
      <c r="AE293" s="81"/>
      <c r="AF293" s="81"/>
      <c r="AG293" s="81"/>
      <c r="AH293" s="81"/>
      <c r="AI293" s="81"/>
      <c r="AJ293" s="81"/>
      <c r="AK293" s="81"/>
    </row>
    <row r="294">
      <c r="A294" s="81"/>
      <c r="B294" s="66"/>
      <c r="C294" s="66"/>
      <c r="D294" s="66"/>
      <c r="E294" s="106"/>
      <c r="F294" s="137"/>
      <c r="G294" s="66"/>
      <c r="H294" s="147"/>
      <c r="I294" s="137"/>
      <c r="J294" s="137"/>
      <c r="K294" s="137"/>
      <c r="L294" s="66"/>
      <c r="M294" s="107"/>
      <c r="N294" s="66"/>
      <c r="O294" s="66"/>
      <c r="P294" s="66"/>
      <c r="Q294" s="172"/>
      <c r="R294" s="104"/>
      <c r="S294" s="104"/>
      <c r="T294" s="104"/>
      <c r="U294" s="104"/>
      <c r="V294" s="106"/>
      <c r="W294" s="106"/>
      <c r="X294" s="66"/>
      <c r="Y294" s="106"/>
      <c r="Z294" s="66"/>
      <c r="AA294" s="66"/>
      <c r="AB294" s="106"/>
      <c r="AC294" s="66"/>
      <c r="AD294" s="66"/>
      <c r="AE294" s="81"/>
      <c r="AF294" s="81"/>
      <c r="AG294" s="81"/>
      <c r="AH294" s="81"/>
      <c r="AI294" s="81"/>
      <c r="AJ294" s="81"/>
      <c r="AK294" s="81"/>
    </row>
    <row r="295">
      <c r="A295" s="81"/>
      <c r="B295" s="66"/>
      <c r="C295" s="66"/>
      <c r="D295" s="66"/>
      <c r="E295" s="106"/>
      <c r="F295" s="137"/>
      <c r="G295" s="66"/>
      <c r="H295" s="147"/>
      <c r="I295" s="137"/>
      <c r="J295" s="137"/>
      <c r="K295" s="137"/>
      <c r="L295" s="66"/>
      <c r="M295" s="107"/>
      <c r="N295" s="66"/>
      <c r="O295" s="66"/>
      <c r="P295" s="66"/>
      <c r="Q295" s="172"/>
      <c r="R295" s="104"/>
      <c r="S295" s="104"/>
      <c r="T295" s="104"/>
      <c r="U295" s="104"/>
      <c r="V295" s="106"/>
      <c r="W295" s="106"/>
      <c r="X295" s="66"/>
      <c r="Y295" s="106"/>
      <c r="Z295" s="66"/>
      <c r="AA295" s="66"/>
      <c r="AB295" s="106"/>
      <c r="AC295" s="66"/>
      <c r="AD295" s="66"/>
      <c r="AE295" s="81"/>
      <c r="AF295" s="81"/>
      <c r="AG295" s="81"/>
      <c r="AH295" s="81"/>
      <c r="AI295" s="81"/>
      <c r="AJ295" s="81"/>
      <c r="AK295" s="81"/>
    </row>
    <row r="296">
      <c r="A296" s="81"/>
      <c r="B296" s="66"/>
      <c r="C296" s="66"/>
      <c r="D296" s="66"/>
      <c r="E296" s="106"/>
      <c r="F296" s="137"/>
      <c r="G296" s="66"/>
      <c r="H296" s="147"/>
      <c r="I296" s="137"/>
      <c r="J296" s="137"/>
      <c r="K296" s="137"/>
      <c r="L296" s="66"/>
      <c r="M296" s="107"/>
      <c r="N296" s="66"/>
      <c r="O296" s="66"/>
      <c r="P296" s="66"/>
      <c r="Q296" s="172"/>
      <c r="R296" s="104"/>
      <c r="S296" s="104"/>
      <c r="T296" s="104"/>
      <c r="U296" s="104"/>
      <c r="V296" s="106"/>
      <c r="W296" s="106"/>
      <c r="X296" s="66"/>
      <c r="Y296" s="106"/>
      <c r="Z296" s="66"/>
      <c r="AA296" s="66"/>
      <c r="AB296" s="106"/>
      <c r="AC296" s="66"/>
      <c r="AD296" s="66"/>
      <c r="AE296" s="81"/>
      <c r="AF296" s="81"/>
      <c r="AG296" s="81"/>
      <c r="AH296" s="81"/>
      <c r="AI296" s="81"/>
      <c r="AJ296" s="81"/>
      <c r="AK296" s="81"/>
    </row>
    <row r="297">
      <c r="A297" s="81"/>
      <c r="B297" s="66"/>
      <c r="C297" s="66"/>
      <c r="D297" s="66"/>
      <c r="E297" s="106"/>
      <c r="F297" s="137"/>
      <c r="G297" s="66"/>
      <c r="H297" s="147"/>
      <c r="I297" s="137"/>
      <c r="J297" s="137"/>
      <c r="K297" s="137"/>
      <c r="L297" s="66"/>
      <c r="M297" s="107"/>
      <c r="N297" s="66"/>
      <c r="O297" s="66"/>
      <c r="P297" s="66"/>
      <c r="Q297" s="172"/>
      <c r="R297" s="104"/>
      <c r="S297" s="104"/>
      <c r="T297" s="104"/>
      <c r="U297" s="104"/>
      <c r="V297" s="106"/>
      <c r="W297" s="106"/>
      <c r="X297" s="66"/>
      <c r="Y297" s="106"/>
      <c r="Z297" s="66"/>
      <c r="AA297" s="66"/>
      <c r="AB297" s="106"/>
      <c r="AC297" s="66"/>
      <c r="AD297" s="66"/>
      <c r="AE297" s="81"/>
      <c r="AF297" s="81"/>
      <c r="AG297" s="81"/>
      <c r="AH297" s="81"/>
      <c r="AI297" s="81"/>
      <c r="AJ297" s="81"/>
      <c r="AK297" s="81"/>
    </row>
    <row r="298">
      <c r="A298" s="81"/>
      <c r="B298" s="66"/>
      <c r="C298" s="66"/>
      <c r="D298" s="66"/>
      <c r="E298" s="106"/>
      <c r="F298" s="137"/>
      <c r="G298" s="66"/>
      <c r="H298" s="147"/>
      <c r="I298" s="137"/>
      <c r="J298" s="137"/>
      <c r="K298" s="137"/>
      <c r="L298" s="66"/>
      <c r="M298" s="107"/>
      <c r="N298" s="66"/>
      <c r="O298" s="66"/>
      <c r="P298" s="66"/>
      <c r="Q298" s="172"/>
      <c r="R298" s="104"/>
      <c r="S298" s="104"/>
      <c r="T298" s="104"/>
      <c r="U298" s="104"/>
      <c r="V298" s="106"/>
      <c r="W298" s="106"/>
      <c r="X298" s="66"/>
      <c r="Y298" s="106"/>
      <c r="Z298" s="66"/>
      <c r="AA298" s="66"/>
      <c r="AB298" s="106"/>
      <c r="AC298" s="66"/>
      <c r="AD298" s="66"/>
      <c r="AE298" s="81"/>
      <c r="AF298" s="81"/>
      <c r="AG298" s="81"/>
      <c r="AH298" s="81"/>
      <c r="AI298" s="81"/>
      <c r="AJ298" s="81"/>
      <c r="AK298" s="81"/>
    </row>
    <row r="299">
      <c r="A299" s="81"/>
      <c r="B299" s="66"/>
      <c r="C299" s="66"/>
      <c r="D299" s="66"/>
      <c r="E299" s="106"/>
      <c r="F299" s="137"/>
      <c r="G299" s="66"/>
      <c r="H299" s="147"/>
      <c r="I299" s="137"/>
      <c r="J299" s="137"/>
      <c r="K299" s="137"/>
      <c r="L299" s="66"/>
      <c r="M299" s="107"/>
      <c r="N299" s="66"/>
      <c r="O299" s="66"/>
      <c r="P299" s="66"/>
      <c r="Q299" s="172"/>
      <c r="R299" s="104"/>
      <c r="S299" s="104"/>
      <c r="T299" s="104"/>
      <c r="U299" s="104"/>
      <c r="V299" s="106"/>
      <c r="W299" s="106"/>
      <c r="X299" s="66"/>
      <c r="Y299" s="106"/>
      <c r="Z299" s="66"/>
      <c r="AA299" s="66"/>
      <c r="AB299" s="106"/>
      <c r="AC299" s="66"/>
      <c r="AD299" s="66"/>
      <c r="AE299" s="81"/>
      <c r="AF299" s="81"/>
      <c r="AG299" s="81"/>
      <c r="AH299" s="81"/>
      <c r="AI299" s="81"/>
      <c r="AJ299" s="81"/>
      <c r="AK299" s="81"/>
    </row>
    <row r="300">
      <c r="A300" s="81"/>
      <c r="B300" s="66"/>
      <c r="C300" s="66"/>
      <c r="D300" s="66"/>
      <c r="E300" s="106"/>
      <c r="F300" s="137"/>
      <c r="G300" s="66"/>
      <c r="H300" s="147"/>
      <c r="I300" s="137"/>
      <c r="J300" s="137"/>
      <c r="K300" s="137"/>
      <c r="L300" s="66"/>
      <c r="M300" s="107"/>
      <c r="N300" s="66"/>
      <c r="O300" s="66"/>
      <c r="P300" s="66"/>
      <c r="Q300" s="172"/>
      <c r="R300" s="104"/>
      <c r="S300" s="104"/>
      <c r="T300" s="104"/>
      <c r="U300" s="104"/>
      <c r="V300" s="106"/>
      <c r="W300" s="106"/>
      <c r="X300" s="66"/>
      <c r="Y300" s="106"/>
      <c r="Z300" s="66"/>
      <c r="AA300" s="66"/>
      <c r="AB300" s="106"/>
      <c r="AC300" s="66"/>
      <c r="AD300" s="66"/>
      <c r="AE300" s="81"/>
      <c r="AF300" s="81"/>
      <c r="AG300" s="81"/>
      <c r="AH300" s="81"/>
      <c r="AI300" s="81"/>
      <c r="AJ300" s="81"/>
      <c r="AK300" s="81"/>
    </row>
    <row r="301">
      <c r="A301" s="81"/>
      <c r="B301" s="66"/>
      <c r="C301" s="66"/>
      <c r="D301" s="66"/>
      <c r="E301" s="106"/>
      <c r="F301" s="137"/>
      <c r="G301" s="66"/>
      <c r="H301" s="147"/>
      <c r="I301" s="137"/>
      <c r="J301" s="137"/>
      <c r="K301" s="137"/>
      <c r="L301" s="66"/>
      <c r="M301" s="107"/>
      <c r="N301" s="66"/>
      <c r="O301" s="66"/>
      <c r="P301" s="66"/>
      <c r="Q301" s="172"/>
      <c r="R301" s="104"/>
      <c r="S301" s="104"/>
      <c r="T301" s="104"/>
      <c r="U301" s="104"/>
      <c r="V301" s="106"/>
      <c r="W301" s="106"/>
      <c r="X301" s="66"/>
      <c r="Y301" s="106"/>
      <c r="Z301" s="66"/>
      <c r="AA301" s="66"/>
      <c r="AB301" s="106"/>
      <c r="AC301" s="66"/>
      <c r="AD301" s="66"/>
      <c r="AE301" s="81"/>
      <c r="AF301" s="81"/>
      <c r="AG301" s="81"/>
      <c r="AH301" s="81"/>
      <c r="AI301" s="81"/>
      <c r="AJ301" s="81"/>
      <c r="AK301" s="81"/>
    </row>
    <row r="302">
      <c r="A302" s="81"/>
      <c r="B302" s="66"/>
      <c r="C302" s="66"/>
      <c r="D302" s="66"/>
      <c r="E302" s="106"/>
      <c r="F302" s="137"/>
      <c r="G302" s="66"/>
      <c r="H302" s="147"/>
      <c r="I302" s="137"/>
      <c r="J302" s="137"/>
      <c r="K302" s="137"/>
      <c r="L302" s="66"/>
      <c r="M302" s="107"/>
      <c r="N302" s="66"/>
      <c r="O302" s="66"/>
      <c r="P302" s="66"/>
      <c r="Q302" s="172"/>
      <c r="R302" s="104"/>
      <c r="S302" s="104"/>
      <c r="T302" s="104"/>
      <c r="U302" s="104"/>
      <c r="V302" s="106"/>
      <c r="W302" s="106"/>
      <c r="X302" s="66"/>
      <c r="Y302" s="106"/>
      <c r="Z302" s="66"/>
      <c r="AA302" s="66"/>
      <c r="AB302" s="106"/>
      <c r="AC302" s="66"/>
      <c r="AD302" s="66"/>
      <c r="AE302" s="81"/>
      <c r="AF302" s="81"/>
      <c r="AG302" s="81"/>
      <c r="AH302" s="81"/>
      <c r="AI302" s="81"/>
      <c r="AJ302" s="81"/>
      <c r="AK302" s="81"/>
    </row>
    <row r="303">
      <c r="A303" s="81"/>
      <c r="B303" s="66"/>
      <c r="C303" s="66"/>
      <c r="D303" s="66"/>
      <c r="E303" s="106"/>
      <c r="F303" s="137"/>
      <c r="G303" s="66"/>
      <c r="H303" s="147"/>
      <c r="I303" s="137"/>
      <c r="J303" s="137"/>
      <c r="K303" s="137"/>
      <c r="L303" s="66"/>
      <c r="M303" s="107"/>
      <c r="N303" s="66"/>
      <c r="O303" s="66"/>
      <c r="P303" s="66"/>
      <c r="Q303" s="172"/>
      <c r="R303" s="104"/>
      <c r="S303" s="104"/>
      <c r="T303" s="104"/>
      <c r="U303" s="104"/>
      <c r="V303" s="106"/>
      <c r="W303" s="106"/>
      <c r="X303" s="66"/>
      <c r="Y303" s="106"/>
      <c r="Z303" s="66"/>
      <c r="AA303" s="66"/>
      <c r="AB303" s="106"/>
      <c r="AC303" s="66"/>
      <c r="AD303" s="66"/>
      <c r="AE303" s="81"/>
      <c r="AF303" s="81"/>
      <c r="AG303" s="81"/>
      <c r="AH303" s="81"/>
      <c r="AI303" s="81"/>
      <c r="AJ303" s="81"/>
      <c r="AK303" s="81"/>
    </row>
    <row r="304">
      <c r="A304" s="81"/>
      <c r="B304" s="66"/>
      <c r="C304" s="66"/>
      <c r="D304" s="66"/>
      <c r="E304" s="106"/>
      <c r="F304" s="137"/>
      <c r="G304" s="66"/>
      <c r="H304" s="147"/>
      <c r="I304" s="137"/>
      <c r="J304" s="137"/>
      <c r="K304" s="137"/>
      <c r="L304" s="66"/>
      <c r="M304" s="107"/>
      <c r="N304" s="66"/>
      <c r="O304" s="66"/>
      <c r="P304" s="66"/>
      <c r="Q304" s="172"/>
      <c r="R304" s="104"/>
      <c r="S304" s="104"/>
      <c r="T304" s="104"/>
      <c r="U304" s="104"/>
      <c r="V304" s="106"/>
      <c r="W304" s="106"/>
      <c r="X304" s="66"/>
      <c r="Y304" s="106"/>
      <c r="Z304" s="66"/>
      <c r="AA304" s="66"/>
      <c r="AB304" s="106"/>
      <c r="AC304" s="66"/>
      <c r="AD304" s="66"/>
      <c r="AE304" s="81"/>
      <c r="AF304" s="81"/>
      <c r="AG304" s="81"/>
      <c r="AH304" s="81"/>
      <c r="AI304" s="81"/>
      <c r="AJ304" s="81"/>
      <c r="AK304" s="81"/>
    </row>
    <row r="305">
      <c r="A305" s="81"/>
      <c r="B305" s="66"/>
      <c r="C305" s="66"/>
      <c r="D305" s="66"/>
      <c r="E305" s="106"/>
      <c r="F305" s="137"/>
      <c r="G305" s="66"/>
      <c r="H305" s="147"/>
      <c r="I305" s="137"/>
      <c r="J305" s="137"/>
      <c r="K305" s="137"/>
      <c r="L305" s="66"/>
      <c r="M305" s="107"/>
      <c r="N305" s="66"/>
      <c r="O305" s="66"/>
      <c r="P305" s="66"/>
      <c r="Q305" s="172"/>
      <c r="R305" s="104"/>
      <c r="S305" s="104"/>
      <c r="T305" s="104"/>
      <c r="U305" s="104"/>
      <c r="V305" s="106"/>
      <c r="W305" s="106"/>
      <c r="X305" s="66"/>
      <c r="Y305" s="106"/>
      <c r="Z305" s="66"/>
      <c r="AA305" s="66"/>
      <c r="AB305" s="106"/>
      <c r="AC305" s="66"/>
      <c r="AD305" s="66"/>
      <c r="AE305" s="81"/>
      <c r="AF305" s="81"/>
      <c r="AG305" s="81"/>
      <c r="AH305" s="81"/>
      <c r="AI305" s="81"/>
      <c r="AJ305" s="81"/>
      <c r="AK305" s="81"/>
    </row>
    <row r="306">
      <c r="A306" s="81"/>
      <c r="B306" s="66"/>
      <c r="C306" s="66"/>
      <c r="D306" s="66"/>
      <c r="E306" s="106"/>
      <c r="F306" s="137"/>
      <c r="G306" s="66"/>
      <c r="H306" s="147"/>
      <c r="I306" s="137"/>
      <c r="J306" s="137"/>
      <c r="K306" s="137"/>
      <c r="L306" s="66"/>
      <c r="M306" s="107"/>
      <c r="N306" s="66"/>
      <c r="O306" s="66"/>
      <c r="P306" s="66"/>
      <c r="Q306" s="172"/>
      <c r="R306" s="104"/>
      <c r="S306" s="104"/>
      <c r="T306" s="104"/>
      <c r="U306" s="104"/>
      <c r="V306" s="106"/>
      <c r="W306" s="106"/>
      <c r="X306" s="66"/>
      <c r="Y306" s="106"/>
      <c r="Z306" s="66"/>
      <c r="AA306" s="66"/>
      <c r="AB306" s="106"/>
      <c r="AC306" s="66"/>
      <c r="AD306" s="66"/>
      <c r="AE306" s="81"/>
      <c r="AF306" s="81"/>
      <c r="AG306" s="81"/>
      <c r="AH306" s="81"/>
      <c r="AI306" s="81"/>
      <c r="AJ306" s="81"/>
      <c r="AK306" s="81"/>
    </row>
    <row r="307">
      <c r="A307" s="81"/>
      <c r="B307" s="66"/>
      <c r="C307" s="66"/>
      <c r="D307" s="66"/>
      <c r="E307" s="106"/>
      <c r="F307" s="137"/>
      <c r="G307" s="66"/>
      <c r="H307" s="147"/>
      <c r="I307" s="137"/>
      <c r="J307" s="137"/>
      <c r="K307" s="137"/>
      <c r="L307" s="66"/>
      <c r="M307" s="107"/>
      <c r="N307" s="66"/>
      <c r="O307" s="66"/>
      <c r="P307" s="66"/>
      <c r="Q307" s="172"/>
      <c r="R307" s="104"/>
      <c r="S307" s="104"/>
      <c r="T307" s="104"/>
      <c r="U307" s="104"/>
      <c r="V307" s="106"/>
      <c r="W307" s="106"/>
      <c r="X307" s="66"/>
      <c r="Y307" s="106"/>
      <c r="Z307" s="66"/>
      <c r="AA307" s="66"/>
      <c r="AB307" s="106"/>
      <c r="AC307" s="66"/>
      <c r="AD307" s="66"/>
      <c r="AE307" s="81"/>
      <c r="AF307" s="81"/>
      <c r="AG307" s="81"/>
      <c r="AH307" s="81"/>
      <c r="AI307" s="81"/>
      <c r="AJ307" s="81"/>
      <c r="AK307" s="81"/>
    </row>
    <row r="308">
      <c r="A308" s="81"/>
      <c r="B308" s="66"/>
      <c r="C308" s="66"/>
      <c r="D308" s="66"/>
      <c r="E308" s="106"/>
      <c r="F308" s="137"/>
      <c r="G308" s="66"/>
      <c r="H308" s="147"/>
      <c r="I308" s="137"/>
      <c r="J308" s="137"/>
      <c r="K308" s="137"/>
      <c r="L308" s="66"/>
      <c r="M308" s="107"/>
      <c r="N308" s="66"/>
      <c r="O308" s="66"/>
      <c r="P308" s="66"/>
      <c r="Q308" s="172"/>
      <c r="R308" s="104"/>
      <c r="S308" s="104"/>
      <c r="T308" s="104"/>
      <c r="U308" s="104"/>
      <c r="V308" s="106"/>
      <c r="W308" s="106"/>
      <c r="X308" s="66"/>
      <c r="Y308" s="106"/>
      <c r="Z308" s="66"/>
      <c r="AA308" s="66"/>
      <c r="AB308" s="106"/>
      <c r="AC308" s="66"/>
      <c r="AD308" s="66"/>
      <c r="AE308" s="81"/>
      <c r="AF308" s="81"/>
      <c r="AG308" s="81"/>
      <c r="AH308" s="81"/>
      <c r="AI308" s="81"/>
      <c r="AJ308" s="81"/>
      <c r="AK308" s="81"/>
    </row>
    <row r="309">
      <c r="A309" s="81"/>
      <c r="B309" s="66"/>
      <c r="C309" s="66"/>
      <c r="D309" s="66"/>
      <c r="E309" s="106"/>
      <c r="F309" s="137"/>
      <c r="G309" s="66"/>
      <c r="H309" s="147"/>
      <c r="I309" s="137"/>
      <c r="J309" s="137"/>
      <c r="K309" s="137"/>
      <c r="L309" s="66"/>
      <c r="M309" s="107"/>
      <c r="N309" s="66"/>
      <c r="O309" s="66"/>
      <c r="P309" s="66"/>
      <c r="Q309" s="172"/>
      <c r="R309" s="104"/>
      <c r="S309" s="104"/>
      <c r="T309" s="104"/>
      <c r="U309" s="104"/>
      <c r="V309" s="106"/>
      <c r="W309" s="106"/>
      <c r="X309" s="66"/>
      <c r="Y309" s="106"/>
      <c r="Z309" s="66"/>
      <c r="AA309" s="66"/>
      <c r="AB309" s="106"/>
      <c r="AC309" s="66"/>
      <c r="AD309" s="66"/>
      <c r="AE309" s="81"/>
      <c r="AF309" s="81"/>
      <c r="AG309" s="81"/>
      <c r="AH309" s="81"/>
      <c r="AI309" s="81"/>
      <c r="AJ309" s="81"/>
      <c r="AK309" s="81"/>
    </row>
    <row r="310">
      <c r="A310" s="81"/>
      <c r="B310" s="66"/>
      <c r="C310" s="66"/>
      <c r="D310" s="66"/>
      <c r="E310" s="106"/>
      <c r="F310" s="137"/>
      <c r="G310" s="66"/>
      <c r="H310" s="147"/>
      <c r="I310" s="137"/>
      <c r="J310" s="137"/>
      <c r="K310" s="137"/>
      <c r="L310" s="66"/>
      <c r="M310" s="107"/>
      <c r="N310" s="66"/>
      <c r="O310" s="66"/>
      <c r="P310" s="66"/>
      <c r="Q310" s="172"/>
      <c r="R310" s="104"/>
      <c r="S310" s="104"/>
      <c r="T310" s="104"/>
      <c r="U310" s="104"/>
      <c r="V310" s="106"/>
      <c r="W310" s="106"/>
      <c r="X310" s="66"/>
      <c r="Y310" s="106"/>
      <c r="Z310" s="66"/>
      <c r="AA310" s="66"/>
      <c r="AB310" s="106"/>
      <c r="AC310" s="66"/>
      <c r="AD310" s="66"/>
      <c r="AE310" s="81"/>
      <c r="AF310" s="81"/>
      <c r="AG310" s="81"/>
      <c r="AH310" s="81"/>
      <c r="AI310" s="81"/>
      <c r="AJ310" s="81"/>
      <c r="AK310" s="81"/>
    </row>
    <row r="311">
      <c r="A311" s="81"/>
      <c r="B311" s="66"/>
      <c r="C311" s="66"/>
      <c r="D311" s="66"/>
      <c r="E311" s="106"/>
      <c r="F311" s="137"/>
      <c r="G311" s="66"/>
      <c r="H311" s="147"/>
      <c r="I311" s="137"/>
      <c r="J311" s="137"/>
      <c r="K311" s="137"/>
      <c r="L311" s="66"/>
      <c r="M311" s="107"/>
      <c r="N311" s="66"/>
      <c r="O311" s="66"/>
      <c r="P311" s="66"/>
      <c r="Q311" s="172"/>
      <c r="R311" s="104"/>
      <c r="S311" s="104"/>
      <c r="T311" s="104"/>
      <c r="U311" s="104"/>
      <c r="V311" s="106"/>
      <c r="W311" s="106"/>
      <c r="X311" s="66"/>
      <c r="Y311" s="106"/>
      <c r="Z311" s="66"/>
      <c r="AA311" s="66"/>
      <c r="AB311" s="106"/>
      <c r="AC311" s="66"/>
      <c r="AD311" s="66"/>
      <c r="AE311" s="81"/>
      <c r="AF311" s="81"/>
      <c r="AG311" s="81"/>
      <c r="AH311" s="81"/>
      <c r="AI311" s="81"/>
      <c r="AJ311" s="81"/>
      <c r="AK311" s="81"/>
    </row>
    <row r="312">
      <c r="A312" s="81"/>
      <c r="B312" s="66"/>
      <c r="C312" s="66"/>
      <c r="D312" s="66"/>
      <c r="E312" s="106"/>
      <c r="F312" s="137"/>
      <c r="G312" s="66"/>
      <c r="H312" s="147"/>
      <c r="I312" s="137"/>
      <c r="J312" s="137"/>
      <c r="K312" s="137"/>
      <c r="L312" s="66"/>
      <c r="M312" s="107"/>
      <c r="N312" s="66"/>
      <c r="O312" s="66"/>
      <c r="P312" s="66"/>
      <c r="Q312" s="172"/>
      <c r="R312" s="104"/>
      <c r="S312" s="104"/>
      <c r="T312" s="104"/>
      <c r="U312" s="104"/>
      <c r="V312" s="106"/>
      <c r="W312" s="106"/>
      <c r="X312" s="66"/>
      <c r="Y312" s="106"/>
      <c r="Z312" s="66"/>
      <c r="AA312" s="66"/>
      <c r="AB312" s="106"/>
      <c r="AC312" s="66"/>
      <c r="AD312" s="66"/>
      <c r="AE312" s="81"/>
      <c r="AF312" s="81"/>
      <c r="AG312" s="81"/>
      <c r="AH312" s="81"/>
      <c r="AI312" s="81"/>
      <c r="AJ312" s="81"/>
      <c r="AK312" s="81"/>
    </row>
    <row r="313">
      <c r="A313" s="81"/>
      <c r="B313" s="66"/>
      <c r="C313" s="66"/>
      <c r="D313" s="66"/>
      <c r="E313" s="106"/>
      <c r="F313" s="137"/>
      <c r="G313" s="66"/>
      <c r="H313" s="147"/>
      <c r="I313" s="137"/>
      <c r="J313" s="137"/>
      <c r="K313" s="137"/>
      <c r="L313" s="66"/>
      <c r="M313" s="107"/>
      <c r="N313" s="66"/>
      <c r="O313" s="66"/>
      <c r="P313" s="66"/>
      <c r="Q313" s="172"/>
      <c r="R313" s="104"/>
      <c r="S313" s="104"/>
      <c r="T313" s="104"/>
      <c r="U313" s="104"/>
      <c r="V313" s="106"/>
      <c r="W313" s="106"/>
      <c r="X313" s="66"/>
      <c r="Y313" s="106"/>
      <c r="Z313" s="66"/>
      <c r="AA313" s="66"/>
      <c r="AB313" s="106"/>
      <c r="AC313" s="66"/>
      <c r="AD313" s="66"/>
      <c r="AE313" s="81"/>
      <c r="AF313" s="81"/>
      <c r="AG313" s="81"/>
      <c r="AH313" s="81"/>
      <c r="AI313" s="81"/>
      <c r="AJ313" s="81"/>
      <c r="AK313" s="81"/>
    </row>
    <row r="314">
      <c r="A314" s="81"/>
      <c r="B314" s="66"/>
      <c r="C314" s="66"/>
      <c r="D314" s="66"/>
      <c r="E314" s="106"/>
      <c r="F314" s="137"/>
      <c r="G314" s="66"/>
      <c r="H314" s="147"/>
      <c r="I314" s="137"/>
      <c r="J314" s="137"/>
      <c r="K314" s="137"/>
      <c r="L314" s="66"/>
      <c r="M314" s="107"/>
      <c r="N314" s="66"/>
      <c r="O314" s="66"/>
      <c r="P314" s="66"/>
      <c r="Q314" s="172"/>
      <c r="R314" s="104"/>
      <c r="S314" s="104"/>
      <c r="T314" s="104"/>
      <c r="U314" s="104"/>
      <c r="V314" s="106"/>
      <c r="W314" s="106"/>
      <c r="X314" s="66"/>
      <c r="Y314" s="106"/>
      <c r="Z314" s="66"/>
      <c r="AA314" s="66"/>
      <c r="AB314" s="106"/>
      <c r="AC314" s="66"/>
      <c r="AD314" s="66"/>
      <c r="AE314" s="81"/>
      <c r="AF314" s="81"/>
      <c r="AG314" s="81"/>
      <c r="AH314" s="81"/>
      <c r="AI314" s="81"/>
      <c r="AJ314" s="81"/>
      <c r="AK314" s="81"/>
    </row>
    <row r="315">
      <c r="A315" s="81"/>
      <c r="B315" s="66"/>
      <c r="C315" s="66"/>
      <c r="D315" s="66"/>
      <c r="E315" s="106"/>
      <c r="F315" s="137"/>
      <c r="G315" s="66"/>
      <c r="H315" s="147"/>
      <c r="I315" s="137"/>
      <c r="J315" s="137"/>
      <c r="K315" s="137"/>
      <c r="L315" s="66"/>
      <c r="M315" s="107"/>
      <c r="N315" s="66"/>
      <c r="O315" s="66"/>
      <c r="P315" s="66"/>
      <c r="Q315" s="172"/>
      <c r="R315" s="104"/>
      <c r="S315" s="104"/>
      <c r="T315" s="104"/>
      <c r="U315" s="104"/>
      <c r="V315" s="106"/>
      <c r="W315" s="106"/>
      <c r="X315" s="66"/>
      <c r="Y315" s="106"/>
      <c r="Z315" s="66"/>
      <c r="AA315" s="66"/>
      <c r="AB315" s="106"/>
      <c r="AC315" s="66"/>
      <c r="AD315" s="66"/>
      <c r="AE315" s="81"/>
      <c r="AF315" s="81"/>
      <c r="AG315" s="81"/>
      <c r="AH315" s="81"/>
      <c r="AI315" s="81"/>
      <c r="AJ315" s="81"/>
      <c r="AK315" s="81"/>
    </row>
    <row r="316">
      <c r="A316" s="81"/>
      <c r="B316" s="66"/>
      <c r="C316" s="66"/>
      <c r="D316" s="66"/>
      <c r="E316" s="106"/>
      <c r="F316" s="137"/>
      <c r="G316" s="66"/>
      <c r="H316" s="147"/>
      <c r="I316" s="137"/>
      <c r="J316" s="137"/>
      <c r="K316" s="137"/>
      <c r="L316" s="66"/>
      <c r="M316" s="107"/>
      <c r="N316" s="66"/>
      <c r="O316" s="66"/>
      <c r="P316" s="66"/>
      <c r="Q316" s="172"/>
      <c r="R316" s="104"/>
      <c r="S316" s="104"/>
      <c r="T316" s="104"/>
      <c r="U316" s="104"/>
      <c r="V316" s="106"/>
      <c r="W316" s="106"/>
      <c r="X316" s="66"/>
      <c r="Y316" s="106"/>
      <c r="Z316" s="66"/>
      <c r="AA316" s="66"/>
      <c r="AB316" s="106"/>
      <c r="AC316" s="66"/>
      <c r="AD316" s="66"/>
      <c r="AE316" s="81"/>
      <c r="AF316" s="81"/>
      <c r="AG316" s="81"/>
      <c r="AH316" s="81"/>
      <c r="AI316" s="81"/>
      <c r="AJ316" s="81"/>
      <c r="AK316" s="81"/>
    </row>
    <row r="317">
      <c r="A317" s="81"/>
      <c r="B317" s="66"/>
      <c r="C317" s="66"/>
      <c r="D317" s="66"/>
      <c r="E317" s="106"/>
      <c r="F317" s="137"/>
      <c r="G317" s="66"/>
      <c r="H317" s="147"/>
      <c r="I317" s="137"/>
      <c r="J317" s="137"/>
      <c r="K317" s="137"/>
      <c r="L317" s="66"/>
      <c r="M317" s="107"/>
      <c r="N317" s="66"/>
      <c r="O317" s="66"/>
      <c r="P317" s="66"/>
      <c r="Q317" s="172"/>
      <c r="R317" s="104"/>
      <c r="S317" s="104"/>
      <c r="T317" s="104"/>
      <c r="U317" s="104"/>
      <c r="V317" s="106"/>
      <c r="W317" s="106"/>
      <c r="X317" s="66"/>
      <c r="Y317" s="106"/>
      <c r="Z317" s="66"/>
      <c r="AA317" s="66"/>
      <c r="AB317" s="106"/>
      <c r="AC317" s="66"/>
      <c r="AD317" s="66"/>
      <c r="AE317" s="81"/>
      <c r="AF317" s="81"/>
      <c r="AG317" s="81"/>
      <c r="AH317" s="81"/>
      <c r="AI317" s="81"/>
      <c r="AJ317" s="81"/>
      <c r="AK317" s="81"/>
    </row>
    <row r="318">
      <c r="A318" s="81"/>
      <c r="B318" s="66"/>
      <c r="C318" s="66"/>
      <c r="D318" s="66"/>
      <c r="E318" s="106"/>
      <c r="F318" s="137"/>
      <c r="G318" s="66"/>
      <c r="H318" s="147"/>
      <c r="I318" s="137"/>
      <c r="J318" s="137"/>
      <c r="K318" s="137"/>
      <c r="L318" s="66"/>
      <c r="M318" s="107"/>
      <c r="N318" s="66"/>
      <c r="O318" s="66"/>
      <c r="P318" s="66"/>
      <c r="Q318" s="172"/>
      <c r="R318" s="104"/>
      <c r="S318" s="104"/>
      <c r="T318" s="104"/>
      <c r="U318" s="104"/>
      <c r="V318" s="106"/>
      <c r="W318" s="106"/>
      <c r="X318" s="66"/>
      <c r="Y318" s="106"/>
      <c r="Z318" s="66"/>
      <c r="AA318" s="66"/>
      <c r="AB318" s="106"/>
      <c r="AC318" s="66"/>
      <c r="AD318" s="66"/>
      <c r="AE318" s="81"/>
      <c r="AF318" s="81"/>
      <c r="AG318" s="81"/>
      <c r="AH318" s="81"/>
      <c r="AI318" s="81"/>
      <c r="AJ318" s="81"/>
      <c r="AK318" s="81"/>
    </row>
    <row r="319">
      <c r="A319" s="81"/>
      <c r="B319" s="66"/>
      <c r="C319" s="66"/>
      <c r="D319" s="66"/>
      <c r="E319" s="106"/>
      <c r="F319" s="137"/>
      <c r="G319" s="66"/>
      <c r="H319" s="147"/>
      <c r="I319" s="137"/>
      <c r="J319" s="137"/>
      <c r="K319" s="137"/>
      <c r="L319" s="66"/>
      <c r="M319" s="107"/>
      <c r="N319" s="66"/>
      <c r="O319" s="66"/>
      <c r="P319" s="66"/>
      <c r="Q319" s="172"/>
      <c r="R319" s="104"/>
      <c r="S319" s="104"/>
      <c r="T319" s="104"/>
      <c r="U319" s="104"/>
      <c r="V319" s="106"/>
      <c r="W319" s="106"/>
      <c r="X319" s="66"/>
      <c r="Y319" s="106"/>
      <c r="Z319" s="66"/>
      <c r="AA319" s="66"/>
      <c r="AB319" s="106"/>
      <c r="AC319" s="66"/>
      <c r="AD319" s="66"/>
      <c r="AE319" s="81"/>
      <c r="AF319" s="81"/>
      <c r="AG319" s="81"/>
      <c r="AH319" s="81"/>
      <c r="AI319" s="81"/>
      <c r="AJ319" s="81"/>
      <c r="AK319" s="81"/>
    </row>
    <row r="320">
      <c r="A320" s="81"/>
      <c r="B320" s="66"/>
      <c r="C320" s="66"/>
      <c r="D320" s="66"/>
      <c r="E320" s="106"/>
      <c r="F320" s="137"/>
      <c r="G320" s="66"/>
      <c r="H320" s="147"/>
      <c r="I320" s="137"/>
      <c r="J320" s="137"/>
      <c r="K320" s="137"/>
      <c r="L320" s="66"/>
      <c r="M320" s="107"/>
      <c r="N320" s="66"/>
      <c r="O320" s="66"/>
      <c r="P320" s="66"/>
      <c r="Q320" s="172"/>
      <c r="R320" s="104"/>
      <c r="S320" s="104"/>
      <c r="T320" s="104"/>
      <c r="U320" s="104"/>
      <c r="V320" s="106"/>
      <c r="W320" s="106"/>
      <c r="X320" s="66"/>
      <c r="Y320" s="106"/>
      <c r="Z320" s="66"/>
      <c r="AA320" s="66"/>
      <c r="AB320" s="106"/>
      <c r="AC320" s="66"/>
      <c r="AD320" s="66"/>
      <c r="AE320" s="81"/>
      <c r="AF320" s="81"/>
      <c r="AG320" s="81"/>
      <c r="AH320" s="81"/>
      <c r="AI320" s="81"/>
      <c r="AJ320" s="81"/>
      <c r="AK320" s="81"/>
    </row>
    <row r="321">
      <c r="A321" s="81"/>
      <c r="B321" s="66"/>
      <c r="C321" s="66"/>
      <c r="D321" s="66"/>
      <c r="E321" s="106"/>
      <c r="F321" s="137"/>
      <c r="G321" s="66"/>
      <c r="H321" s="147"/>
      <c r="I321" s="137"/>
      <c r="J321" s="137"/>
      <c r="K321" s="137"/>
      <c r="L321" s="66"/>
      <c r="M321" s="107"/>
      <c r="N321" s="66"/>
      <c r="O321" s="66"/>
      <c r="P321" s="66"/>
      <c r="Q321" s="172"/>
      <c r="R321" s="104"/>
      <c r="S321" s="104"/>
      <c r="T321" s="104"/>
      <c r="U321" s="104"/>
      <c r="V321" s="106"/>
      <c r="W321" s="106"/>
      <c r="X321" s="66"/>
      <c r="Y321" s="106"/>
      <c r="Z321" s="66"/>
      <c r="AA321" s="66"/>
      <c r="AB321" s="106"/>
      <c r="AC321" s="66"/>
      <c r="AD321" s="66"/>
      <c r="AE321" s="81"/>
      <c r="AF321" s="81"/>
      <c r="AG321" s="81"/>
      <c r="AH321" s="81"/>
      <c r="AI321" s="81"/>
      <c r="AJ321" s="81"/>
      <c r="AK321" s="81"/>
    </row>
    <row r="322">
      <c r="A322" s="81"/>
      <c r="B322" s="66"/>
      <c r="C322" s="66"/>
      <c r="D322" s="66"/>
      <c r="E322" s="106"/>
      <c r="F322" s="137"/>
      <c r="G322" s="66"/>
      <c r="H322" s="147"/>
      <c r="I322" s="137"/>
      <c r="J322" s="137"/>
      <c r="K322" s="137"/>
      <c r="L322" s="66"/>
      <c r="M322" s="107"/>
      <c r="N322" s="66"/>
      <c r="O322" s="66"/>
      <c r="P322" s="66"/>
      <c r="Q322" s="172"/>
      <c r="R322" s="104"/>
      <c r="S322" s="104"/>
      <c r="T322" s="104"/>
      <c r="U322" s="104"/>
      <c r="V322" s="106"/>
      <c r="W322" s="106"/>
      <c r="X322" s="66"/>
      <c r="Y322" s="106"/>
      <c r="Z322" s="66"/>
      <c r="AA322" s="66"/>
      <c r="AB322" s="106"/>
      <c r="AC322" s="66"/>
      <c r="AD322" s="66"/>
      <c r="AE322" s="81"/>
      <c r="AF322" s="81"/>
      <c r="AG322" s="81"/>
      <c r="AH322" s="81"/>
      <c r="AI322" s="81"/>
      <c r="AJ322" s="81"/>
      <c r="AK322" s="81"/>
    </row>
    <row r="323">
      <c r="A323" s="81"/>
      <c r="B323" s="66"/>
      <c r="C323" s="66"/>
      <c r="D323" s="66"/>
      <c r="E323" s="106"/>
      <c r="F323" s="137"/>
      <c r="G323" s="66"/>
      <c r="H323" s="147"/>
      <c r="I323" s="137"/>
      <c r="J323" s="137"/>
      <c r="K323" s="137"/>
      <c r="L323" s="66"/>
      <c r="M323" s="107"/>
      <c r="N323" s="66"/>
      <c r="O323" s="66"/>
      <c r="P323" s="66"/>
      <c r="Q323" s="172"/>
      <c r="R323" s="104"/>
      <c r="S323" s="104"/>
      <c r="T323" s="104"/>
      <c r="U323" s="104"/>
      <c r="V323" s="106"/>
      <c r="W323" s="106"/>
      <c r="X323" s="66"/>
      <c r="Y323" s="106"/>
      <c r="Z323" s="66"/>
      <c r="AA323" s="66"/>
      <c r="AB323" s="106"/>
      <c r="AC323" s="66"/>
      <c r="AD323" s="66"/>
      <c r="AE323" s="81"/>
      <c r="AF323" s="81"/>
      <c r="AG323" s="81"/>
      <c r="AH323" s="81"/>
      <c r="AI323" s="81"/>
      <c r="AJ323" s="81"/>
      <c r="AK323" s="81"/>
    </row>
    <row r="324">
      <c r="A324" s="81"/>
      <c r="B324" s="66"/>
      <c r="C324" s="66"/>
      <c r="D324" s="66"/>
      <c r="E324" s="106"/>
      <c r="F324" s="137"/>
      <c r="G324" s="66"/>
      <c r="H324" s="147"/>
      <c r="I324" s="137"/>
      <c r="J324" s="137"/>
      <c r="K324" s="137"/>
      <c r="L324" s="66"/>
      <c r="M324" s="107"/>
      <c r="N324" s="66"/>
      <c r="O324" s="66"/>
      <c r="P324" s="66"/>
      <c r="Q324" s="172"/>
      <c r="R324" s="104"/>
      <c r="S324" s="104"/>
      <c r="T324" s="104"/>
      <c r="U324" s="104"/>
      <c r="V324" s="106"/>
      <c r="W324" s="106"/>
      <c r="X324" s="66"/>
      <c r="Y324" s="106"/>
      <c r="Z324" s="66"/>
      <c r="AA324" s="66"/>
      <c r="AB324" s="106"/>
      <c r="AC324" s="66"/>
      <c r="AD324" s="66"/>
      <c r="AE324" s="81"/>
      <c r="AF324" s="81"/>
      <c r="AG324" s="81"/>
      <c r="AH324" s="81"/>
      <c r="AI324" s="81"/>
      <c r="AJ324" s="81"/>
      <c r="AK324" s="81"/>
    </row>
    <row r="325">
      <c r="A325" s="81"/>
      <c r="B325" s="66"/>
      <c r="C325" s="66"/>
      <c r="D325" s="66"/>
      <c r="E325" s="106"/>
      <c r="F325" s="137"/>
      <c r="G325" s="66"/>
      <c r="H325" s="147"/>
      <c r="I325" s="137"/>
      <c r="J325" s="137"/>
      <c r="K325" s="137"/>
      <c r="L325" s="66"/>
      <c r="M325" s="107"/>
      <c r="N325" s="66"/>
      <c r="O325" s="66"/>
      <c r="P325" s="66"/>
      <c r="Q325" s="172"/>
      <c r="R325" s="104"/>
      <c r="S325" s="104"/>
      <c r="T325" s="104"/>
      <c r="U325" s="104"/>
      <c r="V325" s="106"/>
      <c r="W325" s="106"/>
      <c r="X325" s="66"/>
      <c r="Y325" s="106"/>
      <c r="Z325" s="66"/>
      <c r="AA325" s="66"/>
      <c r="AB325" s="106"/>
      <c r="AC325" s="66"/>
      <c r="AD325" s="66"/>
      <c r="AE325" s="81"/>
      <c r="AF325" s="81"/>
      <c r="AG325" s="81"/>
      <c r="AH325" s="81"/>
      <c r="AI325" s="81"/>
      <c r="AJ325" s="81"/>
      <c r="AK325" s="81"/>
    </row>
    <row r="326">
      <c r="A326" s="81"/>
      <c r="B326" s="66"/>
      <c r="C326" s="66"/>
      <c r="D326" s="66"/>
      <c r="E326" s="106"/>
      <c r="F326" s="137"/>
      <c r="G326" s="66"/>
      <c r="H326" s="147"/>
      <c r="I326" s="137"/>
      <c r="J326" s="137"/>
      <c r="K326" s="137"/>
      <c r="L326" s="66"/>
      <c r="M326" s="107"/>
      <c r="N326" s="66"/>
      <c r="O326" s="66"/>
      <c r="P326" s="66"/>
      <c r="Q326" s="172"/>
      <c r="R326" s="104"/>
      <c r="S326" s="104"/>
      <c r="T326" s="104"/>
      <c r="U326" s="104"/>
      <c r="V326" s="106"/>
      <c r="W326" s="106"/>
      <c r="X326" s="66"/>
      <c r="Y326" s="106"/>
      <c r="Z326" s="66"/>
      <c r="AA326" s="66"/>
      <c r="AB326" s="106"/>
      <c r="AC326" s="66"/>
      <c r="AD326" s="66"/>
      <c r="AE326" s="81"/>
      <c r="AF326" s="81"/>
      <c r="AG326" s="81"/>
      <c r="AH326" s="81"/>
      <c r="AI326" s="81"/>
      <c r="AJ326" s="81"/>
      <c r="AK326" s="81"/>
    </row>
    <row r="327">
      <c r="A327" s="81"/>
      <c r="B327" s="66"/>
      <c r="C327" s="66"/>
      <c r="D327" s="66"/>
      <c r="E327" s="106"/>
      <c r="F327" s="137"/>
      <c r="G327" s="66"/>
      <c r="H327" s="147"/>
      <c r="I327" s="137"/>
      <c r="J327" s="137"/>
      <c r="K327" s="137"/>
      <c r="L327" s="66"/>
      <c r="M327" s="107"/>
      <c r="N327" s="66"/>
      <c r="O327" s="66"/>
      <c r="P327" s="66"/>
      <c r="Q327" s="172"/>
      <c r="R327" s="104"/>
      <c r="S327" s="104"/>
      <c r="T327" s="104"/>
      <c r="U327" s="104"/>
      <c r="V327" s="106"/>
      <c r="W327" s="106"/>
      <c r="X327" s="66"/>
      <c r="Y327" s="106"/>
      <c r="Z327" s="66"/>
      <c r="AA327" s="66"/>
      <c r="AB327" s="106"/>
      <c r="AC327" s="66"/>
      <c r="AD327" s="66"/>
      <c r="AE327" s="81"/>
      <c r="AF327" s="81"/>
      <c r="AG327" s="81"/>
      <c r="AH327" s="81"/>
      <c r="AI327" s="81"/>
      <c r="AJ327" s="81"/>
      <c r="AK327" s="81"/>
    </row>
    <row r="328">
      <c r="A328" s="81"/>
      <c r="B328" s="66"/>
      <c r="C328" s="66"/>
      <c r="D328" s="66"/>
      <c r="E328" s="106"/>
      <c r="F328" s="137"/>
      <c r="G328" s="66"/>
      <c r="H328" s="147"/>
      <c r="I328" s="137"/>
      <c r="J328" s="137"/>
      <c r="K328" s="137"/>
      <c r="L328" s="66"/>
      <c r="M328" s="107"/>
      <c r="N328" s="66"/>
      <c r="O328" s="66"/>
      <c r="P328" s="66"/>
      <c r="Q328" s="172"/>
      <c r="R328" s="104"/>
      <c r="S328" s="104"/>
      <c r="T328" s="104"/>
      <c r="U328" s="104"/>
      <c r="V328" s="106"/>
      <c r="W328" s="106"/>
      <c r="X328" s="66"/>
      <c r="Y328" s="106"/>
      <c r="Z328" s="66"/>
      <c r="AA328" s="66"/>
      <c r="AB328" s="106"/>
      <c r="AC328" s="66"/>
      <c r="AD328" s="66"/>
      <c r="AE328" s="81"/>
      <c r="AF328" s="81"/>
      <c r="AG328" s="81"/>
      <c r="AH328" s="81"/>
      <c r="AI328" s="81"/>
      <c r="AJ328" s="81"/>
      <c r="AK328" s="81"/>
    </row>
    <row r="329">
      <c r="A329" s="81"/>
      <c r="B329" s="66"/>
      <c r="C329" s="66"/>
      <c r="D329" s="66"/>
      <c r="E329" s="106"/>
      <c r="F329" s="137"/>
      <c r="G329" s="66"/>
      <c r="H329" s="147"/>
      <c r="I329" s="137"/>
      <c r="J329" s="137"/>
      <c r="K329" s="137"/>
      <c r="L329" s="66"/>
      <c r="M329" s="107"/>
      <c r="N329" s="66"/>
      <c r="O329" s="66"/>
      <c r="P329" s="66"/>
      <c r="Q329" s="172"/>
      <c r="R329" s="104"/>
      <c r="S329" s="104"/>
      <c r="T329" s="104"/>
      <c r="U329" s="104"/>
      <c r="V329" s="106"/>
      <c r="W329" s="106"/>
      <c r="X329" s="66"/>
      <c r="Y329" s="106"/>
      <c r="Z329" s="66"/>
      <c r="AA329" s="66"/>
      <c r="AB329" s="106"/>
      <c r="AC329" s="66"/>
      <c r="AD329" s="66"/>
      <c r="AE329" s="81"/>
      <c r="AF329" s="81"/>
      <c r="AG329" s="81"/>
      <c r="AH329" s="81"/>
      <c r="AI329" s="81"/>
      <c r="AJ329" s="81"/>
      <c r="AK329" s="81"/>
    </row>
    <row r="330">
      <c r="A330" s="81"/>
      <c r="B330" s="66"/>
      <c r="C330" s="66"/>
      <c r="D330" s="66"/>
      <c r="E330" s="106"/>
      <c r="F330" s="137"/>
      <c r="G330" s="66"/>
      <c r="H330" s="147"/>
      <c r="I330" s="137"/>
      <c r="J330" s="137"/>
      <c r="K330" s="137"/>
      <c r="L330" s="66"/>
      <c r="M330" s="107"/>
      <c r="N330" s="66"/>
      <c r="O330" s="66"/>
      <c r="P330" s="66"/>
      <c r="Q330" s="172"/>
      <c r="R330" s="104"/>
      <c r="S330" s="104"/>
      <c r="T330" s="104"/>
      <c r="U330" s="104"/>
      <c r="V330" s="106"/>
      <c r="W330" s="106"/>
      <c r="X330" s="66"/>
      <c r="Y330" s="106"/>
      <c r="Z330" s="66"/>
      <c r="AA330" s="66"/>
      <c r="AB330" s="106"/>
      <c r="AC330" s="66"/>
      <c r="AD330" s="66"/>
      <c r="AE330" s="81"/>
      <c r="AF330" s="81"/>
      <c r="AG330" s="81"/>
      <c r="AH330" s="81"/>
      <c r="AI330" s="81"/>
      <c r="AJ330" s="81"/>
      <c r="AK330" s="81"/>
    </row>
    <row r="331">
      <c r="A331" s="81"/>
      <c r="B331" s="66"/>
      <c r="C331" s="66"/>
      <c r="D331" s="66"/>
      <c r="E331" s="106"/>
      <c r="F331" s="137"/>
      <c r="G331" s="66"/>
      <c r="H331" s="147"/>
      <c r="I331" s="137"/>
      <c r="J331" s="137"/>
      <c r="K331" s="137"/>
      <c r="L331" s="66"/>
      <c r="M331" s="107"/>
      <c r="N331" s="66"/>
      <c r="O331" s="66"/>
      <c r="P331" s="66"/>
      <c r="Q331" s="172"/>
      <c r="R331" s="104"/>
      <c r="S331" s="104"/>
      <c r="T331" s="104"/>
      <c r="U331" s="104"/>
      <c r="V331" s="106"/>
      <c r="W331" s="106"/>
      <c r="X331" s="66"/>
      <c r="Y331" s="106"/>
      <c r="Z331" s="66"/>
      <c r="AA331" s="66"/>
      <c r="AB331" s="106"/>
      <c r="AC331" s="66"/>
      <c r="AD331" s="66"/>
      <c r="AE331" s="81"/>
      <c r="AF331" s="81"/>
      <c r="AG331" s="81"/>
      <c r="AH331" s="81"/>
      <c r="AI331" s="81"/>
      <c r="AJ331" s="81"/>
      <c r="AK331" s="81"/>
    </row>
    <row r="332">
      <c r="A332" s="81"/>
      <c r="B332" s="66"/>
      <c r="C332" s="66"/>
      <c r="D332" s="66"/>
      <c r="E332" s="106"/>
      <c r="F332" s="137"/>
      <c r="G332" s="66"/>
      <c r="H332" s="147"/>
      <c r="I332" s="137"/>
      <c r="J332" s="137"/>
      <c r="K332" s="137"/>
      <c r="L332" s="66"/>
      <c r="M332" s="107"/>
      <c r="N332" s="66"/>
      <c r="O332" s="66"/>
      <c r="P332" s="66"/>
      <c r="Q332" s="172"/>
      <c r="R332" s="104"/>
      <c r="S332" s="104"/>
      <c r="T332" s="104"/>
      <c r="U332" s="104"/>
      <c r="V332" s="106"/>
      <c r="W332" s="106"/>
      <c r="X332" s="66"/>
      <c r="Y332" s="106"/>
      <c r="Z332" s="66"/>
      <c r="AA332" s="66"/>
      <c r="AB332" s="106"/>
      <c r="AC332" s="66"/>
      <c r="AD332" s="66"/>
      <c r="AE332" s="81"/>
      <c r="AF332" s="81"/>
      <c r="AG332" s="81"/>
      <c r="AH332" s="81"/>
      <c r="AI332" s="81"/>
      <c r="AJ332" s="81"/>
      <c r="AK332" s="81"/>
    </row>
    <row r="333">
      <c r="A333" s="81"/>
      <c r="B333" s="66"/>
      <c r="C333" s="66"/>
      <c r="D333" s="66"/>
      <c r="E333" s="106"/>
      <c r="F333" s="137"/>
      <c r="G333" s="66"/>
      <c r="H333" s="147"/>
      <c r="I333" s="137"/>
      <c r="J333" s="137"/>
      <c r="K333" s="137"/>
      <c r="L333" s="66"/>
      <c r="M333" s="107"/>
      <c r="N333" s="66"/>
      <c r="O333" s="66"/>
      <c r="P333" s="66"/>
      <c r="Q333" s="172"/>
      <c r="R333" s="104"/>
      <c r="S333" s="104"/>
      <c r="T333" s="104"/>
      <c r="U333" s="104"/>
      <c r="V333" s="106"/>
      <c r="W333" s="106"/>
      <c r="X333" s="66"/>
      <c r="Y333" s="106"/>
      <c r="Z333" s="66"/>
      <c r="AA333" s="66"/>
      <c r="AB333" s="106"/>
      <c r="AC333" s="66"/>
      <c r="AD333" s="66"/>
      <c r="AE333" s="81"/>
      <c r="AF333" s="81"/>
      <c r="AG333" s="81"/>
      <c r="AH333" s="81"/>
      <c r="AI333" s="81"/>
      <c r="AJ333" s="81"/>
      <c r="AK333" s="81"/>
    </row>
    <row r="334">
      <c r="A334" s="81"/>
      <c r="B334" s="66"/>
      <c r="C334" s="66"/>
      <c r="D334" s="66"/>
      <c r="E334" s="106"/>
      <c r="F334" s="137"/>
      <c r="G334" s="66"/>
      <c r="H334" s="147"/>
      <c r="I334" s="137"/>
      <c r="J334" s="137"/>
      <c r="K334" s="137"/>
      <c r="L334" s="66"/>
      <c r="M334" s="107"/>
      <c r="N334" s="66"/>
      <c r="O334" s="66"/>
      <c r="P334" s="66"/>
      <c r="Q334" s="172"/>
      <c r="R334" s="104"/>
      <c r="S334" s="104"/>
      <c r="T334" s="104"/>
      <c r="U334" s="104"/>
      <c r="V334" s="106"/>
      <c r="W334" s="106"/>
      <c r="X334" s="66"/>
      <c r="Y334" s="106"/>
      <c r="Z334" s="66"/>
      <c r="AA334" s="66"/>
      <c r="AB334" s="106"/>
      <c r="AC334" s="66"/>
      <c r="AD334" s="66"/>
      <c r="AE334" s="81"/>
      <c r="AF334" s="81"/>
      <c r="AG334" s="81"/>
      <c r="AH334" s="81"/>
      <c r="AI334" s="81"/>
      <c r="AJ334" s="81"/>
      <c r="AK334" s="81"/>
    </row>
    <row r="335">
      <c r="A335" s="81"/>
      <c r="B335" s="66"/>
      <c r="C335" s="66"/>
      <c r="D335" s="66"/>
      <c r="E335" s="106"/>
      <c r="F335" s="137"/>
      <c r="G335" s="66"/>
      <c r="H335" s="147"/>
      <c r="I335" s="137"/>
      <c r="J335" s="137"/>
      <c r="K335" s="137"/>
      <c r="L335" s="66"/>
      <c r="M335" s="107"/>
      <c r="N335" s="66"/>
      <c r="O335" s="66"/>
      <c r="P335" s="66"/>
      <c r="Q335" s="172"/>
      <c r="R335" s="104"/>
      <c r="S335" s="104"/>
      <c r="T335" s="104"/>
      <c r="U335" s="104"/>
      <c r="V335" s="106"/>
      <c r="W335" s="106"/>
      <c r="X335" s="66"/>
      <c r="Y335" s="106"/>
      <c r="Z335" s="66"/>
      <c r="AA335" s="66"/>
      <c r="AB335" s="106"/>
      <c r="AC335" s="66"/>
      <c r="AD335" s="66"/>
      <c r="AE335" s="81"/>
      <c r="AF335" s="81"/>
      <c r="AG335" s="81"/>
      <c r="AH335" s="81"/>
      <c r="AI335" s="81"/>
      <c r="AJ335" s="81"/>
      <c r="AK335" s="81"/>
    </row>
    <row r="336">
      <c r="A336" s="81"/>
      <c r="B336" s="66"/>
      <c r="C336" s="66"/>
      <c r="D336" s="66"/>
      <c r="E336" s="106"/>
      <c r="F336" s="137"/>
      <c r="G336" s="66"/>
      <c r="H336" s="147"/>
      <c r="I336" s="137"/>
      <c r="J336" s="137"/>
      <c r="K336" s="137"/>
      <c r="L336" s="66"/>
      <c r="M336" s="107"/>
      <c r="N336" s="66"/>
      <c r="O336" s="66"/>
      <c r="P336" s="66"/>
      <c r="Q336" s="172"/>
      <c r="R336" s="104"/>
      <c r="S336" s="104"/>
      <c r="T336" s="104"/>
      <c r="U336" s="104"/>
      <c r="V336" s="106"/>
      <c r="W336" s="106"/>
      <c r="X336" s="66"/>
      <c r="Y336" s="106"/>
      <c r="Z336" s="66"/>
      <c r="AA336" s="66"/>
      <c r="AB336" s="106"/>
      <c r="AC336" s="66"/>
      <c r="AD336" s="66"/>
      <c r="AE336" s="81"/>
      <c r="AF336" s="81"/>
      <c r="AG336" s="81"/>
      <c r="AH336" s="81"/>
      <c r="AI336" s="81"/>
      <c r="AJ336" s="81"/>
      <c r="AK336" s="81"/>
    </row>
    <row r="337">
      <c r="A337" s="81"/>
      <c r="B337" s="66"/>
      <c r="C337" s="66"/>
      <c r="D337" s="66"/>
      <c r="E337" s="106"/>
      <c r="F337" s="137"/>
      <c r="G337" s="66"/>
      <c r="H337" s="147"/>
      <c r="I337" s="137"/>
      <c r="J337" s="137"/>
      <c r="K337" s="137"/>
      <c r="L337" s="66"/>
      <c r="M337" s="107"/>
      <c r="N337" s="66"/>
      <c r="O337" s="66"/>
      <c r="P337" s="66"/>
      <c r="Q337" s="172"/>
      <c r="R337" s="104"/>
      <c r="S337" s="104"/>
      <c r="T337" s="104"/>
      <c r="U337" s="104"/>
      <c r="V337" s="106"/>
      <c r="W337" s="106"/>
      <c r="X337" s="66"/>
      <c r="Y337" s="106"/>
      <c r="Z337" s="66"/>
      <c r="AA337" s="66"/>
      <c r="AB337" s="106"/>
      <c r="AC337" s="66"/>
      <c r="AD337" s="66"/>
      <c r="AE337" s="81"/>
      <c r="AF337" s="81"/>
      <c r="AG337" s="81"/>
      <c r="AH337" s="81"/>
      <c r="AI337" s="81"/>
      <c r="AJ337" s="81"/>
      <c r="AK337" s="81"/>
    </row>
    <row r="338">
      <c r="A338" s="81"/>
      <c r="B338" s="66"/>
      <c r="C338" s="66"/>
      <c r="D338" s="66"/>
      <c r="E338" s="106"/>
      <c r="F338" s="137"/>
      <c r="G338" s="66"/>
      <c r="H338" s="147"/>
      <c r="I338" s="137"/>
      <c r="J338" s="137"/>
      <c r="K338" s="137"/>
      <c r="L338" s="66"/>
      <c r="M338" s="107"/>
      <c r="N338" s="66"/>
      <c r="O338" s="66"/>
      <c r="P338" s="66"/>
      <c r="Q338" s="172"/>
      <c r="R338" s="104"/>
      <c r="S338" s="104"/>
      <c r="T338" s="104"/>
      <c r="U338" s="104"/>
      <c r="V338" s="106"/>
      <c r="W338" s="106"/>
      <c r="X338" s="66"/>
      <c r="Y338" s="106"/>
      <c r="Z338" s="66"/>
      <c r="AA338" s="66"/>
      <c r="AB338" s="106"/>
      <c r="AC338" s="66"/>
      <c r="AD338" s="66"/>
      <c r="AE338" s="81"/>
      <c r="AF338" s="81"/>
      <c r="AG338" s="81"/>
      <c r="AH338" s="81"/>
      <c r="AI338" s="81"/>
      <c r="AJ338" s="81"/>
      <c r="AK338" s="81"/>
    </row>
    <row r="339">
      <c r="A339" s="81"/>
      <c r="B339" s="66"/>
      <c r="C339" s="66"/>
      <c r="D339" s="66"/>
      <c r="E339" s="106"/>
      <c r="F339" s="137"/>
      <c r="G339" s="66"/>
      <c r="H339" s="147"/>
      <c r="I339" s="137"/>
      <c r="J339" s="137"/>
      <c r="K339" s="137"/>
      <c r="L339" s="66"/>
      <c r="M339" s="107"/>
      <c r="N339" s="66"/>
      <c r="O339" s="66"/>
      <c r="P339" s="66"/>
      <c r="Q339" s="172"/>
      <c r="R339" s="104"/>
      <c r="S339" s="104"/>
      <c r="T339" s="104"/>
      <c r="U339" s="104"/>
      <c r="V339" s="106"/>
      <c r="W339" s="106"/>
      <c r="X339" s="66"/>
      <c r="Y339" s="106"/>
      <c r="Z339" s="66"/>
      <c r="AA339" s="66"/>
      <c r="AB339" s="106"/>
      <c r="AC339" s="66"/>
      <c r="AD339" s="66"/>
      <c r="AE339" s="81"/>
      <c r="AF339" s="81"/>
      <c r="AG339" s="81"/>
      <c r="AH339" s="81"/>
      <c r="AI339" s="81"/>
      <c r="AJ339" s="81"/>
      <c r="AK339" s="81"/>
    </row>
    <row r="340">
      <c r="A340" s="81"/>
      <c r="B340" s="66"/>
      <c r="C340" s="66"/>
      <c r="D340" s="66"/>
      <c r="E340" s="106"/>
      <c r="F340" s="137"/>
      <c r="G340" s="66"/>
      <c r="H340" s="147"/>
      <c r="I340" s="137"/>
      <c r="J340" s="137"/>
      <c r="K340" s="137"/>
      <c r="L340" s="66"/>
      <c r="M340" s="107"/>
      <c r="N340" s="66"/>
      <c r="O340" s="66"/>
      <c r="P340" s="66"/>
      <c r="Q340" s="172"/>
      <c r="R340" s="104"/>
      <c r="S340" s="104"/>
      <c r="T340" s="104"/>
      <c r="U340" s="104"/>
      <c r="V340" s="106"/>
      <c r="W340" s="106"/>
      <c r="X340" s="66"/>
      <c r="Y340" s="106"/>
      <c r="Z340" s="66"/>
      <c r="AA340" s="66"/>
      <c r="AB340" s="106"/>
      <c r="AC340" s="66"/>
      <c r="AD340" s="66"/>
      <c r="AE340" s="81"/>
      <c r="AF340" s="81"/>
      <c r="AG340" s="81"/>
      <c r="AH340" s="81"/>
      <c r="AI340" s="81"/>
      <c r="AJ340" s="81"/>
      <c r="AK340" s="81"/>
    </row>
    <row r="341">
      <c r="A341" s="81"/>
      <c r="B341" s="66"/>
      <c r="C341" s="66"/>
      <c r="D341" s="66"/>
      <c r="E341" s="106"/>
      <c r="F341" s="137"/>
      <c r="G341" s="66"/>
      <c r="H341" s="147"/>
      <c r="I341" s="137"/>
      <c r="J341" s="137"/>
      <c r="K341" s="137"/>
      <c r="L341" s="66"/>
      <c r="M341" s="107"/>
      <c r="N341" s="66"/>
      <c r="O341" s="66"/>
      <c r="P341" s="66"/>
      <c r="Q341" s="172"/>
      <c r="R341" s="104"/>
      <c r="S341" s="104"/>
      <c r="T341" s="104"/>
      <c r="U341" s="104"/>
      <c r="V341" s="106"/>
      <c r="W341" s="106"/>
      <c r="X341" s="66"/>
      <c r="Y341" s="106"/>
      <c r="Z341" s="66"/>
      <c r="AA341" s="66"/>
      <c r="AB341" s="106"/>
      <c r="AC341" s="66"/>
      <c r="AD341" s="66"/>
      <c r="AE341" s="81"/>
      <c r="AF341" s="81"/>
      <c r="AG341" s="81"/>
      <c r="AH341" s="81"/>
      <c r="AI341" s="81"/>
      <c r="AJ341" s="81"/>
      <c r="AK341" s="81"/>
    </row>
    <row r="342">
      <c r="A342" s="81"/>
      <c r="B342" s="66"/>
      <c r="C342" s="66"/>
      <c r="D342" s="66"/>
      <c r="E342" s="106"/>
      <c r="F342" s="137"/>
      <c r="G342" s="66"/>
      <c r="H342" s="147"/>
      <c r="I342" s="137"/>
      <c r="J342" s="137"/>
      <c r="K342" s="137"/>
      <c r="L342" s="66"/>
      <c r="M342" s="107"/>
      <c r="N342" s="66"/>
      <c r="O342" s="66"/>
      <c r="P342" s="66"/>
      <c r="Q342" s="172"/>
      <c r="R342" s="104"/>
      <c r="S342" s="104"/>
      <c r="T342" s="104"/>
      <c r="U342" s="104"/>
      <c r="V342" s="106"/>
      <c r="W342" s="106"/>
      <c r="X342" s="66"/>
      <c r="Y342" s="106"/>
      <c r="Z342" s="66"/>
      <c r="AA342" s="66"/>
      <c r="AB342" s="106"/>
      <c r="AC342" s="66"/>
      <c r="AD342" s="66"/>
      <c r="AE342" s="81"/>
      <c r="AF342" s="81"/>
      <c r="AG342" s="81"/>
      <c r="AH342" s="81"/>
      <c r="AI342" s="81"/>
      <c r="AJ342" s="81"/>
      <c r="AK342" s="81"/>
    </row>
    <row r="343">
      <c r="A343" s="81"/>
      <c r="B343" s="66"/>
      <c r="C343" s="66"/>
      <c r="D343" s="66"/>
      <c r="E343" s="106"/>
      <c r="F343" s="137"/>
      <c r="G343" s="66"/>
      <c r="H343" s="147"/>
      <c r="I343" s="137"/>
      <c r="J343" s="137"/>
      <c r="K343" s="137"/>
      <c r="L343" s="66"/>
      <c r="M343" s="107"/>
      <c r="N343" s="66"/>
      <c r="O343" s="66"/>
      <c r="P343" s="66"/>
      <c r="Q343" s="172"/>
      <c r="R343" s="104"/>
      <c r="S343" s="104"/>
      <c r="T343" s="104"/>
      <c r="U343" s="104"/>
      <c r="V343" s="106"/>
      <c r="W343" s="106"/>
      <c r="X343" s="66"/>
      <c r="Y343" s="106"/>
      <c r="Z343" s="66"/>
      <c r="AA343" s="66"/>
      <c r="AB343" s="106"/>
      <c r="AC343" s="66"/>
      <c r="AD343" s="66"/>
      <c r="AE343" s="81"/>
      <c r="AF343" s="81"/>
      <c r="AG343" s="81"/>
      <c r="AH343" s="81"/>
      <c r="AI343" s="81"/>
      <c r="AJ343" s="81"/>
      <c r="AK343" s="81"/>
    </row>
    <row r="344">
      <c r="A344" s="81"/>
      <c r="B344" s="66"/>
      <c r="C344" s="66"/>
      <c r="D344" s="66"/>
      <c r="E344" s="106"/>
      <c r="F344" s="137"/>
      <c r="G344" s="66"/>
      <c r="H344" s="147"/>
      <c r="I344" s="137"/>
      <c r="J344" s="137"/>
      <c r="K344" s="137"/>
      <c r="L344" s="66"/>
      <c r="M344" s="107"/>
      <c r="N344" s="66"/>
      <c r="O344" s="66"/>
      <c r="P344" s="66"/>
      <c r="Q344" s="172"/>
      <c r="R344" s="104"/>
      <c r="S344" s="104"/>
      <c r="T344" s="104"/>
      <c r="U344" s="104"/>
      <c r="V344" s="106"/>
      <c r="W344" s="106"/>
      <c r="X344" s="66"/>
      <c r="Y344" s="106"/>
      <c r="Z344" s="66"/>
      <c r="AA344" s="66"/>
      <c r="AB344" s="106"/>
      <c r="AC344" s="66"/>
      <c r="AD344" s="66"/>
      <c r="AE344" s="81"/>
      <c r="AF344" s="81"/>
      <c r="AG344" s="81"/>
      <c r="AH344" s="81"/>
      <c r="AI344" s="81"/>
      <c r="AJ344" s="81"/>
      <c r="AK344" s="81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81"/>
      <c r="S345" s="81"/>
      <c r="T345" s="81"/>
      <c r="U345" s="81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81"/>
      <c r="S346" s="81"/>
      <c r="T346" s="81"/>
      <c r="U346" s="81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81"/>
      <c r="S347" s="81"/>
      <c r="T347" s="81"/>
      <c r="U347" s="81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81"/>
      <c r="S348" s="81"/>
      <c r="T348" s="81"/>
      <c r="U348" s="81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81"/>
      <c r="S349" s="81"/>
      <c r="T349" s="81"/>
      <c r="U349" s="81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81"/>
      <c r="S350" s="81"/>
      <c r="T350" s="81"/>
      <c r="U350" s="81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81"/>
      <c r="S351" s="81"/>
      <c r="T351" s="81"/>
      <c r="U351" s="81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81"/>
      <c r="S352" s="81"/>
      <c r="T352" s="81"/>
      <c r="U352" s="81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81"/>
      <c r="S353" s="81"/>
      <c r="T353" s="81"/>
      <c r="U353" s="81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81"/>
      <c r="S354" s="81"/>
      <c r="T354" s="81"/>
      <c r="U354" s="81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81"/>
      <c r="S355" s="81"/>
      <c r="T355" s="81"/>
      <c r="U355" s="81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81"/>
      <c r="S356" s="81"/>
      <c r="T356" s="81"/>
      <c r="U356" s="81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81"/>
      <c r="S357" s="81"/>
      <c r="T357" s="81"/>
      <c r="U357" s="81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81"/>
      <c r="S358" s="81"/>
      <c r="T358" s="81"/>
      <c r="U358" s="81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81"/>
      <c r="S359" s="81"/>
      <c r="T359" s="81"/>
      <c r="U359" s="81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81"/>
      <c r="S360" s="81"/>
      <c r="T360" s="81"/>
      <c r="U360" s="81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81"/>
      <c r="S361" s="81"/>
      <c r="T361" s="81"/>
      <c r="U361" s="81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81"/>
      <c r="S362" s="81"/>
      <c r="T362" s="81"/>
      <c r="U362" s="81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81"/>
      <c r="S363" s="81"/>
      <c r="T363" s="81"/>
      <c r="U363" s="81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81"/>
      <c r="S364" s="81"/>
      <c r="T364" s="81"/>
      <c r="U364" s="81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81"/>
      <c r="S365" s="81"/>
      <c r="T365" s="81"/>
      <c r="U365" s="81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81"/>
      <c r="S366" s="81"/>
      <c r="T366" s="81"/>
      <c r="U366" s="81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81"/>
      <c r="S367" s="81"/>
      <c r="T367" s="81"/>
      <c r="U367" s="81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81"/>
      <c r="S368" s="81"/>
      <c r="T368" s="81"/>
      <c r="U368" s="81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81"/>
      <c r="S369" s="81"/>
      <c r="T369" s="81"/>
      <c r="U369" s="81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81"/>
      <c r="S370" s="81"/>
      <c r="T370" s="81"/>
      <c r="U370" s="81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81"/>
      <c r="S371" s="81"/>
      <c r="T371" s="81"/>
      <c r="U371" s="81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81"/>
      <c r="S372" s="81"/>
      <c r="T372" s="81"/>
      <c r="U372" s="81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81"/>
      <c r="S373" s="81"/>
      <c r="T373" s="81"/>
      <c r="U373" s="81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81"/>
      <c r="S374" s="81"/>
      <c r="T374" s="81"/>
      <c r="U374" s="81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81"/>
      <c r="S375" s="81"/>
      <c r="T375" s="81"/>
      <c r="U375" s="81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81"/>
      <c r="S376" s="81"/>
      <c r="T376" s="81"/>
      <c r="U376" s="81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81"/>
      <c r="S377" s="81"/>
      <c r="T377" s="81"/>
      <c r="U377" s="81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81"/>
      <c r="S378" s="81"/>
      <c r="T378" s="81"/>
      <c r="U378" s="81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81"/>
      <c r="S379" s="81"/>
      <c r="T379" s="81"/>
      <c r="U379" s="81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81"/>
      <c r="S380" s="81"/>
      <c r="T380" s="81"/>
      <c r="U380" s="81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81"/>
      <c r="S381" s="81"/>
      <c r="T381" s="81"/>
      <c r="U381" s="81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81"/>
      <c r="S382" s="81"/>
      <c r="T382" s="81"/>
      <c r="U382" s="81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81"/>
      <c r="S383" s="81"/>
      <c r="T383" s="81"/>
      <c r="U383" s="81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81"/>
      <c r="S384" s="81"/>
      <c r="T384" s="81"/>
      <c r="U384" s="81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81"/>
      <c r="S385" s="81"/>
      <c r="T385" s="81"/>
      <c r="U385" s="81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81"/>
      <c r="S386" s="81"/>
      <c r="T386" s="81"/>
      <c r="U386" s="81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81"/>
      <c r="S387" s="81"/>
      <c r="T387" s="81"/>
      <c r="U387" s="81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81"/>
      <c r="S388" s="81"/>
      <c r="T388" s="81"/>
      <c r="U388" s="81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81"/>
      <c r="S389" s="81"/>
      <c r="T389" s="81"/>
      <c r="U389" s="81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81"/>
      <c r="S390" s="81"/>
      <c r="T390" s="81"/>
      <c r="U390" s="81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81"/>
      <c r="S391" s="81"/>
      <c r="T391" s="81"/>
      <c r="U391" s="81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81"/>
      <c r="S392" s="81"/>
      <c r="T392" s="81"/>
      <c r="U392" s="81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81"/>
      <c r="S393" s="81"/>
      <c r="T393" s="81"/>
      <c r="U393" s="81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81"/>
      <c r="S394" s="81"/>
      <c r="T394" s="81"/>
      <c r="U394" s="81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81"/>
      <c r="S395" s="81"/>
      <c r="T395" s="81"/>
      <c r="U395" s="81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81"/>
      <c r="S396" s="81"/>
      <c r="T396" s="81"/>
      <c r="U396" s="81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81"/>
      <c r="S397" s="81"/>
      <c r="T397" s="81"/>
      <c r="U397" s="81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81"/>
      <c r="S398" s="81"/>
      <c r="T398" s="81"/>
      <c r="U398" s="81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81"/>
      <c r="S399" s="81"/>
      <c r="T399" s="81"/>
      <c r="U399" s="81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81"/>
      <c r="S400" s="81"/>
      <c r="T400" s="81"/>
      <c r="U400" s="81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81"/>
      <c r="S401" s="81"/>
      <c r="T401" s="81"/>
      <c r="U401" s="81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81"/>
      <c r="S402" s="81"/>
      <c r="T402" s="81"/>
      <c r="U402" s="81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81"/>
      <c r="S403" s="81"/>
      <c r="T403" s="81"/>
      <c r="U403" s="81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81"/>
      <c r="S404" s="81"/>
      <c r="T404" s="81"/>
      <c r="U404" s="81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81"/>
      <c r="S405" s="81"/>
      <c r="T405" s="81"/>
      <c r="U405" s="81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81"/>
      <c r="S406" s="81"/>
      <c r="T406" s="81"/>
      <c r="U406" s="81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81"/>
      <c r="S407" s="81"/>
      <c r="T407" s="81"/>
      <c r="U407" s="81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81"/>
      <c r="S408" s="81"/>
      <c r="T408" s="81"/>
      <c r="U408" s="81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81"/>
      <c r="S409" s="81"/>
      <c r="T409" s="81"/>
      <c r="U409" s="81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81"/>
      <c r="S410" s="81"/>
      <c r="T410" s="81"/>
      <c r="U410" s="81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81"/>
      <c r="S411" s="81"/>
      <c r="T411" s="81"/>
      <c r="U411" s="81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81"/>
      <c r="S412" s="81"/>
      <c r="T412" s="81"/>
      <c r="U412" s="81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81"/>
      <c r="S413" s="81"/>
      <c r="T413" s="81"/>
      <c r="U413" s="81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81"/>
      <c r="S414" s="81"/>
      <c r="T414" s="81"/>
      <c r="U414" s="81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81"/>
      <c r="S415" s="81"/>
      <c r="T415" s="81"/>
      <c r="U415" s="81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81"/>
      <c r="S416" s="81"/>
      <c r="T416" s="81"/>
      <c r="U416" s="81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81"/>
      <c r="S417" s="81"/>
      <c r="T417" s="81"/>
      <c r="U417" s="81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81"/>
      <c r="S418" s="81"/>
      <c r="T418" s="81"/>
      <c r="U418" s="81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81"/>
      <c r="S419" s="81"/>
      <c r="T419" s="81"/>
      <c r="U419" s="81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81"/>
      <c r="S420" s="81"/>
      <c r="T420" s="81"/>
      <c r="U420" s="81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81"/>
      <c r="S421" s="81"/>
      <c r="T421" s="81"/>
      <c r="U421" s="81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81"/>
      <c r="S422" s="81"/>
      <c r="T422" s="81"/>
      <c r="U422" s="81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81"/>
      <c r="S423" s="81"/>
      <c r="T423" s="81"/>
      <c r="U423" s="81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81"/>
      <c r="S424" s="81"/>
      <c r="T424" s="81"/>
      <c r="U424" s="81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81"/>
      <c r="S425" s="81"/>
      <c r="T425" s="81"/>
      <c r="U425" s="81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81"/>
      <c r="S426" s="81"/>
      <c r="T426" s="81"/>
      <c r="U426" s="81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81"/>
      <c r="S427" s="81"/>
      <c r="T427" s="81"/>
      <c r="U427" s="81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81"/>
      <c r="S428" s="81"/>
      <c r="T428" s="81"/>
      <c r="U428" s="81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81"/>
      <c r="S429" s="81"/>
      <c r="T429" s="81"/>
      <c r="U429" s="81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81"/>
      <c r="S430" s="81"/>
      <c r="T430" s="81"/>
      <c r="U430" s="81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81"/>
      <c r="S431" s="81"/>
      <c r="T431" s="81"/>
      <c r="U431" s="81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81"/>
      <c r="S432" s="81"/>
      <c r="T432" s="81"/>
      <c r="U432" s="81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81"/>
      <c r="S433" s="81"/>
      <c r="T433" s="81"/>
      <c r="U433" s="81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81"/>
      <c r="S434" s="81"/>
      <c r="T434" s="81"/>
      <c r="U434" s="81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81"/>
      <c r="S435" s="81"/>
      <c r="T435" s="81"/>
      <c r="U435" s="81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81"/>
      <c r="S436" s="81"/>
      <c r="T436" s="81"/>
      <c r="U436" s="81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81"/>
      <c r="S437" s="81"/>
      <c r="T437" s="81"/>
      <c r="U437" s="81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81"/>
      <c r="S438" s="81"/>
      <c r="T438" s="81"/>
      <c r="U438" s="81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81"/>
      <c r="S439" s="81"/>
      <c r="T439" s="81"/>
      <c r="U439" s="81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81"/>
      <c r="S440" s="81"/>
      <c r="T440" s="81"/>
      <c r="U440" s="81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81"/>
      <c r="S441" s="81"/>
      <c r="T441" s="81"/>
      <c r="U441" s="81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81"/>
      <c r="S442" s="81"/>
      <c r="T442" s="81"/>
      <c r="U442" s="81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81"/>
      <c r="S443" s="81"/>
      <c r="T443" s="81"/>
      <c r="U443" s="81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81"/>
      <c r="S444" s="81"/>
      <c r="T444" s="81"/>
      <c r="U444" s="81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81"/>
      <c r="S445" s="81"/>
      <c r="T445" s="81"/>
      <c r="U445" s="81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81"/>
      <c r="S446" s="81"/>
      <c r="T446" s="81"/>
      <c r="U446" s="81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81"/>
      <c r="S447" s="81"/>
      <c r="T447" s="81"/>
      <c r="U447" s="81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81"/>
      <c r="S448" s="81"/>
      <c r="T448" s="81"/>
      <c r="U448" s="81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81"/>
      <c r="S449" s="81"/>
      <c r="T449" s="81"/>
      <c r="U449" s="81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81"/>
      <c r="S450" s="81"/>
      <c r="T450" s="81"/>
      <c r="U450" s="81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81"/>
      <c r="S451" s="81"/>
      <c r="T451" s="81"/>
      <c r="U451" s="81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81"/>
      <c r="S452" s="81"/>
      <c r="T452" s="81"/>
      <c r="U452" s="81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81"/>
      <c r="S453" s="81"/>
      <c r="T453" s="81"/>
      <c r="U453" s="81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81"/>
      <c r="S454" s="81"/>
      <c r="T454" s="81"/>
      <c r="U454" s="81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81"/>
      <c r="S455" s="81"/>
      <c r="T455" s="81"/>
      <c r="U455" s="81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81"/>
      <c r="S456" s="81"/>
      <c r="T456" s="81"/>
      <c r="U456" s="81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81"/>
      <c r="S457" s="81"/>
      <c r="T457" s="81"/>
      <c r="U457" s="81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81"/>
      <c r="S458" s="81"/>
      <c r="T458" s="81"/>
      <c r="U458" s="81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81"/>
      <c r="S459" s="81"/>
      <c r="T459" s="81"/>
      <c r="U459" s="81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81"/>
      <c r="S460" s="81"/>
      <c r="T460" s="81"/>
      <c r="U460" s="81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81"/>
      <c r="S461" s="81"/>
      <c r="T461" s="81"/>
      <c r="U461" s="81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81"/>
      <c r="S462" s="81"/>
      <c r="T462" s="81"/>
      <c r="U462" s="81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81"/>
      <c r="S463" s="81"/>
      <c r="T463" s="81"/>
      <c r="U463" s="81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81"/>
      <c r="S464" s="81"/>
      <c r="T464" s="81"/>
      <c r="U464" s="81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81"/>
      <c r="S465" s="81"/>
      <c r="T465" s="81"/>
      <c r="U465" s="81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81"/>
      <c r="S466" s="81"/>
      <c r="T466" s="81"/>
      <c r="U466" s="81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81"/>
      <c r="S467" s="81"/>
      <c r="T467" s="81"/>
      <c r="U467" s="81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81"/>
      <c r="S468" s="81"/>
      <c r="T468" s="81"/>
      <c r="U468" s="81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81"/>
      <c r="S469" s="81"/>
      <c r="T469" s="81"/>
      <c r="U469" s="81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81"/>
      <c r="S470" s="81"/>
      <c r="T470" s="81"/>
      <c r="U470" s="81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81"/>
      <c r="S471" s="81"/>
      <c r="T471" s="81"/>
      <c r="U471" s="81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81"/>
      <c r="S472" s="81"/>
      <c r="T472" s="81"/>
      <c r="U472" s="81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81"/>
      <c r="S473" s="81"/>
      <c r="T473" s="81"/>
      <c r="U473" s="81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81"/>
      <c r="S474" s="81"/>
      <c r="T474" s="81"/>
      <c r="U474" s="81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81"/>
      <c r="S475" s="81"/>
      <c r="T475" s="81"/>
      <c r="U475" s="81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81"/>
      <c r="S476" s="81"/>
      <c r="T476" s="81"/>
      <c r="U476" s="81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81"/>
      <c r="S477" s="81"/>
      <c r="T477" s="81"/>
      <c r="U477" s="81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81"/>
      <c r="S478" s="81"/>
      <c r="T478" s="81"/>
      <c r="U478" s="81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81"/>
      <c r="S479" s="81"/>
      <c r="T479" s="81"/>
      <c r="U479" s="81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81"/>
      <c r="S480" s="81"/>
      <c r="T480" s="81"/>
      <c r="U480" s="81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81"/>
      <c r="S481" s="81"/>
      <c r="T481" s="81"/>
      <c r="U481" s="81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81"/>
      <c r="S482" s="81"/>
      <c r="T482" s="81"/>
      <c r="U482" s="81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81"/>
      <c r="S483" s="81"/>
      <c r="T483" s="81"/>
      <c r="U483" s="81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81"/>
      <c r="S484" s="81"/>
      <c r="T484" s="81"/>
      <c r="U484" s="81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81"/>
      <c r="S485" s="81"/>
      <c r="T485" s="81"/>
      <c r="U485" s="81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81"/>
      <c r="S486" s="81"/>
      <c r="T486" s="81"/>
      <c r="U486" s="81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81"/>
      <c r="S487" s="81"/>
      <c r="T487" s="81"/>
      <c r="U487" s="81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81"/>
      <c r="S488" s="81"/>
      <c r="T488" s="81"/>
      <c r="U488" s="81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81"/>
      <c r="S489" s="81"/>
      <c r="T489" s="81"/>
      <c r="U489" s="81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81"/>
      <c r="S490" s="81"/>
      <c r="T490" s="81"/>
      <c r="U490" s="81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81"/>
      <c r="S491" s="81"/>
      <c r="T491" s="81"/>
      <c r="U491" s="81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81"/>
      <c r="S492" s="81"/>
      <c r="T492" s="81"/>
      <c r="U492" s="81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81"/>
      <c r="S493" s="81"/>
      <c r="T493" s="81"/>
      <c r="U493" s="81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81"/>
      <c r="S494" s="81"/>
      <c r="T494" s="81"/>
      <c r="U494" s="81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81"/>
      <c r="S495" s="81"/>
      <c r="T495" s="81"/>
      <c r="U495" s="81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81"/>
      <c r="S496" s="81"/>
      <c r="T496" s="81"/>
      <c r="U496" s="81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81"/>
      <c r="S497" s="81"/>
      <c r="T497" s="81"/>
      <c r="U497" s="81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81"/>
      <c r="S498" s="81"/>
      <c r="T498" s="81"/>
      <c r="U498" s="81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81"/>
      <c r="S499" s="81"/>
      <c r="T499" s="81"/>
      <c r="U499" s="81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81"/>
      <c r="S500" s="81"/>
      <c r="T500" s="81"/>
      <c r="U500" s="81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81"/>
      <c r="S501" s="81"/>
      <c r="T501" s="81"/>
      <c r="U501" s="81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81"/>
      <c r="S502" s="81"/>
      <c r="T502" s="81"/>
      <c r="U502" s="81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81"/>
      <c r="S503" s="81"/>
      <c r="T503" s="81"/>
      <c r="U503" s="81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81"/>
      <c r="S504" s="81"/>
      <c r="T504" s="81"/>
      <c r="U504" s="81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81"/>
      <c r="S505" s="81"/>
      <c r="T505" s="81"/>
      <c r="U505" s="81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81"/>
      <c r="S506" s="81"/>
      <c r="T506" s="81"/>
      <c r="U506" s="81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81"/>
      <c r="S507" s="81"/>
      <c r="T507" s="81"/>
      <c r="U507" s="81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81"/>
      <c r="S508" s="81"/>
      <c r="T508" s="81"/>
      <c r="U508" s="81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81"/>
      <c r="S509" s="81"/>
      <c r="T509" s="81"/>
      <c r="U509" s="81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81"/>
      <c r="S510" s="81"/>
      <c r="T510" s="81"/>
      <c r="U510" s="81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81"/>
      <c r="S511" s="81"/>
      <c r="T511" s="81"/>
      <c r="U511" s="81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81"/>
      <c r="S512" s="81"/>
      <c r="T512" s="81"/>
      <c r="U512" s="81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81"/>
      <c r="S513" s="81"/>
      <c r="T513" s="81"/>
      <c r="U513" s="81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81"/>
      <c r="S514" s="81"/>
      <c r="T514" s="81"/>
      <c r="U514" s="81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81"/>
      <c r="S515" s="81"/>
      <c r="T515" s="81"/>
      <c r="U515" s="81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81"/>
      <c r="S516" s="81"/>
      <c r="T516" s="81"/>
      <c r="U516" s="81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81"/>
      <c r="S517" s="81"/>
      <c r="T517" s="81"/>
      <c r="U517" s="81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81"/>
      <c r="S518" s="81"/>
      <c r="T518" s="81"/>
      <c r="U518" s="81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81"/>
      <c r="S519" s="81"/>
      <c r="T519" s="81"/>
      <c r="U519" s="81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81"/>
      <c r="S520" s="81"/>
      <c r="T520" s="81"/>
      <c r="U520" s="81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81"/>
      <c r="S521" s="81"/>
      <c r="T521" s="81"/>
      <c r="U521" s="81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81"/>
      <c r="S522" s="81"/>
      <c r="T522" s="81"/>
      <c r="U522" s="81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81"/>
      <c r="S523" s="81"/>
      <c r="T523" s="81"/>
      <c r="U523" s="81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81"/>
      <c r="S524" s="81"/>
      <c r="T524" s="81"/>
      <c r="U524" s="81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81"/>
      <c r="S525" s="81"/>
      <c r="T525" s="81"/>
      <c r="U525" s="81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81"/>
      <c r="S526" s="81"/>
      <c r="T526" s="81"/>
      <c r="U526" s="81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81"/>
      <c r="S527" s="81"/>
      <c r="T527" s="81"/>
      <c r="U527" s="81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81"/>
      <c r="S528" s="81"/>
      <c r="T528" s="81"/>
      <c r="U528" s="81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81"/>
      <c r="S529" s="81"/>
      <c r="T529" s="81"/>
      <c r="U529" s="81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81"/>
      <c r="S530" s="81"/>
      <c r="T530" s="81"/>
      <c r="U530" s="81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81"/>
      <c r="S531" s="81"/>
      <c r="T531" s="81"/>
      <c r="U531" s="81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81"/>
      <c r="S532" s="81"/>
      <c r="T532" s="81"/>
      <c r="U532" s="81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81"/>
      <c r="S533" s="81"/>
      <c r="T533" s="81"/>
      <c r="U533" s="81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81"/>
      <c r="S534" s="81"/>
      <c r="T534" s="81"/>
      <c r="U534" s="81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81"/>
      <c r="S535" s="81"/>
      <c r="T535" s="81"/>
      <c r="U535" s="81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81"/>
      <c r="S536" s="81"/>
      <c r="T536" s="81"/>
      <c r="U536" s="81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81"/>
      <c r="S537" s="81"/>
      <c r="T537" s="81"/>
      <c r="U537" s="81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81"/>
      <c r="S538" s="81"/>
      <c r="T538" s="81"/>
      <c r="U538" s="81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81"/>
      <c r="S539" s="81"/>
      <c r="T539" s="81"/>
      <c r="U539" s="81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81"/>
      <c r="S540" s="81"/>
      <c r="T540" s="81"/>
      <c r="U540" s="81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81"/>
      <c r="S541" s="81"/>
      <c r="T541" s="81"/>
      <c r="U541" s="81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81"/>
      <c r="S542" s="81"/>
      <c r="T542" s="81"/>
      <c r="U542" s="81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81"/>
      <c r="S543" s="81"/>
      <c r="T543" s="81"/>
      <c r="U543" s="81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81"/>
      <c r="S544" s="81"/>
      <c r="T544" s="81"/>
      <c r="U544" s="81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81"/>
      <c r="S545" s="81"/>
      <c r="T545" s="81"/>
      <c r="U545" s="81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81"/>
      <c r="S546" s="81"/>
      <c r="T546" s="81"/>
      <c r="U546" s="81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81"/>
      <c r="S547" s="81"/>
      <c r="T547" s="81"/>
      <c r="U547" s="81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81"/>
      <c r="S548" s="81"/>
      <c r="T548" s="81"/>
      <c r="U548" s="81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81"/>
      <c r="S549" s="81"/>
      <c r="T549" s="81"/>
      <c r="U549" s="81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81"/>
      <c r="S550" s="81"/>
      <c r="T550" s="81"/>
      <c r="U550" s="81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81"/>
      <c r="S551" s="81"/>
      <c r="T551" s="81"/>
      <c r="U551" s="81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81"/>
      <c r="S552" s="81"/>
      <c r="T552" s="81"/>
      <c r="U552" s="81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81"/>
      <c r="S553" s="81"/>
      <c r="T553" s="81"/>
      <c r="U553" s="81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81"/>
      <c r="S554" s="81"/>
      <c r="T554" s="81"/>
      <c r="U554" s="81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81"/>
      <c r="S555" s="81"/>
      <c r="T555" s="81"/>
      <c r="U555" s="81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81"/>
      <c r="S556" s="81"/>
      <c r="T556" s="81"/>
      <c r="U556" s="81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81"/>
      <c r="S557" s="81"/>
      <c r="T557" s="81"/>
      <c r="U557" s="81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81"/>
      <c r="S558" s="81"/>
      <c r="T558" s="81"/>
      <c r="U558" s="81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81"/>
      <c r="S559" s="81"/>
      <c r="T559" s="81"/>
      <c r="U559" s="81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81"/>
      <c r="S560" s="81"/>
      <c r="T560" s="81"/>
      <c r="U560" s="81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81"/>
      <c r="S561" s="81"/>
      <c r="T561" s="81"/>
      <c r="U561" s="81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81"/>
      <c r="S562" s="81"/>
      <c r="T562" s="81"/>
      <c r="U562" s="81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81"/>
      <c r="S563" s="81"/>
      <c r="T563" s="81"/>
      <c r="U563" s="81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81"/>
      <c r="S564" s="81"/>
      <c r="T564" s="81"/>
      <c r="U564" s="81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81"/>
      <c r="S565" s="81"/>
      <c r="T565" s="81"/>
      <c r="U565" s="81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81"/>
      <c r="S566" s="81"/>
      <c r="T566" s="81"/>
      <c r="U566" s="81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81"/>
      <c r="S567" s="81"/>
      <c r="T567" s="81"/>
      <c r="U567" s="81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81"/>
      <c r="S568" s="81"/>
      <c r="T568" s="81"/>
      <c r="U568" s="81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81"/>
      <c r="S569" s="81"/>
      <c r="T569" s="81"/>
      <c r="U569" s="81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81"/>
      <c r="S570" s="81"/>
      <c r="T570" s="81"/>
      <c r="U570" s="81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81"/>
      <c r="S571" s="81"/>
      <c r="T571" s="81"/>
      <c r="U571" s="81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81"/>
      <c r="S572" s="81"/>
      <c r="T572" s="81"/>
      <c r="U572" s="81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81"/>
      <c r="S573" s="81"/>
      <c r="T573" s="81"/>
      <c r="U573" s="81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81"/>
      <c r="S574" s="81"/>
      <c r="T574" s="81"/>
      <c r="U574" s="81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81"/>
      <c r="S575" s="81"/>
      <c r="T575" s="81"/>
      <c r="U575" s="81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81"/>
      <c r="S576" s="81"/>
      <c r="T576" s="81"/>
      <c r="U576" s="81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81"/>
      <c r="S577" s="81"/>
      <c r="T577" s="81"/>
      <c r="U577" s="81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81"/>
      <c r="S578" s="81"/>
      <c r="T578" s="81"/>
      <c r="U578" s="81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81"/>
      <c r="S579" s="81"/>
      <c r="T579" s="81"/>
      <c r="U579" s="81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81"/>
      <c r="S580" s="81"/>
      <c r="T580" s="81"/>
      <c r="U580" s="81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81"/>
      <c r="S581" s="81"/>
      <c r="T581" s="81"/>
      <c r="U581" s="81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81"/>
      <c r="S582" s="81"/>
      <c r="T582" s="81"/>
      <c r="U582" s="81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81"/>
      <c r="S583" s="81"/>
      <c r="T583" s="81"/>
      <c r="U583" s="81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81"/>
      <c r="S584" s="81"/>
      <c r="T584" s="81"/>
      <c r="U584" s="81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81"/>
      <c r="S585" s="81"/>
      <c r="T585" s="81"/>
      <c r="U585" s="81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81"/>
      <c r="S586" s="81"/>
      <c r="T586" s="81"/>
      <c r="U586" s="81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81"/>
      <c r="S587" s="81"/>
      <c r="T587" s="81"/>
      <c r="U587" s="81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81"/>
      <c r="S588" s="81"/>
      <c r="T588" s="81"/>
      <c r="U588" s="81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81"/>
      <c r="S589" s="81"/>
      <c r="T589" s="81"/>
      <c r="U589" s="81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81"/>
      <c r="S590" s="81"/>
      <c r="T590" s="81"/>
      <c r="U590" s="81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81"/>
      <c r="S591" s="81"/>
      <c r="T591" s="81"/>
      <c r="U591" s="81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81"/>
      <c r="S592" s="81"/>
      <c r="T592" s="81"/>
      <c r="U592" s="81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81"/>
      <c r="S593" s="81"/>
      <c r="T593" s="81"/>
      <c r="U593" s="81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81"/>
      <c r="S594" s="81"/>
      <c r="T594" s="81"/>
      <c r="U594" s="81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81"/>
      <c r="S595" s="81"/>
      <c r="T595" s="81"/>
      <c r="U595" s="81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81"/>
      <c r="S596" s="81"/>
      <c r="T596" s="81"/>
      <c r="U596" s="81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81"/>
      <c r="S597" s="81"/>
      <c r="T597" s="81"/>
      <c r="U597" s="81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81"/>
      <c r="S598" s="81"/>
      <c r="T598" s="81"/>
      <c r="U598" s="81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81"/>
      <c r="S599" s="81"/>
      <c r="T599" s="81"/>
      <c r="U599" s="81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81"/>
      <c r="S600" s="81"/>
      <c r="T600" s="81"/>
      <c r="U600" s="81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81"/>
      <c r="S601" s="81"/>
      <c r="T601" s="81"/>
      <c r="U601" s="81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81"/>
      <c r="S602" s="81"/>
      <c r="T602" s="81"/>
      <c r="U602" s="81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81"/>
      <c r="S603" s="81"/>
      <c r="T603" s="81"/>
      <c r="U603" s="81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81"/>
      <c r="S604" s="81"/>
      <c r="T604" s="81"/>
      <c r="U604" s="81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81"/>
      <c r="S605" s="81"/>
      <c r="T605" s="81"/>
      <c r="U605" s="81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81"/>
      <c r="S606" s="81"/>
      <c r="T606" s="81"/>
      <c r="U606" s="81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81"/>
      <c r="S607" s="81"/>
      <c r="T607" s="81"/>
      <c r="U607" s="81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81"/>
      <c r="S608" s="81"/>
      <c r="T608" s="81"/>
      <c r="U608" s="81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81"/>
      <c r="S609" s="81"/>
      <c r="T609" s="81"/>
      <c r="U609" s="81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81"/>
      <c r="S610" s="81"/>
      <c r="T610" s="81"/>
      <c r="U610" s="81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81"/>
      <c r="S611" s="81"/>
      <c r="T611" s="81"/>
      <c r="U611" s="81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81"/>
      <c r="S612" s="81"/>
      <c r="T612" s="81"/>
      <c r="U612" s="81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81"/>
      <c r="S613" s="81"/>
      <c r="T613" s="81"/>
      <c r="U613" s="81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81"/>
      <c r="S614" s="81"/>
      <c r="T614" s="81"/>
      <c r="U614" s="81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81"/>
      <c r="S615" s="81"/>
      <c r="T615" s="81"/>
      <c r="U615" s="81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81"/>
      <c r="S616" s="81"/>
      <c r="T616" s="81"/>
      <c r="U616" s="81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81"/>
      <c r="S617" s="81"/>
      <c r="T617" s="81"/>
      <c r="U617" s="81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81"/>
      <c r="S618" s="81"/>
      <c r="T618" s="81"/>
      <c r="U618" s="81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81"/>
      <c r="S619" s="81"/>
      <c r="T619" s="81"/>
      <c r="U619" s="81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81"/>
      <c r="S620" s="81"/>
      <c r="T620" s="81"/>
      <c r="U620" s="81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81"/>
      <c r="S621" s="81"/>
      <c r="T621" s="81"/>
      <c r="U621" s="81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81"/>
      <c r="S622" s="81"/>
      <c r="T622" s="81"/>
      <c r="U622" s="81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81"/>
      <c r="S623" s="81"/>
      <c r="T623" s="81"/>
      <c r="U623" s="81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81"/>
      <c r="S624" s="81"/>
      <c r="T624" s="81"/>
      <c r="U624" s="81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81"/>
      <c r="S625" s="81"/>
      <c r="T625" s="81"/>
      <c r="U625" s="81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81"/>
      <c r="S626" s="81"/>
      <c r="T626" s="81"/>
      <c r="U626" s="81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81"/>
      <c r="S627" s="81"/>
      <c r="T627" s="81"/>
      <c r="U627" s="81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81"/>
      <c r="S628" s="81"/>
      <c r="T628" s="81"/>
      <c r="U628" s="81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81"/>
      <c r="S629" s="81"/>
      <c r="T629" s="81"/>
      <c r="U629" s="81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81"/>
      <c r="S630" s="81"/>
      <c r="T630" s="81"/>
      <c r="U630" s="81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81"/>
      <c r="S631" s="81"/>
      <c r="T631" s="81"/>
      <c r="U631" s="81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81"/>
      <c r="S632" s="81"/>
      <c r="T632" s="81"/>
      <c r="U632" s="81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81"/>
      <c r="S633" s="81"/>
      <c r="T633" s="81"/>
      <c r="U633" s="81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81"/>
      <c r="S634" s="81"/>
      <c r="T634" s="81"/>
      <c r="U634" s="81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81"/>
      <c r="S635" s="81"/>
      <c r="T635" s="81"/>
      <c r="U635" s="81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81"/>
      <c r="S636" s="81"/>
      <c r="T636" s="81"/>
      <c r="U636" s="81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81"/>
      <c r="S637" s="81"/>
      <c r="T637" s="81"/>
      <c r="U637" s="81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81"/>
      <c r="S638" s="81"/>
      <c r="T638" s="81"/>
      <c r="U638" s="81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81"/>
      <c r="S639" s="81"/>
      <c r="T639" s="81"/>
      <c r="U639" s="81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81"/>
      <c r="S640" s="81"/>
      <c r="T640" s="81"/>
      <c r="U640" s="81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81"/>
      <c r="S641" s="81"/>
      <c r="T641" s="81"/>
      <c r="U641" s="81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81"/>
      <c r="S642" s="81"/>
      <c r="T642" s="81"/>
      <c r="U642" s="81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81"/>
      <c r="S643" s="81"/>
      <c r="T643" s="81"/>
      <c r="U643" s="81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81"/>
      <c r="S644" s="81"/>
      <c r="T644" s="81"/>
      <c r="U644" s="81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81"/>
      <c r="S645" s="81"/>
      <c r="T645" s="81"/>
      <c r="U645" s="81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81"/>
      <c r="S646" s="81"/>
      <c r="T646" s="81"/>
      <c r="U646" s="81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81"/>
      <c r="S647" s="81"/>
      <c r="T647" s="81"/>
      <c r="U647" s="81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81"/>
      <c r="S648" s="81"/>
      <c r="T648" s="81"/>
      <c r="U648" s="81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81"/>
      <c r="S649" s="81"/>
      <c r="T649" s="81"/>
      <c r="U649" s="81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81"/>
      <c r="S650" s="81"/>
      <c r="T650" s="81"/>
      <c r="U650" s="81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81"/>
      <c r="S651" s="81"/>
      <c r="T651" s="81"/>
      <c r="U651" s="81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81"/>
      <c r="S652" s="81"/>
      <c r="T652" s="81"/>
      <c r="U652" s="81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81"/>
      <c r="S653" s="81"/>
      <c r="T653" s="81"/>
      <c r="U653" s="81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81"/>
      <c r="S654" s="81"/>
      <c r="T654" s="81"/>
      <c r="U654" s="81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81"/>
      <c r="S655" s="81"/>
      <c r="T655" s="81"/>
      <c r="U655" s="81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81"/>
      <c r="S656" s="81"/>
      <c r="T656" s="81"/>
      <c r="U656" s="81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81"/>
      <c r="S657" s="81"/>
      <c r="T657" s="81"/>
      <c r="U657" s="81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81"/>
      <c r="S658" s="81"/>
      <c r="T658" s="81"/>
      <c r="U658" s="81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81"/>
      <c r="S659" s="81"/>
      <c r="T659" s="81"/>
      <c r="U659" s="81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81"/>
      <c r="S660" s="81"/>
      <c r="T660" s="81"/>
      <c r="U660" s="81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81"/>
      <c r="S661" s="81"/>
      <c r="T661" s="81"/>
      <c r="U661" s="81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81"/>
      <c r="S662" s="81"/>
      <c r="T662" s="81"/>
      <c r="U662" s="81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81"/>
      <c r="S663" s="81"/>
      <c r="T663" s="81"/>
      <c r="U663" s="81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81"/>
      <c r="S664" s="81"/>
      <c r="T664" s="81"/>
      <c r="U664" s="81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81"/>
      <c r="S665" s="81"/>
      <c r="T665" s="81"/>
      <c r="U665" s="81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81"/>
      <c r="S666" s="81"/>
      <c r="T666" s="81"/>
      <c r="U666" s="81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81"/>
      <c r="S667" s="81"/>
      <c r="T667" s="81"/>
      <c r="U667" s="81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81"/>
      <c r="S668" s="81"/>
      <c r="T668" s="81"/>
      <c r="U668" s="81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81"/>
      <c r="S669" s="81"/>
      <c r="T669" s="81"/>
      <c r="U669" s="81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81"/>
      <c r="S670" s="81"/>
      <c r="T670" s="81"/>
      <c r="U670" s="81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81"/>
      <c r="S671" s="81"/>
      <c r="T671" s="81"/>
      <c r="U671" s="81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81"/>
      <c r="S672" s="81"/>
      <c r="T672" s="81"/>
      <c r="U672" s="81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81"/>
      <c r="S673" s="81"/>
      <c r="T673" s="81"/>
      <c r="U673" s="81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81"/>
      <c r="S674" s="81"/>
      <c r="T674" s="81"/>
      <c r="U674" s="81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81"/>
      <c r="S675" s="81"/>
      <c r="T675" s="81"/>
      <c r="U675" s="81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81"/>
      <c r="S676" s="81"/>
      <c r="T676" s="81"/>
      <c r="U676" s="81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81"/>
      <c r="S677" s="81"/>
      <c r="T677" s="81"/>
      <c r="U677" s="81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81"/>
      <c r="S678" s="81"/>
      <c r="T678" s="81"/>
      <c r="U678" s="81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81"/>
      <c r="S679" s="81"/>
      <c r="T679" s="81"/>
      <c r="U679" s="81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81"/>
      <c r="S680" s="81"/>
      <c r="T680" s="81"/>
      <c r="U680" s="81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81"/>
      <c r="S681" s="81"/>
      <c r="T681" s="81"/>
      <c r="U681" s="81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81"/>
      <c r="S682" s="81"/>
      <c r="T682" s="81"/>
      <c r="U682" s="81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81"/>
      <c r="S683" s="81"/>
      <c r="T683" s="81"/>
      <c r="U683" s="81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81"/>
      <c r="S684" s="81"/>
      <c r="T684" s="81"/>
      <c r="U684" s="81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81"/>
      <c r="S685" s="81"/>
      <c r="T685" s="81"/>
      <c r="U685" s="81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81"/>
      <c r="S686" s="81"/>
      <c r="T686" s="81"/>
      <c r="U686" s="81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81"/>
      <c r="S687" s="81"/>
      <c r="T687" s="81"/>
      <c r="U687" s="81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81"/>
      <c r="S688" s="81"/>
      <c r="T688" s="81"/>
      <c r="U688" s="81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81"/>
      <c r="S689" s="81"/>
      <c r="T689" s="81"/>
      <c r="U689" s="81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81"/>
      <c r="S690" s="81"/>
      <c r="T690" s="81"/>
      <c r="U690" s="81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81"/>
      <c r="S691" s="81"/>
      <c r="T691" s="81"/>
      <c r="U691" s="81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81"/>
      <c r="S692" s="81"/>
      <c r="T692" s="81"/>
      <c r="U692" s="81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81"/>
      <c r="S693" s="81"/>
      <c r="T693" s="81"/>
      <c r="U693" s="81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81"/>
      <c r="S694" s="81"/>
      <c r="T694" s="81"/>
      <c r="U694" s="81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81"/>
      <c r="S695" s="81"/>
      <c r="T695" s="81"/>
      <c r="U695" s="81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81"/>
      <c r="S696" s="81"/>
      <c r="T696" s="81"/>
      <c r="U696" s="81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81"/>
      <c r="S697" s="81"/>
      <c r="T697" s="81"/>
      <c r="U697" s="81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81"/>
      <c r="S698" s="81"/>
      <c r="T698" s="81"/>
      <c r="U698" s="81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81"/>
      <c r="S699" s="81"/>
      <c r="T699" s="81"/>
      <c r="U699" s="81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81"/>
      <c r="S700" s="81"/>
      <c r="T700" s="81"/>
      <c r="U700" s="81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81"/>
      <c r="S701" s="81"/>
      <c r="T701" s="81"/>
      <c r="U701" s="81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81"/>
      <c r="S702" s="81"/>
      <c r="T702" s="81"/>
      <c r="U702" s="81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81"/>
      <c r="S703" s="81"/>
      <c r="T703" s="81"/>
      <c r="U703" s="81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81"/>
      <c r="S704" s="81"/>
      <c r="T704" s="81"/>
      <c r="U704" s="81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81"/>
      <c r="S705" s="81"/>
      <c r="T705" s="81"/>
      <c r="U705" s="81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81"/>
      <c r="S706" s="81"/>
      <c r="T706" s="81"/>
      <c r="U706" s="81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81"/>
      <c r="S707" s="81"/>
      <c r="T707" s="81"/>
      <c r="U707" s="81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81"/>
      <c r="S708" s="81"/>
      <c r="T708" s="81"/>
      <c r="U708" s="81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81"/>
      <c r="S709" s="81"/>
      <c r="T709" s="81"/>
      <c r="U709" s="81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81"/>
      <c r="S710" s="81"/>
      <c r="T710" s="81"/>
      <c r="U710" s="81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81"/>
      <c r="S711" s="81"/>
      <c r="T711" s="81"/>
      <c r="U711" s="81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81"/>
      <c r="S712" s="81"/>
      <c r="T712" s="81"/>
      <c r="U712" s="81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81"/>
      <c r="S713" s="81"/>
      <c r="T713" s="81"/>
      <c r="U713" s="81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81"/>
      <c r="S714" s="81"/>
      <c r="T714" s="81"/>
      <c r="U714" s="81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81"/>
      <c r="S715" s="81"/>
      <c r="T715" s="81"/>
      <c r="U715" s="81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81"/>
      <c r="S716" s="81"/>
      <c r="T716" s="81"/>
      <c r="U716" s="81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81"/>
      <c r="S717" s="81"/>
      <c r="T717" s="81"/>
      <c r="U717" s="81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81"/>
      <c r="S718" s="81"/>
      <c r="T718" s="81"/>
      <c r="U718" s="81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81"/>
      <c r="S719" s="81"/>
      <c r="T719" s="81"/>
      <c r="U719" s="81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81"/>
      <c r="S720" s="81"/>
      <c r="T720" s="81"/>
      <c r="U720" s="81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81"/>
      <c r="S721" s="81"/>
      <c r="T721" s="81"/>
      <c r="U721" s="81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81"/>
      <c r="S722" s="81"/>
      <c r="T722" s="81"/>
      <c r="U722" s="81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81"/>
      <c r="S723" s="81"/>
      <c r="T723" s="81"/>
      <c r="U723" s="81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81"/>
      <c r="S724" s="81"/>
      <c r="T724" s="81"/>
      <c r="U724" s="81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81"/>
      <c r="S725" s="81"/>
      <c r="T725" s="81"/>
      <c r="U725" s="81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81"/>
      <c r="S726" s="81"/>
      <c r="T726" s="81"/>
      <c r="U726" s="81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81"/>
      <c r="S727" s="81"/>
      <c r="T727" s="81"/>
      <c r="U727" s="81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81"/>
      <c r="S728" s="81"/>
      <c r="T728" s="81"/>
      <c r="U728" s="81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81"/>
      <c r="S729" s="81"/>
      <c r="T729" s="81"/>
      <c r="U729" s="81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81"/>
      <c r="S730" s="81"/>
      <c r="T730" s="81"/>
      <c r="U730" s="81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81"/>
      <c r="S731" s="81"/>
      <c r="T731" s="81"/>
      <c r="U731" s="81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81"/>
      <c r="S732" s="81"/>
      <c r="T732" s="81"/>
      <c r="U732" s="81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81"/>
      <c r="S733" s="81"/>
      <c r="T733" s="81"/>
      <c r="U733" s="81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81"/>
      <c r="S734" s="81"/>
      <c r="T734" s="81"/>
      <c r="U734" s="81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81"/>
      <c r="S735" s="81"/>
      <c r="T735" s="81"/>
      <c r="U735" s="81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81"/>
      <c r="S736" s="81"/>
      <c r="T736" s="81"/>
      <c r="U736" s="81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81"/>
      <c r="S737" s="81"/>
      <c r="T737" s="81"/>
      <c r="U737" s="81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81"/>
      <c r="S738" s="81"/>
      <c r="T738" s="81"/>
      <c r="U738" s="81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81"/>
      <c r="S739" s="81"/>
      <c r="T739" s="81"/>
      <c r="U739" s="81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81"/>
      <c r="S740" s="81"/>
      <c r="T740" s="81"/>
      <c r="U740" s="81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81"/>
      <c r="S741" s="81"/>
      <c r="T741" s="81"/>
      <c r="U741" s="81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81"/>
      <c r="S742" s="81"/>
      <c r="T742" s="81"/>
      <c r="U742" s="81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81"/>
      <c r="S743" s="81"/>
      <c r="T743" s="81"/>
      <c r="U743" s="81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81"/>
      <c r="S744" s="81"/>
      <c r="T744" s="81"/>
      <c r="U744" s="81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81"/>
      <c r="S745" s="81"/>
      <c r="T745" s="81"/>
      <c r="U745" s="81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81"/>
      <c r="S746" s="81"/>
      <c r="T746" s="81"/>
      <c r="U746" s="81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81"/>
      <c r="S747" s="81"/>
      <c r="T747" s="81"/>
      <c r="U747" s="81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81"/>
      <c r="S748" s="81"/>
      <c r="T748" s="81"/>
      <c r="U748" s="81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81"/>
      <c r="S749" s="81"/>
      <c r="T749" s="81"/>
      <c r="U749" s="81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81"/>
      <c r="S750" s="81"/>
      <c r="T750" s="81"/>
      <c r="U750" s="81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81"/>
      <c r="S751" s="81"/>
      <c r="T751" s="81"/>
      <c r="U751" s="81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81"/>
      <c r="S752" s="81"/>
      <c r="T752" s="81"/>
      <c r="U752" s="81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81"/>
      <c r="S753" s="81"/>
      <c r="T753" s="81"/>
      <c r="U753" s="81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81"/>
      <c r="S754" s="81"/>
      <c r="T754" s="81"/>
      <c r="U754" s="81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81"/>
      <c r="S755" s="81"/>
      <c r="T755" s="81"/>
      <c r="U755" s="81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81"/>
      <c r="S756" s="81"/>
      <c r="T756" s="81"/>
      <c r="U756" s="81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81"/>
      <c r="S757" s="81"/>
      <c r="T757" s="81"/>
      <c r="U757" s="81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81"/>
      <c r="S758" s="81"/>
      <c r="T758" s="81"/>
      <c r="U758" s="81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81"/>
      <c r="S759" s="81"/>
      <c r="T759" s="81"/>
      <c r="U759" s="81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81"/>
      <c r="S760" s="81"/>
      <c r="T760" s="81"/>
      <c r="U760" s="81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81"/>
      <c r="S761" s="81"/>
      <c r="T761" s="81"/>
      <c r="U761" s="81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81"/>
      <c r="S762" s="81"/>
      <c r="T762" s="81"/>
      <c r="U762" s="81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81"/>
      <c r="S763" s="81"/>
      <c r="T763" s="81"/>
      <c r="U763" s="81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81"/>
      <c r="S764" s="81"/>
      <c r="T764" s="81"/>
      <c r="U764" s="81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81"/>
      <c r="S765" s="81"/>
      <c r="T765" s="81"/>
      <c r="U765" s="81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81"/>
      <c r="S766" s="81"/>
      <c r="T766" s="81"/>
      <c r="U766" s="81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81"/>
      <c r="S767" s="81"/>
      <c r="T767" s="81"/>
      <c r="U767" s="81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81"/>
      <c r="S768" s="81"/>
      <c r="T768" s="81"/>
      <c r="U768" s="81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81"/>
      <c r="S769" s="81"/>
      <c r="T769" s="81"/>
      <c r="U769" s="81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81"/>
      <c r="S770" s="81"/>
      <c r="T770" s="81"/>
      <c r="U770" s="81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81"/>
      <c r="S771" s="81"/>
      <c r="T771" s="81"/>
      <c r="U771" s="81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81"/>
      <c r="S772" s="81"/>
      <c r="T772" s="81"/>
      <c r="U772" s="81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81"/>
      <c r="S773" s="81"/>
      <c r="T773" s="81"/>
      <c r="U773" s="81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81"/>
      <c r="S774" s="81"/>
      <c r="T774" s="81"/>
      <c r="U774" s="81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81"/>
      <c r="S775" s="81"/>
      <c r="T775" s="81"/>
      <c r="U775" s="81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81"/>
      <c r="S776" s="81"/>
      <c r="T776" s="81"/>
      <c r="U776" s="81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81"/>
      <c r="S777" s="81"/>
      <c r="T777" s="81"/>
      <c r="U777" s="81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81"/>
      <c r="S778" s="81"/>
      <c r="T778" s="81"/>
      <c r="U778" s="81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81"/>
      <c r="S779" s="81"/>
      <c r="T779" s="81"/>
      <c r="U779" s="81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81"/>
      <c r="S780" s="81"/>
      <c r="T780" s="81"/>
      <c r="U780" s="81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81"/>
      <c r="S781" s="81"/>
      <c r="T781" s="81"/>
      <c r="U781" s="81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81"/>
      <c r="S782" s="81"/>
      <c r="T782" s="81"/>
      <c r="U782" s="81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81"/>
      <c r="S783" s="81"/>
      <c r="T783" s="81"/>
      <c r="U783" s="81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81"/>
      <c r="S784" s="81"/>
      <c r="T784" s="81"/>
      <c r="U784" s="81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81"/>
      <c r="S785" s="81"/>
      <c r="T785" s="81"/>
      <c r="U785" s="81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81"/>
      <c r="S786" s="81"/>
      <c r="T786" s="81"/>
      <c r="U786" s="81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81"/>
      <c r="S787" s="81"/>
      <c r="T787" s="81"/>
      <c r="U787" s="81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81"/>
      <c r="S788" s="81"/>
      <c r="T788" s="81"/>
      <c r="U788" s="81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81"/>
      <c r="S789" s="81"/>
      <c r="T789" s="81"/>
      <c r="U789" s="81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81"/>
      <c r="S790" s="81"/>
      <c r="T790" s="81"/>
      <c r="U790" s="81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81"/>
      <c r="S791" s="81"/>
      <c r="T791" s="81"/>
      <c r="U791" s="81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81"/>
      <c r="S792" s="81"/>
      <c r="T792" s="81"/>
      <c r="U792" s="81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81"/>
      <c r="S793" s="81"/>
      <c r="T793" s="81"/>
      <c r="U793" s="81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81"/>
      <c r="S794" s="81"/>
      <c r="T794" s="81"/>
      <c r="U794" s="81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81"/>
      <c r="S795" s="81"/>
      <c r="T795" s="81"/>
      <c r="U795" s="81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81"/>
      <c r="S796" s="81"/>
      <c r="T796" s="81"/>
      <c r="U796" s="81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81"/>
      <c r="S797" s="81"/>
      <c r="T797" s="81"/>
      <c r="U797" s="81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81"/>
      <c r="S798" s="81"/>
      <c r="T798" s="81"/>
      <c r="U798" s="81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81"/>
      <c r="S799" s="81"/>
      <c r="T799" s="81"/>
      <c r="U799" s="81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81"/>
      <c r="S800" s="81"/>
      <c r="T800" s="81"/>
      <c r="U800" s="81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81"/>
      <c r="S801" s="81"/>
      <c r="T801" s="81"/>
      <c r="U801" s="81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81"/>
      <c r="S802" s="81"/>
      <c r="T802" s="81"/>
      <c r="U802" s="81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81"/>
      <c r="S803" s="81"/>
      <c r="T803" s="81"/>
      <c r="U803" s="81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81"/>
      <c r="S804" s="81"/>
      <c r="T804" s="81"/>
      <c r="U804" s="81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81"/>
      <c r="S805" s="81"/>
      <c r="T805" s="81"/>
      <c r="U805" s="81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81"/>
      <c r="S806" s="81"/>
      <c r="T806" s="81"/>
      <c r="U806" s="81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81"/>
      <c r="S807" s="81"/>
      <c r="T807" s="81"/>
      <c r="U807" s="81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81"/>
      <c r="S808" s="81"/>
      <c r="T808" s="81"/>
      <c r="U808" s="81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81"/>
      <c r="S809" s="81"/>
      <c r="T809" s="81"/>
      <c r="U809" s="81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81"/>
      <c r="S810" s="81"/>
      <c r="T810" s="81"/>
      <c r="U810" s="81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81"/>
      <c r="S811" s="81"/>
      <c r="T811" s="81"/>
      <c r="U811" s="81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81"/>
      <c r="S812" s="81"/>
      <c r="T812" s="81"/>
      <c r="U812" s="81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81"/>
      <c r="S813" s="81"/>
      <c r="T813" s="81"/>
      <c r="U813" s="81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81"/>
      <c r="S814" s="81"/>
      <c r="T814" s="81"/>
      <c r="U814" s="81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81"/>
      <c r="S815" s="81"/>
      <c r="T815" s="81"/>
      <c r="U815" s="81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81"/>
      <c r="S816" s="81"/>
      <c r="T816" s="81"/>
      <c r="U816" s="81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81"/>
      <c r="S817" s="81"/>
      <c r="T817" s="81"/>
      <c r="U817" s="81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81"/>
      <c r="S818" s="81"/>
      <c r="T818" s="81"/>
      <c r="U818" s="81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81"/>
      <c r="S819" s="81"/>
      <c r="T819" s="81"/>
      <c r="U819" s="81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81"/>
      <c r="S820" s="81"/>
      <c r="T820" s="81"/>
      <c r="U820" s="81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81"/>
      <c r="S821" s="81"/>
      <c r="T821" s="81"/>
      <c r="U821" s="81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81"/>
      <c r="S822" s="81"/>
      <c r="T822" s="81"/>
      <c r="U822" s="81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81"/>
      <c r="S823" s="81"/>
      <c r="T823" s="81"/>
      <c r="U823" s="81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81"/>
      <c r="S824" s="81"/>
      <c r="T824" s="81"/>
      <c r="U824" s="81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81"/>
      <c r="S825" s="81"/>
      <c r="T825" s="81"/>
      <c r="U825" s="81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81"/>
      <c r="S826" s="81"/>
      <c r="T826" s="81"/>
      <c r="U826" s="81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81"/>
      <c r="S827" s="81"/>
      <c r="T827" s="81"/>
      <c r="U827" s="81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81"/>
      <c r="S828" s="81"/>
      <c r="T828" s="81"/>
      <c r="U828" s="81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81"/>
      <c r="S829" s="81"/>
      <c r="T829" s="81"/>
      <c r="U829" s="81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81"/>
      <c r="S830" s="81"/>
      <c r="T830" s="81"/>
      <c r="U830" s="81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81"/>
      <c r="S831" s="81"/>
      <c r="T831" s="81"/>
      <c r="U831" s="81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81"/>
      <c r="S832" s="81"/>
      <c r="T832" s="81"/>
      <c r="U832" s="81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81"/>
      <c r="S833" s="81"/>
      <c r="T833" s="81"/>
      <c r="U833" s="81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81"/>
      <c r="S834" s="81"/>
      <c r="T834" s="81"/>
      <c r="U834" s="81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81"/>
      <c r="S835" s="81"/>
      <c r="T835" s="81"/>
      <c r="U835" s="81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81"/>
      <c r="S836" s="81"/>
      <c r="T836" s="81"/>
      <c r="U836" s="81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81"/>
      <c r="S837" s="81"/>
      <c r="T837" s="81"/>
      <c r="U837" s="81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81"/>
      <c r="S838" s="81"/>
      <c r="T838" s="81"/>
      <c r="U838" s="81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81"/>
      <c r="S839" s="81"/>
      <c r="T839" s="81"/>
      <c r="U839" s="81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81"/>
      <c r="S840" s="81"/>
      <c r="T840" s="81"/>
      <c r="U840" s="81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81"/>
      <c r="S841" s="81"/>
      <c r="T841" s="81"/>
      <c r="U841" s="81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81"/>
      <c r="S842" s="81"/>
      <c r="T842" s="81"/>
      <c r="U842" s="81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81"/>
      <c r="S843" s="81"/>
      <c r="T843" s="81"/>
      <c r="U843" s="81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81"/>
      <c r="S844" s="81"/>
      <c r="T844" s="81"/>
      <c r="U844" s="81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81"/>
      <c r="S845" s="81"/>
      <c r="T845" s="81"/>
      <c r="U845" s="81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81"/>
      <c r="S846" s="81"/>
      <c r="T846" s="81"/>
      <c r="U846" s="81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81"/>
      <c r="S847" s="81"/>
      <c r="T847" s="81"/>
      <c r="U847" s="81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81"/>
      <c r="S848" s="81"/>
      <c r="T848" s="81"/>
      <c r="U848" s="81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81"/>
      <c r="S849" s="81"/>
      <c r="T849" s="81"/>
      <c r="U849" s="81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81"/>
      <c r="S850" s="81"/>
      <c r="T850" s="81"/>
      <c r="U850" s="81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81"/>
      <c r="S851" s="81"/>
      <c r="T851" s="81"/>
      <c r="U851" s="81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81"/>
      <c r="S852" s="81"/>
      <c r="T852" s="81"/>
      <c r="U852" s="81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81"/>
      <c r="S853" s="81"/>
      <c r="T853" s="81"/>
      <c r="U853" s="81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81"/>
      <c r="S854" s="81"/>
      <c r="T854" s="81"/>
      <c r="U854" s="81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81"/>
      <c r="S855" s="81"/>
      <c r="T855" s="81"/>
      <c r="U855" s="81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81"/>
      <c r="S856" s="81"/>
      <c r="T856" s="81"/>
      <c r="U856" s="81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81"/>
      <c r="S857" s="81"/>
      <c r="T857" s="81"/>
      <c r="U857" s="81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81"/>
      <c r="S858" s="81"/>
      <c r="T858" s="81"/>
      <c r="U858" s="81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81"/>
      <c r="S859" s="81"/>
      <c r="T859" s="81"/>
      <c r="U859" s="81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81"/>
      <c r="S860" s="81"/>
      <c r="T860" s="81"/>
      <c r="U860" s="81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81"/>
      <c r="S861" s="81"/>
      <c r="T861" s="81"/>
      <c r="U861" s="81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81"/>
      <c r="S862" s="81"/>
      <c r="T862" s="81"/>
      <c r="U862" s="81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81"/>
      <c r="S863" s="81"/>
      <c r="T863" s="81"/>
      <c r="U863" s="81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81"/>
      <c r="S864" s="81"/>
      <c r="T864" s="81"/>
      <c r="U864" s="81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81"/>
      <c r="S865" s="81"/>
      <c r="T865" s="81"/>
      <c r="U865" s="81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81"/>
      <c r="S866" s="81"/>
      <c r="T866" s="81"/>
      <c r="U866" s="81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81"/>
      <c r="S867" s="81"/>
      <c r="T867" s="81"/>
      <c r="U867" s="81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81"/>
      <c r="S868" s="81"/>
      <c r="T868" s="81"/>
      <c r="U868" s="81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81"/>
      <c r="S869" s="81"/>
      <c r="T869" s="81"/>
      <c r="U869" s="81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81"/>
      <c r="S870" s="81"/>
      <c r="T870" s="81"/>
      <c r="U870" s="81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81"/>
      <c r="S871" s="81"/>
      <c r="T871" s="81"/>
      <c r="U871" s="81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81"/>
      <c r="S872" s="81"/>
      <c r="T872" s="81"/>
      <c r="U872" s="81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81"/>
      <c r="S873" s="81"/>
      <c r="T873" s="81"/>
      <c r="U873" s="81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81"/>
      <c r="S874" s="81"/>
      <c r="T874" s="81"/>
      <c r="U874" s="81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81"/>
      <c r="S875" s="81"/>
      <c r="T875" s="81"/>
      <c r="U875" s="81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81"/>
      <c r="S876" s="81"/>
      <c r="T876" s="81"/>
      <c r="U876" s="81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81"/>
      <c r="S877" s="81"/>
      <c r="T877" s="81"/>
      <c r="U877" s="81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81"/>
      <c r="S878" s="81"/>
      <c r="T878" s="81"/>
      <c r="U878" s="81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81"/>
      <c r="S879" s="81"/>
      <c r="T879" s="81"/>
      <c r="U879" s="81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81"/>
      <c r="S880" s="81"/>
      <c r="T880" s="81"/>
      <c r="U880" s="81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81"/>
      <c r="S881" s="81"/>
      <c r="T881" s="81"/>
      <c r="U881" s="81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81"/>
      <c r="S882" s="81"/>
      <c r="T882" s="81"/>
      <c r="U882" s="81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81"/>
      <c r="S883" s="81"/>
      <c r="T883" s="81"/>
      <c r="U883" s="81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81"/>
      <c r="S884" s="81"/>
      <c r="T884" s="81"/>
      <c r="U884" s="81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81"/>
      <c r="S885" s="81"/>
      <c r="T885" s="81"/>
      <c r="U885" s="81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81"/>
      <c r="S886" s="81"/>
      <c r="T886" s="81"/>
      <c r="U886" s="81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81"/>
      <c r="S887" s="81"/>
      <c r="T887" s="81"/>
      <c r="U887" s="81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81"/>
      <c r="S888" s="81"/>
      <c r="T888" s="81"/>
      <c r="U888" s="81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81"/>
      <c r="S889" s="81"/>
      <c r="T889" s="81"/>
      <c r="U889" s="81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81"/>
      <c r="S890" s="81"/>
      <c r="T890" s="81"/>
      <c r="U890" s="81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81"/>
      <c r="S891" s="81"/>
      <c r="T891" s="81"/>
      <c r="U891" s="81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81"/>
      <c r="S892" s="81"/>
      <c r="T892" s="81"/>
      <c r="U892" s="81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81"/>
      <c r="S893" s="81"/>
      <c r="T893" s="81"/>
      <c r="U893" s="81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81"/>
      <c r="S894" s="81"/>
      <c r="T894" s="81"/>
      <c r="U894" s="81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81"/>
      <c r="S895" s="81"/>
      <c r="T895" s="81"/>
      <c r="U895" s="81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81"/>
      <c r="S896" s="81"/>
      <c r="T896" s="81"/>
      <c r="U896" s="81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81"/>
      <c r="S897" s="81"/>
      <c r="T897" s="81"/>
      <c r="U897" s="81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81"/>
      <c r="S898" s="81"/>
      <c r="T898" s="81"/>
      <c r="U898" s="81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81"/>
      <c r="S899" s="81"/>
      <c r="T899" s="81"/>
      <c r="U899" s="81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81"/>
      <c r="S900" s="81"/>
      <c r="T900" s="81"/>
      <c r="U900" s="81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81"/>
      <c r="S901" s="81"/>
      <c r="T901" s="81"/>
      <c r="U901" s="81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81"/>
      <c r="S902" s="81"/>
      <c r="T902" s="81"/>
      <c r="U902" s="81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81"/>
      <c r="S903" s="81"/>
      <c r="T903" s="81"/>
      <c r="U903" s="81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81"/>
      <c r="S904" s="81"/>
      <c r="T904" s="81"/>
      <c r="U904" s="81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81"/>
      <c r="S905" s="81"/>
      <c r="T905" s="81"/>
      <c r="U905" s="81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81"/>
      <c r="S906" s="81"/>
      <c r="T906" s="81"/>
      <c r="U906" s="81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81"/>
      <c r="S907" s="81"/>
      <c r="T907" s="81"/>
      <c r="U907" s="81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81"/>
      <c r="S908" s="81"/>
      <c r="T908" s="81"/>
      <c r="U908" s="81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81"/>
      <c r="S909" s="81"/>
      <c r="T909" s="81"/>
      <c r="U909" s="81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81"/>
      <c r="S910" s="81"/>
      <c r="T910" s="81"/>
      <c r="U910" s="81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81"/>
      <c r="S911" s="81"/>
      <c r="T911" s="81"/>
      <c r="U911" s="81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81"/>
      <c r="S912" s="81"/>
      <c r="T912" s="81"/>
      <c r="U912" s="81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81"/>
      <c r="S913" s="81"/>
      <c r="T913" s="81"/>
      <c r="U913" s="81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81"/>
      <c r="S914" s="81"/>
      <c r="T914" s="81"/>
      <c r="U914" s="81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81"/>
      <c r="S915" s="81"/>
      <c r="T915" s="81"/>
      <c r="U915" s="81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81"/>
      <c r="S916" s="81"/>
      <c r="T916" s="81"/>
      <c r="U916" s="81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81"/>
      <c r="S917" s="81"/>
      <c r="T917" s="81"/>
      <c r="U917" s="81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81"/>
      <c r="S918" s="81"/>
      <c r="T918" s="81"/>
      <c r="U918" s="81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81"/>
      <c r="S919" s="81"/>
      <c r="T919" s="81"/>
      <c r="U919" s="81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81"/>
      <c r="S920" s="81"/>
      <c r="T920" s="81"/>
      <c r="U920" s="81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81"/>
      <c r="S921" s="81"/>
      <c r="T921" s="81"/>
      <c r="U921" s="81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81"/>
      <c r="S922" s="81"/>
      <c r="T922" s="81"/>
      <c r="U922" s="81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81"/>
      <c r="S923" s="81"/>
      <c r="T923" s="81"/>
      <c r="U923" s="81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81"/>
      <c r="S924" s="81"/>
      <c r="T924" s="81"/>
      <c r="U924" s="81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81"/>
      <c r="S925" s="81"/>
      <c r="T925" s="81"/>
      <c r="U925" s="81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81"/>
      <c r="S926" s="81"/>
      <c r="T926" s="81"/>
      <c r="U926" s="81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81"/>
      <c r="S927" s="81"/>
      <c r="T927" s="81"/>
      <c r="U927" s="81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81"/>
      <c r="S928" s="81"/>
      <c r="T928" s="81"/>
      <c r="U928" s="81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81"/>
      <c r="S929" s="81"/>
      <c r="T929" s="81"/>
      <c r="U929" s="81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81"/>
      <c r="S930" s="81"/>
      <c r="T930" s="81"/>
      <c r="U930" s="81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81"/>
      <c r="S931" s="81"/>
      <c r="T931" s="81"/>
      <c r="U931" s="81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81"/>
      <c r="S932" s="81"/>
      <c r="T932" s="81"/>
      <c r="U932" s="81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81"/>
      <c r="S933" s="81"/>
      <c r="T933" s="81"/>
      <c r="U933" s="81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81"/>
      <c r="S934" s="81"/>
      <c r="T934" s="81"/>
      <c r="U934" s="81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81"/>
      <c r="S935" s="81"/>
      <c r="T935" s="81"/>
      <c r="U935" s="81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81"/>
      <c r="S936" s="81"/>
      <c r="T936" s="81"/>
      <c r="U936" s="81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81"/>
      <c r="S937" s="81"/>
      <c r="T937" s="81"/>
      <c r="U937" s="81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81"/>
      <c r="S938" s="81"/>
      <c r="T938" s="81"/>
      <c r="U938" s="81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81"/>
      <c r="S939" s="81"/>
      <c r="T939" s="81"/>
      <c r="U939" s="81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</row>
    <row r="940">
      <c r="R940" s="191"/>
      <c r="S940" s="191"/>
      <c r="T940" s="191"/>
      <c r="U940" s="191"/>
    </row>
    <row r="941">
      <c r="R941" s="191"/>
      <c r="S941" s="191"/>
      <c r="T941" s="191"/>
      <c r="U941" s="191"/>
    </row>
    <row r="942">
      <c r="R942" s="191"/>
      <c r="S942" s="191"/>
      <c r="T942" s="191"/>
      <c r="U942" s="191"/>
    </row>
    <row r="943">
      <c r="R943" s="191"/>
      <c r="S943" s="191"/>
      <c r="T943" s="191"/>
      <c r="U943" s="191"/>
    </row>
    <row r="944">
      <c r="R944" s="191"/>
      <c r="S944" s="191"/>
      <c r="T944" s="191"/>
      <c r="U944" s="191"/>
    </row>
    <row r="945">
      <c r="R945" s="191"/>
      <c r="S945" s="191"/>
      <c r="T945" s="191"/>
      <c r="U945" s="191"/>
    </row>
    <row r="946">
      <c r="R946" s="191"/>
      <c r="S946" s="191"/>
      <c r="T946" s="191"/>
      <c r="U946" s="191"/>
    </row>
    <row r="947">
      <c r="R947" s="191"/>
      <c r="S947" s="191"/>
      <c r="T947" s="191"/>
      <c r="U947" s="191"/>
    </row>
    <row r="948">
      <c r="R948" s="191"/>
      <c r="S948" s="191"/>
      <c r="T948" s="191"/>
      <c r="U948" s="191"/>
    </row>
    <row r="949">
      <c r="R949" s="191"/>
      <c r="S949" s="191"/>
      <c r="T949" s="191"/>
      <c r="U949" s="191"/>
    </row>
    <row r="950">
      <c r="R950" s="191"/>
      <c r="S950" s="191"/>
      <c r="T950" s="191"/>
      <c r="U950" s="191"/>
    </row>
    <row r="951">
      <c r="R951" s="191"/>
      <c r="S951" s="191"/>
      <c r="T951" s="191"/>
      <c r="U951" s="191"/>
    </row>
    <row r="952">
      <c r="R952" s="191"/>
      <c r="S952" s="191"/>
      <c r="T952" s="191"/>
      <c r="U952" s="191"/>
    </row>
    <row r="953">
      <c r="R953" s="191"/>
      <c r="S953" s="191"/>
      <c r="T953" s="191"/>
      <c r="U953" s="191"/>
    </row>
    <row r="954">
      <c r="R954" s="191"/>
      <c r="S954" s="191"/>
      <c r="T954" s="191"/>
      <c r="U954" s="191"/>
    </row>
    <row r="955">
      <c r="R955" s="191"/>
      <c r="S955" s="191"/>
      <c r="T955" s="191"/>
      <c r="U955" s="191"/>
    </row>
    <row r="956">
      <c r="R956" s="191"/>
      <c r="S956" s="191"/>
      <c r="T956" s="191"/>
      <c r="U956" s="191"/>
    </row>
    <row r="957">
      <c r="R957" s="191"/>
      <c r="S957" s="191"/>
      <c r="T957" s="191"/>
      <c r="U957" s="191"/>
    </row>
    <row r="958">
      <c r="R958" s="191"/>
      <c r="S958" s="191"/>
      <c r="T958" s="191"/>
      <c r="U958" s="191"/>
    </row>
    <row r="959">
      <c r="R959" s="191"/>
      <c r="S959" s="191"/>
      <c r="T959" s="191"/>
      <c r="U959" s="191"/>
    </row>
    <row r="960">
      <c r="R960" s="191"/>
      <c r="S960" s="191"/>
      <c r="T960" s="191"/>
      <c r="U960" s="191"/>
    </row>
    <row r="961">
      <c r="R961" s="191"/>
      <c r="S961" s="191"/>
      <c r="T961" s="191"/>
      <c r="U961" s="191"/>
    </row>
    <row r="962">
      <c r="R962" s="191"/>
      <c r="S962" s="191"/>
      <c r="T962" s="191"/>
      <c r="U962" s="191"/>
    </row>
    <row r="963">
      <c r="R963" s="191"/>
      <c r="S963" s="191"/>
      <c r="T963" s="191"/>
      <c r="U963" s="191"/>
    </row>
    <row r="964">
      <c r="R964" s="191"/>
      <c r="S964" s="191"/>
      <c r="T964" s="191"/>
      <c r="U964" s="191"/>
    </row>
    <row r="965">
      <c r="R965" s="191"/>
      <c r="S965" s="191"/>
      <c r="T965" s="191"/>
      <c r="U965" s="191"/>
    </row>
    <row r="966">
      <c r="R966" s="191"/>
      <c r="S966" s="191"/>
      <c r="T966" s="191"/>
      <c r="U966" s="191"/>
    </row>
    <row r="967">
      <c r="R967" s="191"/>
      <c r="S967" s="191"/>
      <c r="T967" s="191"/>
      <c r="U967" s="191"/>
    </row>
    <row r="968">
      <c r="R968" s="191"/>
      <c r="S968" s="191"/>
      <c r="T968" s="191"/>
      <c r="U968" s="191"/>
    </row>
    <row r="969">
      <c r="R969" s="191"/>
      <c r="S969" s="191"/>
      <c r="T969" s="191"/>
      <c r="U969" s="191"/>
    </row>
    <row r="970">
      <c r="R970" s="191"/>
      <c r="S970" s="191"/>
      <c r="T970" s="191"/>
      <c r="U970" s="191"/>
    </row>
    <row r="971">
      <c r="R971" s="191"/>
      <c r="S971" s="191"/>
      <c r="T971" s="191"/>
      <c r="U971" s="191"/>
    </row>
    <row r="972">
      <c r="R972" s="191"/>
      <c r="S972" s="191"/>
      <c r="T972" s="191"/>
      <c r="U972" s="191"/>
    </row>
    <row r="973">
      <c r="R973" s="191"/>
      <c r="S973" s="191"/>
      <c r="T973" s="191"/>
      <c r="U973" s="191"/>
    </row>
    <row r="974">
      <c r="R974" s="191"/>
      <c r="S974" s="191"/>
      <c r="T974" s="191"/>
      <c r="U974" s="191"/>
    </row>
    <row r="975">
      <c r="R975" s="191"/>
      <c r="S975" s="191"/>
      <c r="T975" s="191"/>
      <c r="U975" s="191"/>
    </row>
    <row r="976">
      <c r="R976" s="191"/>
      <c r="S976" s="191"/>
      <c r="T976" s="191"/>
      <c r="U976" s="191"/>
    </row>
    <row r="977">
      <c r="R977" s="191"/>
      <c r="S977" s="191"/>
      <c r="T977" s="191"/>
      <c r="U977" s="191"/>
    </row>
    <row r="978">
      <c r="R978" s="191"/>
      <c r="S978" s="191"/>
      <c r="T978" s="191"/>
      <c r="U978" s="191"/>
    </row>
    <row r="979">
      <c r="R979" s="191"/>
      <c r="S979" s="191"/>
      <c r="T979" s="191"/>
      <c r="U979" s="191"/>
    </row>
    <row r="980">
      <c r="R980" s="191"/>
      <c r="S980" s="191"/>
      <c r="T980" s="191"/>
      <c r="U980" s="191"/>
    </row>
  </sheetData>
  <autoFilter ref="$A$1:$AF$152">
    <filterColumn colId="22">
      <filters>
        <filter val="SERVICIO SUSPENDIDO"/>
      </filters>
    </filterColumn>
  </autoFilter>
  <customSheetViews>
    <customSheetView guid="{3759F562-D616-46FC-A05A-B38854AAE1CB}" filter="1" showAutoFilter="1">
      <autoFilter ref="$A$1:$AE$152"/>
    </customSheetView>
  </customSheetViews>
  <dataValidations>
    <dataValidation type="list" allowBlank="1" showErrorMessage="1" sqref="W2:W112 V113:W113 W114:W144 W146:W939">
      <formula1>"1RA FACTURA,FREE,NO PAGADO,PAGADO,SERVICIO SUSPENDIDO,TERMINO DE GIRO,DE BAJA,PAGO INCOMPLETO,PRORROGA,VERIFICACIÓN PENDIENTE"</formula1>
    </dataValidation>
    <dataValidation type="list" allowBlank="1" showErrorMessage="1" sqref="AB2:AB939">
      <formula1>"PENDIENTE,FIRMADO,ENVIADO,NO HACER CONTRATO,VERIFICACION PENDIENTE"</formula1>
    </dataValidation>
    <dataValidation type="list" allowBlank="1" showErrorMessage="1" sqref="E61">
      <formula1>"EMPRENDEDOR,GO,EXECUTIVE,FULL EMPRENDEDOR,TERMINO DE GIRO,FREE,BAJA,CONGELADO"</formula1>
    </dataValidation>
    <dataValidation type="list" allowBlank="1" showErrorMessage="1" sqref="V2:V112 Y136 Y138:Y142 V114:V144 V146:V939 Y144:Y939">
      <formula1>"DECLARADO,PENDIENTE,IMPUGNADO,POSTERGADO,NOTIFICADO,NO DECLARAR,REVISAR,F29 GUARDADO,POSTERGADO"</formula1>
    </dataValidation>
    <dataValidation type="list" allowBlank="1" showErrorMessage="1" sqref="C2:D8 C12:D29 C31 C32:D34 C36:D36 C38:D47 C48:C49 C50:D56 C57 C58:D62 C73:D78 C81:D84 C86:D103 C105:D105 C107:D110 C112:D116 C117 C118:D118 C119:C123 C124:D124 C125:C126 C127:D127 C128 C129:D129 C131:D132 C133 C134:D135 Y2:Y135 C137:D137 Y137 C138:C139 C140:D140 C141 C142:D143 C144 C145:D147 C149:D151">
      <formula1>"SI,NO,no contratará"</formula1>
    </dataValidation>
    <dataValidation type="list" allowBlank="1" showErrorMessage="1" sqref="E2:E60 V145:W145 E62:E939">
      <formula1>"EMPRENDEDOR,GO,EXECUTIVE,FULL EMPRENDEDOR,TERMINO DE GIRO,FREE,OFV,DE BAJA,CAMBIAR PLAN"</formula1>
    </dataValidation>
  </dataValidations>
  <hyperlinks>
    <hyperlink r:id="rId1" ref="O59"/>
    <hyperlink r:id="rId2" ref="O92"/>
    <hyperlink r:id="rId3" ref="O104"/>
    <hyperlink r:id="rId4" ref="O133"/>
    <hyperlink r:id="rId5" ref="O139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24.0"/>
    <col customWidth="1" min="4" max="4" width="6.13"/>
    <col customWidth="1" min="5" max="5" width="7.13"/>
    <col customWidth="1" min="9" max="9" width="7.63"/>
    <col customWidth="1" min="10" max="10" width="22.38"/>
    <col customWidth="1" min="13" max="13" width="38.25"/>
    <col customWidth="1" min="18" max="18" width="15.0"/>
    <col customWidth="1" min="21" max="21" width="25.25"/>
    <col customWidth="1" min="22" max="22" width="36.13"/>
  </cols>
  <sheetData>
    <row r="1">
      <c r="A1" s="112"/>
      <c r="B1" s="22" t="s">
        <v>786</v>
      </c>
      <c r="C1" s="22" t="s">
        <v>1336</v>
      </c>
      <c r="D1" s="113" t="s">
        <v>1337</v>
      </c>
      <c r="E1" s="22" t="s">
        <v>1338</v>
      </c>
      <c r="F1" s="114" t="s">
        <v>1339</v>
      </c>
      <c r="G1" s="113" t="s">
        <v>1340</v>
      </c>
      <c r="H1" s="22" t="s">
        <v>1341</v>
      </c>
      <c r="I1" s="113" t="s">
        <v>1342</v>
      </c>
      <c r="J1" s="22" t="s">
        <v>1343</v>
      </c>
      <c r="K1" s="22" t="s">
        <v>787</v>
      </c>
      <c r="L1" s="22" t="s">
        <v>788</v>
      </c>
      <c r="M1" s="22" t="s">
        <v>789</v>
      </c>
      <c r="N1" s="22" t="s">
        <v>790</v>
      </c>
      <c r="O1" s="115" t="s">
        <v>1710</v>
      </c>
      <c r="P1" s="22" t="s">
        <v>792</v>
      </c>
      <c r="Q1" s="22" t="s">
        <v>1348</v>
      </c>
      <c r="R1" s="22" t="s">
        <v>1349</v>
      </c>
      <c r="S1" s="22" t="s">
        <v>1350</v>
      </c>
      <c r="T1" s="22" t="s">
        <v>1345</v>
      </c>
      <c r="U1" s="22" t="s">
        <v>1711</v>
      </c>
      <c r="V1" s="22" t="s">
        <v>805</v>
      </c>
      <c r="W1" s="22" t="s">
        <v>791</v>
      </c>
      <c r="X1" s="22" t="s">
        <v>1351</v>
      </c>
      <c r="Y1" s="22" t="s">
        <v>1352</v>
      </c>
      <c r="Z1" s="22" t="s">
        <v>1353</v>
      </c>
      <c r="AA1" s="116" t="s">
        <v>1354</v>
      </c>
      <c r="AB1" s="209" t="s">
        <v>1355</v>
      </c>
    </row>
    <row r="2">
      <c r="A2" s="79" t="s">
        <v>1361</v>
      </c>
      <c r="B2" s="25" t="s">
        <v>553</v>
      </c>
      <c r="C2" s="28" t="s">
        <v>1362</v>
      </c>
      <c r="D2" s="118"/>
      <c r="E2" s="66"/>
      <c r="F2" s="88">
        <v>25210.0</v>
      </c>
      <c r="G2" s="88">
        <f t="shared" ref="G2:G150" si="1">F2*1.19</f>
        <v>29999.9</v>
      </c>
      <c r="H2" s="30" t="s">
        <v>1712</v>
      </c>
      <c r="I2" s="104"/>
      <c r="J2" s="119"/>
      <c r="K2" s="26" t="s">
        <v>554</v>
      </c>
      <c r="L2" s="27" t="s">
        <v>807</v>
      </c>
      <c r="M2" s="28" t="s">
        <v>552</v>
      </c>
      <c r="N2" s="28" t="s">
        <v>808</v>
      </c>
      <c r="O2" s="120" t="s">
        <v>1363</v>
      </c>
      <c r="P2" s="29">
        <v>1539812.0</v>
      </c>
      <c r="Q2" s="30" t="s">
        <v>810</v>
      </c>
      <c r="R2" s="30" t="s">
        <v>1411</v>
      </c>
      <c r="S2" s="71" t="s">
        <v>1713</v>
      </c>
      <c r="T2" s="28" t="s">
        <v>50</v>
      </c>
      <c r="U2" s="66"/>
      <c r="V2" s="28" t="s">
        <v>812</v>
      </c>
      <c r="W2" s="28" t="s">
        <v>809</v>
      </c>
      <c r="X2" s="66"/>
      <c r="Y2" s="66"/>
      <c r="Z2" s="66"/>
      <c r="AA2" s="81"/>
      <c r="AB2" s="81"/>
    </row>
    <row r="3">
      <c r="A3" s="79" t="s">
        <v>1361</v>
      </c>
      <c r="B3" s="25" t="s">
        <v>1365</v>
      </c>
      <c r="C3" s="28" t="s">
        <v>1362</v>
      </c>
      <c r="D3" s="118"/>
      <c r="E3" s="66"/>
      <c r="F3" s="124">
        <v>25210.0</v>
      </c>
      <c r="G3" s="88">
        <f t="shared" si="1"/>
        <v>29999.9</v>
      </c>
      <c r="H3" s="30"/>
      <c r="I3" s="104"/>
      <c r="J3" s="66"/>
      <c r="K3" s="26" t="s">
        <v>1366</v>
      </c>
      <c r="L3" s="26" t="s">
        <v>1367</v>
      </c>
      <c r="M3" s="28" t="s">
        <v>1368</v>
      </c>
      <c r="N3" s="28"/>
      <c r="O3" s="120" t="s">
        <v>1369</v>
      </c>
      <c r="P3" s="29">
        <v>569871.0</v>
      </c>
      <c r="Q3" s="30" t="s">
        <v>810</v>
      </c>
      <c r="R3" s="30" t="s">
        <v>1411</v>
      </c>
      <c r="S3" s="125"/>
      <c r="T3" s="28" t="s">
        <v>50</v>
      </c>
      <c r="U3" s="66"/>
      <c r="V3" s="28" t="s">
        <v>1370</v>
      </c>
      <c r="W3" s="28" t="s">
        <v>809</v>
      </c>
      <c r="X3" s="66"/>
      <c r="Y3" s="66"/>
      <c r="Z3" s="66"/>
      <c r="AA3" s="81"/>
      <c r="AB3" s="81"/>
    </row>
    <row r="4">
      <c r="A4" s="126" t="s">
        <v>1361</v>
      </c>
      <c r="B4" s="25" t="s">
        <v>814</v>
      </c>
      <c r="C4" s="48" t="s">
        <v>1362</v>
      </c>
      <c r="D4" s="118"/>
      <c r="E4" s="66"/>
      <c r="F4" s="88">
        <v>40000.0</v>
      </c>
      <c r="G4" s="88">
        <f t="shared" si="1"/>
        <v>47600</v>
      </c>
      <c r="H4" s="30">
        <v>367.0</v>
      </c>
      <c r="I4" s="104"/>
      <c r="J4" s="66"/>
      <c r="K4" s="26" t="s">
        <v>154</v>
      </c>
      <c r="L4" s="26" t="s">
        <v>815</v>
      </c>
      <c r="M4" s="28" t="s">
        <v>160</v>
      </c>
      <c r="N4" s="28" t="s">
        <v>816</v>
      </c>
      <c r="O4" s="120">
        <v>9.49955026E8</v>
      </c>
      <c r="P4" s="29">
        <v>341033.0</v>
      </c>
      <c r="Q4" s="30" t="s">
        <v>810</v>
      </c>
      <c r="R4" s="70" t="s">
        <v>1411</v>
      </c>
      <c r="S4" s="127">
        <v>46069.0</v>
      </c>
      <c r="T4" s="48" t="s">
        <v>50</v>
      </c>
      <c r="U4" s="28" t="s">
        <v>1714</v>
      </c>
      <c r="V4" s="28" t="s">
        <v>817</v>
      </c>
      <c r="W4" s="28" t="s">
        <v>809</v>
      </c>
      <c r="X4" s="106"/>
      <c r="Y4" s="66"/>
      <c r="Z4" s="66"/>
      <c r="AA4" s="81"/>
      <c r="AB4" s="81"/>
    </row>
    <row r="5">
      <c r="A5" s="126" t="s">
        <v>1361</v>
      </c>
      <c r="B5" s="25" t="s">
        <v>819</v>
      </c>
      <c r="C5" s="48" t="s">
        <v>1372</v>
      </c>
      <c r="D5" s="118"/>
      <c r="E5" s="66"/>
      <c r="F5" s="124">
        <v>50000.0</v>
      </c>
      <c r="G5" s="88">
        <f t="shared" si="1"/>
        <v>59500</v>
      </c>
      <c r="H5" s="30">
        <v>369.0</v>
      </c>
      <c r="I5" s="97" t="s">
        <v>1373</v>
      </c>
      <c r="J5" s="66"/>
      <c r="K5" s="26" t="s">
        <v>725</v>
      </c>
      <c r="L5" s="26" t="s">
        <v>726</v>
      </c>
      <c r="M5" s="28" t="s">
        <v>723</v>
      </c>
      <c r="N5" s="28" t="s">
        <v>820</v>
      </c>
      <c r="O5" s="120" t="s">
        <v>1374</v>
      </c>
      <c r="P5" s="29">
        <v>0.0</v>
      </c>
      <c r="Q5" s="70" t="s">
        <v>810</v>
      </c>
      <c r="R5" s="70" t="s">
        <v>1411</v>
      </c>
      <c r="S5" s="130"/>
      <c r="T5" s="48" t="s">
        <v>50</v>
      </c>
      <c r="U5" s="66"/>
      <c r="V5" s="28" t="s">
        <v>821</v>
      </c>
      <c r="W5" s="28" t="s">
        <v>728</v>
      </c>
      <c r="X5" s="48" t="s">
        <v>811</v>
      </c>
      <c r="Y5" s="66"/>
      <c r="Z5" s="66"/>
      <c r="AA5" s="81"/>
      <c r="AB5" s="81"/>
    </row>
    <row r="6">
      <c r="A6" s="126" t="s">
        <v>1361</v>
      </c>
      <c r="B6" s="25" t="s">
        <v>823</v>
      </c>
      <c r="C6" s="48" t="s">
        <v>1375</v>
      </c>
      <c r="D6" s="118"/>
      <c r="E6" s="28" t="s">
        <v>50</v>
      </c>
      <c r="F6" s="54">
        <v>0.0</v>
      </c>
      <c r="G6" s="88">
        <f t="shared" si="1"/>
        <v>0</v>
      </c>
      <c r="H6" s="135" t="s">
        <v>1438</v>
      </c>
      <c r="I6" s="104"/>
      <c r="J6" s="30" t="s">
        <v>1377</v>
      </c>
      <c r="K6" s="26" t="s">
        <v>461</v>
      </c>
      <c r="L6" s="26" t="s">
        <v>462</v>
      </c>
      <c r="M6" s="28" t="s">
        <v>459</v>
      </c>
      <c r="N6" s="28" t="s">
        <v>461</v>
      </c>
      <c r="O6" s="120">
        <v>9.86455813E8</v>
      </c>
      <c r="P6" s="29">
        <v>1318.0</v>
      </c>
      <c r="Q6" s="30" t="s">
        <v>810</v>
      </c>
      <c r="R6" s="48" t="s">
        <v>1375</v>
      </c>
      <c r="S6" s="66"/>
      <c r="T6" s="48" t="s">
        <v>50</v>
      </c>
      <c r="U6" s="66"/>
      <c r="V6" s="28" t="s">
        <v>823</v>
      </c>
      <c r="W6" s="28" t="s">
        <v>824</v>
      </c>
      <c r="X6" s="106"/>
      <c r="Y6" s="66"/>
      <c r="Z6" s="66"/>
      <c r="AA6" s="81"/>
      <c r="AB6" s="81"/>
    </row>
    <row r="7">
      <c r="A7" s="126" t="s">
        <v>1361</v>
      </c>
      <c r="B7" s="25" t="s">
        <v>88</v>
      </c>
      <c r="C7" s="48" t="s">
        <v>1362</v>
      </c>
      <c r="D7" s="118"/>
      <c r="E7" s="66"/>
      <c r="F7" s="88">
        <v>30000.0</v>
      </c>
      <c r="G7" s="88">
        <f t="shared" si="1"/>
        <v>35700</v>
      </c>
      <c r="H7" s="30">
        <v>370.0</v>
      </c>
      <c r="I7" s="104"/>
      <c r="J7" s="66"/>
      <c r="K7" s="26" t="s">
        <v>89</v>
      </c>
      <c r="L7" s="26" t="s">
        <v>90</v>
      </c>
      <c r="M7" s="28" t="s">
        <v>93</v>
      </c>
      <c r="N7" s="28" t="s">
        <v>825</v>
      </c>
      <c r="O7" s="120" t="s">
        <v>1378</v>
      </c>
      <c r="P7" s="29">
        <v>2265.0</v>
      </c>
      <c r="Q7" s="30" t="s">
        <v>810</v>
      </c>
      <c r="R7" s="70" t="s">
        <v>1411</v>
      </c>
      <c r="S7" s="130"/>
      <c r="T7" s="48" t="s">
        <v>50</v>
      </c>
      <c r="U7" s="66"/>
      <c r="V7" s="28" t="s">
        <v>826</v>
      </c>
      <c r="W7" s="28" t="s">
        <v>92</v>
      </c>
      <c r="X7" s="106"/>
      <c r="Y7" s="66"/>
      <c r="Z7" s="66"/>
      <c r="AA7" s="81"/>
      <c r="AB7" s="81"/>
    </row>
    <row r="8">
      <c r="A8" s="126" t="s">
        <v>1361</v>
      </c>
      <c r="B8" s="25" t="s">
        <v>827</v>
      </c>
      <c r="C8" s="48" t="s">
        <v>1372</v>
      </c>
      <c r="D8" s="118"/>
      <c r="E8" s="66"/>
      <c r="F8" s="88">
        <v>50000.0</v>
      </c>
      <c r="G8" s="88">
        <f t="shared" si="1"/>
        <v>59500</v>
      </c>
      <c r="H8" s="30">
        <v>376.0</v>
      </c>
      <c r="I8" s="88">
        <v>119000.0</v>
      </c>
      <c r="J8" s="66"/>
      <c r="K8" s="26" t="s">
        <v>828</v>
      </c>
      <c r="L8" s="26" t="s">
        <v>829</v>
      </c>
      <c r="M8" s="28" t="s">
        <v>319</v>
      </c>
      <c r="N8" s="28" t="s">
        <v>830</v>
      </c>
      <c r="O8" s="120">
        <v>9.92948489E8</v>
      </c>
      <c r="P8" s="29">
        <v>351.0</v>
      </c>
      <c r="Q8" s="30" t="s">
        <v>810</v>
      </c>
      <c r="R8" s="70" t="s">
        <v>1411</v>
      </c>
      <c r="S8" s="127">
        <v>46057.0</v>
      </c>
      <c r="T8" s="48" t="s">
        <v>50</v>
      </c>
      <c r="U8" s="66"/>
      <c r="V8" s="28" t="s">
        <v>831</v>
      </c>
      <c r="W8" s="28" t="s">
        <v>325</v>
      </c>
      <c r="X8" s="106"/>
      <c r="Y8" s="66"/>
      <c r="Z8" s="66"/>
      <c r="AA8" s="81"/>
      <c r="AB8" s="81"/>
    </row>
    <row r="9">
      <c r="A9" s="126" t="s">
        <v>1361</v>
      </c>
      <c r="B9" s="25" t="s">
        <v>832</v>
      </c>
      <c r="C9" s="48" t="s">
        <v>1380</v>
      </c>
      <c r="D9" s="118"/>
      <c r="E9" s="66"/>
      <c r="F9" s="88" t="s">
        <v>1381</v>
      </c>
      <c r="G9" s="88">
        <f t="shared" si="1"/>
        <v>0</v>
      </c>
      <c r="H9" s="135" t="s">
        <v>1438</v>
      </c>
      <c r="I9" s="104"/>
      <c r="J9" s="66"/>
      <c r="K9" s="26" t="s">
        <v>833</v>
      </c>
      <c r="L9" s="26" t="s">
        <v>834</v>
      </c>
      <c r="M9" s="28" t="s">
        <v>277</v>
      </c>
      <c r="N9" s="28" t="s">
        <v>835</v>
      </c>
      <c r="O9" s="120">
        <v>9.67084364E8</v>
      </c>
      <c r="P9" s="47">
        <v>0.0</v>
      </c>
      <c r="Q9" s="70" t="s">
        <v>810</v>
      </c>
      <c r="R9" s="48" t="s">
        <v>1380</v>
      </c>
      <c r="S9" s="66"/>
      <c r="T9" s="48" t="s">
        <v>50</v>
      </c>
      <c r="U9" s="66"/>
      <c r="V9" s="28" t="s">
        <v>837</v>
      </c>
      <c r="W9" s="28" t="s">
        <v>836</v>
      </c>
      <c r="X9" s="106"/>
      <c r="Y9" s="66"/>
      <c r="Z9" s="66"/>
      <c r="AA9" s="81"/>
      <c r="AB9" s="81"/>
    </row>
    <row r="10">
      <c r="A10" s="126" t="s">
        <v>1361</v>
      </c>
      <c r="B10" s="25" t="s">
        <v>838</v>
      </c>
      <c r="C10" s="48" t="s">
        <v>1380</v>
      </c>
      <c r="D10" s="118"/>
      <c r="E10" s="66"/>
      <c r="F10" s="88" t="s">
        <v>1381</v>
      </c>
      <c r="G10" s="88">
        <f t="shared" si="1"/>
        <v>0</v>
      </c>
      <c r="H10" s="135" t="s">
        <v>1438</v>
      </c>
      <c r="I10" s="104"/>
      <c r="J10" s="66"/>
      <c r="K10" s="26" t="s">
        <v>839</v>
      </c>
      <c r="L10" s="26" t="s">
        <v>840</v>
      </c>
      <c r="M10" s="28" t="s">
        <v>96</v>
      </c>
      <c r="N10" s="28" t="s">
        <v>841</v>
      </c>
      <c r="O10" s="120">
        <v>9.40115689E8</v>
      </c>
      <c r="P10" s="29">
        <v>0.0</v>
      </c>
      <c r="Q10" s="70" t="s">
        <v>810</v>
      </c>
      <c r="R10" s="48" t="s">
        <v>1380</v>
      </c>
      <c r="S10" s="66"/>
      <c r="T10" s="48" t="s">
        <v>50</v>
      </c>
      <c r="U10" s="66"/>
      <c r="V10" s="28" t="s">
        <v>843</v>
      </c>
      <c r="W10" s="28" t="s">
        <v>842</v>
      </c>
      <c r="X10" s="106"/>
      <c r="Y10" s="66"/>
      <c r="Z10" s="66"/>
      <c r="AA10" s="81"/>
      <c r="AB10" s="81"/>
    </row>
    <row r="11">
      <c r="A11" s="126" t="s">
        <v>1361</v>
      </c>
      <c r="B11" s="25" t="s">
        <v>844</v>
      </c>
      <c r="C11" s="48" t="s">
        <v>1380</v>
      </c>
      <c r="D11" s="118"/>
      <c r="E11" s="66"/>
      <c r="F11" s="88" t="s">
        <v>1381</v>
      </c>
      <c r="G11" s="88">
        <f t="shared" si="1"/>
        <v>0</v>
      </c>
      <c r="H11" s="135" t="s">
        <v>1438</v>
      </c>
      <c r="I11" s="104"/>
      <c r="J11" s="66"/>
      <c r="K11" s="26" t="s">
        <v>845</v>
      </c>
      <c r="L11" s="26" t="s">
        <v>846</v>
      </c>
      <c r="M11" s="28" t="s">
        <v>847</v>
      </c>
      <c r="N11" s="28" t="s">
        <v>848</v>
      </c>
      <c r="O11" s="120">
        <v>9.84653823E8</v>
      </c>
      <c r="P11" s="29">
        <v>0.0</v>
      </c>
      <c r="Q11" s="70" t="s">
        <v>810</v>
      </c>
      <c r="R11" s="48" t="s">
        <v>1380</v>
      </c>
      <c r="S11" s="66"/>
      <c r="T11" s="48" t="s">
        <v>50</v>
      </c>
      <c r="U11" s="66"/>
      <c r="V11" s="28" t="s">
        <v>1385</v>
      </c>
      <c r="W11" s="28" t="s">
        <v>849</v>
      </c>
      <c r="X11" s="106"/>
      <c r="Y11" s="66"/>
      <c r="Z11" s="66"/>
      <c r="AA11" s="81"/>
      <c r="AB11" s="81"/>
    </row>
    <row r="12">
      <c r="A12" s="126" t="s">
        <v>1361</v>
      </c>
      <c r="B12" s="25" t="s">
        <v>1325</v>
      </c>
      <c r="C12" s="48" t="s">
        <v>1372</v>
      </c>
      <c r="D12" s="118"/>
      <c r="E12" s="28">
        <v>3.0</v>
      </c>
      <c r="F12" s="88">
        <v>70000.0</v>
      </c>
      <c r="G12" s="88">
        <f t="shared" si="1"/>
        <v>83300</v>
      </c>
      <c r="H12" s="30">
        <v>377.0</v>
      </c>
      <c r="I12" s="104"/>
      <c r="J12" s="66"/>
      <c r="K12" s="26" t="s">
        <v>1326</v>
      </c>
      <c r="L12" s="26" t="s">
        <v>1327</v>
      </c>
      <c r="M12" s="28" t="s">
        <v>1386</v>
      </c>
      <c r="N12" s="28" t="s">
        <v>1387</v>
      </c>
      <c r="O12" s="120">
        <v>9.5627686E8</v>
      </c>
      <c r="P12" s="29">
        <v>2427125.0</v>
      </c>
      <c r="Q12" s="30" t="s">
        <v>810</v>
      </c>
      <c r="R12" s="70" t="s">
        <v>1411</v>
      </c>
      <c r="S12" s="131">
        <v>46062.0</v>
      </c>
      <c r="T12" s="48" t="s">
        <v>50</v>
      </c>
      <c r="U12" s="66"/>
      <c r="V12" s="28" t="s">
        <v>1389</v>
      </c>
      <c r="W12" s="28" t="s">
        <v>1390</v>
      </c>
      <c r="X12" s="106"/>
      <c r="Y12" s="66"/>
      <c r="Z12" s="66"/>
      <c r="AA12" s="81"/>
      <c r="AB12" s="81"/>
    </row>
    <row r="13">
      <c r="A13" s="79" t="s">
        <v>1361</v>
      </c>
      <c r="B13" s="40" t="s">
        <v>498</v>
      </c>
      <c r="C13" s="30" t="s">
        <v>1362</v>
      </c>
      <c r="D13" s="118"/>
      <c r="E13" s="71">
        <v>1.0</v>
      </c>
      <c r="F13" s="54">
        <v>40000.0</v>
      </c>
      <c r="G13" s="88">
        <f t="shared" si="1"/>
        <v>47600</v>
      </c>
      <c r="H13" s="30">
        <v>378.0</v>
      </c>
      <c r="I13" s="104"/>
      <c r="J13" s="65"/>
      <c r="K13" s="26" t="s">
        <v>499</v>
      </c>
      <c r="L13" s="26" t="s">
        <v>500</v>
      </c>
      <c r="M13" s="28" t="s">
        <v>850</v>
      </c>
      <c r="N13" s="28" t="s">
        <v>851</v>
      </c>
      <c r="O13" s="120" t="s">
        <v>1391</v>
      </c>
      <c r="P13" s="29">
        <v>0.0</v>
      </c>
      <c r="Q13" s="30" t="s">
        <v>810</v>
      </c>
      <c r="R13" s="30" t="s">
        <v>1411</v>
      </c>
      <c r="S13" s="132"/>
      <c r="T13" s="28" t="s">
        <v>50</v>
      </c>
      <c r="U13" s="66"/>
      <c r="V13" s="28" t="s">
        <v>853</v>
      </c>
      <c r="W13" s="28" t="s">
        <v>852</v>
      </c>
      <c r="X13" s="66"/>
      <c r="Y13" s="66"/>
      <c r="Z13" s="66"/>
      <c r="AA13" s="81"/>
      <c r="AB13" s="81"/>
    </row>
    <row r="14">
      <c r="A14" s="126" t="s">
        <v>1361</v>
      </c>
      <c r="B14" s="40" t="s">
        <v>854</v>
      </c>
      <c r="C14" s="48" t="s">
        <v>1375</v>
      </c>
      <c r="D14" s="118"/>
      <c r="E14" s="66"/>
      <c r="F14" s="88" t="s">
        <v>1381</v>
      </c>
      <c r="G14" s="88">
        <f t="shared" si="1"/>
        <v>0</v>
      </c>
      <c r="H14" s="135" t="s">
        <v>1438</v>
      </c>
      <c r="I14" s="104"/>
      <c r="J14" s="30" t="s">
        <v>1392</v>
      </c>
      <c r="K14" s="26" t="s">
        <v>425</v>
      </c>
      <c r="L14" s="26" t="s">
        <v>426</v>
      </c>
      <c r="M14" s="28" t="s">
        <v>855</v>
      </c>
      <c r="N14" s="28" t="s">
        <v>856</v>
      </c>
      <c r="O14" s="120">
        <v>9.55255801E8</v>
      </c>
      <c r="P14" s="41">
        <v>25.0</v>
      </c>
      <c r="Q14" s="70" t="s">
        <v>810</v>
      </c>
      <c r="R14" s="48" t="s">
        <v>1375</v>
      </c>
      <c r="S14" s="66"/>
      <c r="T14" s="48" t="s">
        <v>50</v>
      </c>
      <c r="U14" s="66"/>
      <c r="V14" s="28" t="s">
        <v>858</v>
      </c>
      <c r="W14" s="28" t="s">
        <v>857</v>
      </c>
      <c r="X14" s="106"/>
      <c r="Y14" s="66"/>
      <c r="Z14" s="66"/>
      <c r="AA14" s="81"/>
      <c r="AB14" s="81"/>
    </row>
    <row r="15">
      <c r="A15" s="126" t="s">
        <v>1361</v>
      </c>
      <c r="B15" s="133" t="s">
        <v>859</v>
      </c>
      <c r="C15" s="48" t="s">
        <v>1372</v>
      </c>
      <c r="D15" s="118"/>
      <c r="E15" s="28">
        <v>1.0</v>
      </c>
      <c r="F15" s="88">
        <v>50000.0</v>
      </c>
      <c r="G15" s="88">
        <f t="shared" si="1"/>
        <v>59500</v>
      </c>
      <c r="H15" s="30">
        <v>379.0</v>
      </c>
      <c r="I15" s="104"/>
      <c r="J15" s="28" t="s">
        <v>1393</v>
      </c>
      <c r="K15" s="26" t="s">
        <v>860</v>
      </c>
      <c r="L15" s="26" t="s">
        <v>364</v>
      </c>
      <c r="M15" s="28" t="s">
        <v>861</v>
      </c>
      <c r="N15" s="28" t="s">
        <v>862</v>
      </c>
      <c r="O15" s="28" t="s">
        <v>1394</v>
      </c>
      <c r="P15" s="29">
        <v>196411.0</v>
      </c>
      <c r="Q15" s="30" t="s">
        <v>810</v>
      </c>
      <c r="R15" s="70" t="s">
        <v>1411</v>
      </c>
      <c r="S15" s="127">
        <v>46057.0</v>
      </c>
      <c r="T15" s="48" t="s">
        <v>50</v>
      </c>
      <c r="U15" s="66"/>
      <c r="V15" s="28" t="s">
        <v>1395</v>
      </c>
      <c r="W15" s="28" t="s">
        <v>863</v>
      </c>
      <c r="X15" s="106"/>
      <c r="Y15" s="66"/>
      <c r="Z15" s="66"/>
      <c r="AA15" s="81"/>
      <c r="AB15" s="81"/>
    </row>
    <row r="16">
      <c r="A16" s="126" t="s">
        <v>1361</v>
      </c>
      <c r="B16" s="40" t="s">
        <v>865</v>
      </c>
      <c r="C16" s="70" t="s">
        <v>1362</v>
      </c>
      <c r="D16" s="118"/>
      <c r="E16" s="66"/>
      <c r="F16" s="54">
        <v>30000.0</v>
      </c>
      <c r="G16" s="88">
        <f t="shared" si="1"/>
        <v>35700</v>
      </c>
      <c r="H16" s="30">
        <v>380.0</v>
      </c>
      <c r="I16" s="88">
        <v>178500.0</v>
      </c>
      <c r="J16" s="71" t="s">
        <v>1715</v>
      </c>
      <c r="K16" s="26" t="s">
        <v>59</v>
      </c>
      <c r="L16" s="26" t="s">
        <v>866</v>
      </c>
      <c r="M16" s="28" t="s">
        <v>63</v>
      </c>
      <c r="N16" s="28" t="s">
        <v>867</v>
      </c>
      <c r="O16" s="120" t="s">
        <v>1396</v>
      </c>
      <c r="P16" s="29">
        <v>0.0</v>
      </c>
      <c r="Q16" s="70" t="s">
        <v>810</v>
      </c>
      <c r="R16" s="70" t="s">
        <v>1411</v>
      </c>
      <c r="S16" s="127">
        <v>45697.0</v>
      </c>
      <c r="T16" s="48" t="s">
        <v>50</v>
      </c>
      <c r="U16" s="66"/>
      <c r="V16" s="28" t="s">
        <v>868</v>
      </c>
      <c r="W16" s="28" t="s">
        <v>60</v>
      </c>
      <c r="X16" s="106"/>
      <c r="Y16" s="66"/>
      <c r="Z16" s="66"/>
      <c r="AA16" s="81"/>
      <c r="AB16" s="81"/>
    </row>
    <row r="17">
      <c r="A17" s="126" t="s">
        <v>1361</v>
      </c>
      <c r="B17" s="40" t="s">
        <v>869</v>
      </c>
      <c r="C17" s="48" t="s">
        <v>1362</v>
      </c>
      <c r="D17" s="118"/>
      <c r="E17" s="66"/>
      <c r="F17" s="88">
        <v>30000.0</v>
      </c>
      <c r="G17" s="88">
        <f t="shared" si="1"/>
        <v>35700</v>
      </c>
      <c r="H17" s="30">
        <v>381.0</v>
      </c>
      <c r="I17" s="104"/>
      <c r="J17" s="66"/>
      <c r="K17" s="26" t="s">
        <v>870</v>
      </c>
      <c r="L17" s="26" t="s">
        <v>871</v>
      </c>
      <c r="M17" s="28" t="s">
        <v>872</v>
      </c>
      <c r="N17" s="28" t="s">
        <v>873</v>
      </c>
      <c r="O17" s="120" t="s">
        <v>1397</v>
      </c>
      <c r="P17" s="29">
        <v>452184.0</v>
      </c>
      <c r="Q17" s="30" t="s">
        <v>810</v>
      </c>
      <c r="R17" s="70" t="s">
        <v>1411</v>
      </c>
      <c r="S17" s="127">
        <v>46058.0</v>
      </c>
      <c r="T17" s="48" t="s">
        <v>50</v>
      </c>
      <c r="U17" s="66"/>
      <c r="V17" s="28" t="s">
        <v>874</v>
      </c>
      <c r="W17" s="28" t="s">
        <v>167</v>
      </c>
      <c r="X17" s="106"/>
      <c r="Y17" s="66"/>
      <c r="Z17" s="66"/>
      <c r="AA17" s="81"/>
      <c r="AB17" s="81"/>
    </row>
    <row r="18">
      <c r="A18" s="79" t="s">
        <v>1361</v>
      </c>
      <c r="B18" s="40" t="s">
        <v>875</v>
      </c>
      <c r="C18" s="28" t="s">
        <v>1372</v>
      </c>
      <c r="D18" s="118"/>
      <c r="E18" s="28">
        <v>2.0</v>
      </c>
      <c r="F18" s="124">
        <v>50000.0</v>
      </c>
      <c r="G18" s="88">
        <f t="shared" si="1"/>
        <v>59500</v>
      </c>
      <c r="H18" s="129">
        <v>470.0</v>
      </c>
      <c r="I18" s="97">
        <v>119000.0</v>
      </c>
      <c r="J18" s="28" t="s">
        <v>1398</v>
      </c>
      <c r="K18" s="26" t="s">
        <v>243</v>
      </c>
      <c r="L18" s="26" t="s">
        <v>244</v>
      </c>
      <c r="M18" s="28" t="s">
        <v>876</v>
      </c>
      <c r="N18" s="28" t="s">
        <v>877</v>
      </c>
      <c r="O18" s="120">
        <v>9.46298109E8</v>
      </c>
      <c r="P18" s="29">
        <v>1146966.0</v>
      </c>
      <c r="Q18" s="30" t="s">
        <v>810</v>
      </c>
      <c r="R18" s="30" t="s">
        <v>1411</v>
      </c>
      <c r="S18" s="132">
        <v>46065.0</v>
      </c>
      <c r="T18" s="28" t="s">
        <v>38</v>
      </c>
      <c r="U18" s="66"/>
      <c r="V18" s="28" t="s">
        <v>878</v>
      </c>
      <c r="W18" s="26" t="s">
        <v>244</v>
      </c>
      <c r="X18" s="66"/>
      <c r="Y18" s="66"/>
      <c r="Z18" s="66"/>
      <c r="AA18" s="81"/>
      <c r="AB18" s="81"/>
    </row>
    <row r="19">
      <c r="A19" s="180" t="s">
        <v>1361</v>
      </c>
      <c r="B19" s="44" t="s">
        <v>596</v>
      </c>
      <c r="C19" s="46" t="s">
        <v>1362</v>
      </c>
      <c r="D19" s="192"/>
      <c r="E19" s="69"/>
      <c r="F19" s="90">
        <v>30000.0</v>
      </c>
      <c r="G19" s="90">
        <f t="shared" si="1"/>
        <v>35700</v>
      </c>
      <c r="H19" s="183" t="s">
        <v>1376</v>
      </c>
      <c r="I19" s="184"/>
      <c r="J19" s="69"/>
      <c r="K19" s="45" t="s">
        <v>597</v>
      </c>
      <c r="L19" s="45" t="s">
        <v>598</v>
      </c>
      <c r="M19" s="46" t="s">
        <v>595</v>
      </c>
      <c r="N19" s="46" t="s">
        <v>879</v>
      </c>
      <c r="O19" s="183" t="s">
        <v>1400</v>
      </c>
      <c r="P19" s="47">
        <v>0.0</v>
      </c>
      <c r="Q19" s="183" t="s">
        <v>810</v>
      </c>
      <c r="R19" s="183" t="s">
        <v>1470</v>
      </c>
      <c r="S19" s="185"/>
      <c r="T19" s="46" t="s">
        <v>50</v>
      </c>
      <c r="U19" s="69"/>
      <c r="V19" s="46" t="s">
        <v>881</v>
      </c>
      <c r="W19" s="46" t="s">
        <v>602</v>
      </c>
      <c r="X19" s="69"/>
      <c r="Y19" s="69"/>
      <c r="Z19" s="69"/>
      <c r="AA19" s="73"/>
      <c r="AB19" s="121" t="str">
        <f>IFERROR(__xludf.DUMMYFUNCTION("HYPERLINK(
""https://wa.me/""&amp;REGEXREPLACE(O19,""[^0-9]"","""")&amp;
""?text=""&amp;
ENCODEURL(
""Buenas tardes *""&amp;B19&amp;""*.
Te recordamos que tu factura por el servicio de contabilidad ""&amp;C19&amp;""  por el servicio de enero se encuentra impaga, por lo que no reali"&amp;"zaremos tu contabilidad de febrero hasta que se regularice
Valor: *$""&amp;F19&amp;""* + IVA = *$""&amp;G19&amp;""*
El pago puedes hacerlo vía transferencia en la siguiente cuenta:
*CUENTA BANCARIA*
VOLLAIRE &amp; OLIVOS SIMPLE PYME LTDA
Banco BCI
Cuenta corriente
RUT 78."&amp;"306.207-0
Número de cuenta: 70809538
MATIAS.OLIVOS@VSVCONSULTORES.COM
También puedes pagar con tarjeta de débito o crédito en el siguiente link:
https://www.flow.cl/btn.php?token=xe78c9acb73c3eff5e917d5c932a4a2f7f971abe
Simple Pyme""
),
""Enviar WhatsA"&amp;"pp""
)"),"Enviar WhatsApp")</f>
        <v>Enviar WhatsApp</v>
      </c>
    </row>
    <row r="20">
      <c r="A20" s="180" t="s">
        <v>1361</v>
      </c>
      <c r="B20" s="59" t="s">
        <v>1716</v>
      </c>
      <c r="C20" s="183" t="s">
        <v>1207</v>
      </c>
      <c r="D20" s="192"/>
      <c r="E20" s="69"/>
      <c r="F20" s="210">
        <v>30000.0</v>
      </c>
      <c r="G20" s="90">
        <f t="shared" si="1"/>
        <v>35700</v>
      </c>
      <c r="H20" s="183" t="s">
        <v>1376</v>
      </c>
      <c r="I20" s="184"/>
      <c r="J20" s="46"/>
      <c r="K20" s="45" t="s">
        <v>1717</v>
      </c>
      <c r="L20" s="45" t="s">
        <v>1718</v>
      </c>
      <c r="M20" s="46" t="s">
        <v>1719</v>
      </c>
      <c r="N20" s="46" t="s">
        <v>1720</v>
      </c>
      <c r="O20" s="194" t="s">
        <v>1721</v>
      </c>
      <c r="P20" s="47" t="s">
        <v>1722</v>
      </c>
      <c r="Q20" s="183" t="s">
        <v>880</v>
      </c>
      <c r="R20" s="183" t="s">
        <v>1207</v>
      </c>
      <c r="S20" s="69"/>
      <c r="T20" s="46" t="s">
        <v>50</v>
      </c>
      <c r="U20" s="69"/>
      <c r="V20" s="46" t="s">
        <v>1723</v>
      </c>
      <c r="W20" s="46" t="s">
        <v>1724</v>
      </c>
      <c r="X20" s="69"/>
      <c r="Y20" s="69"/>
      <c r="Z20" s="69"/>
      <c r="AA20" s="73"/>
      <c r="AB20" s="73"/>
    </row>
    <row r="21">
      <c r="A21" s="126" t="s">
        <v>1361</v>
      </c>
      <c r="B21" s="40" t="s">
        <v>1401</v>
      </c>
      <c r="C21" s="48" t="s">
        <v>1372</v>
      </c>
      <c r="D21" s="118"/>
      <c r="E21" s="66"/>
      <c r="F21" s="54">
        <v>50000.0</v>
      </c>
      <c r="G21" s="88">
        <f t="shared" si="1"/>
        <v>59500</v>
      </c>
      <c r="H21" s="30">
        <v>382.0</v>
      </c>
      <c r="I21" s="104"/>
      <c r="J21" s="28"/>
      <c r="K21" s="26" t="s">
        <v>1402</v>
      </c>
      <c r="L21" s="26" t="s">
        <v>1403</v>
      </c>
      <c r="M21" s="28" t="s">
        <v>1404</v>
      </c>
      <c r="N21" s="28" t="s">
        <v>1405</v>
      </c>
      <c r="O21" s="120">
        <v>9.39010282E8</v>
      </c>
      <c r="P21" s="29">
        <v>5390.0</v>
      </c>
      <c r="Q21" s="70" t="s">
        <v>810</v>
      </c>
      <c r="R21" s="70" t="s">
        <v>1411</v>
      </c>
      <c r="S21" s="132">
        <v>46073.0</v>
      </c>
      <c r="T21" s="48" t="s">
        <v>50</v>
      </c>
      <c r="U21" s="66"/>
      <c r="V21" s="28" t="s">
        <v>1407</v>
      </c>
      <c r="W21" s="28" t="s">
        <v>1408</v>
      </c>
      <c r="X21" s="106"/>
      <c r="Y21" s="66"/>
      <c r="Z21" s="66"/>
      <c r="AA21" s="81"/>
      <c r="AB21" s="81"/>
    </row>
    <row r="22">
      <c r="A22" s="126" t="s">
        <v>1361</v>
      </c>
      <c r="B22" s="25" t="s">
        <v>882</v>
      </c>
      <c r="C22" s="48" t="s">
        <v>1362</v>
      </c>
      <c r="D22" s="118"/>
      <c r="E22" s="66"/>
      <c r="F22" s="88">
        <v>30000.0</v>
      </c>
      <c r="G22" s="88">
        <f t="shared" si="1"/>
        <v>35700</v>
      </c>
      <c r="H22" s="30">
        <v>383.0</v>
      </c>
      <c r="I22" s="104"/>
      <c r="J22" s="66"/>
      <c r="K22" s="26" t="s">
        <v>439</v>
      </c>
      <c r="L22" s="26" t="s">
        <v>440</v>
      </c>
      <c r="M22" s="28" t="s">
        <v>883</v>
      </c>
      <c r="N22" s="28" t="s">
        <v>884</v>
      </c>
      <c r="O22" s="120">
        <v>9.75747098E8</v>
      </c>
      <c r="P22" s="29">
        <v>0.0</v>
      </c>
      <c r="Q22" s="70" t="s">
        <v>810</v>
      </c>
      <c r="R22" s="70" t="s">
        <v>1411</v>
      </c>
      <c r="S22" s="134"/>
      <c r="T22" s="48" t="s">
        <v>50</v>
      </c>
      <c r="U22" s="66"/>
      <c r="V22" s="28" t="s">
        <v>886</v>
      </c>
      <c r="W22" s="28" t="s">
        <v>885</v>
      </c>
      <c r="X22" s="106"/>
      <c r="Y22" s="66"/>
      <c r="Z22" s="66"/>
      <c r="AA22" s="81"/>
      <c r="AB22" s="81"/>
    </row>
    <row r="23">
      <c r="A23" s="126" t="s">
        <v>1361</v>
      </c>
      <c r="B23" s="25" t="s">
        <v>887</v>
      </c>
      <c r="C23" s="48" t="s">
        <v>1362</v>
      </c>
      <c r="D23" s="118"/>
      <c r="E23" s="66"/>
      <c r="F23" s="88">
        <v>25210.0</v>
      </c>
      <c r="G23" s="88">
        <f t="shared" si="1"/>
        <v>29999.9</v>
      </c>
      <c r="H23" s="30">
        <v>384.0</v>
      </c>
      <c r="I23" s="97">
        <v>80000.0</v>
      </c>
      <c r="J23" s="66"/>
      <c r="K23" s="26" t="s">
        <v>888</v>
      </c>
      <c r="L23" s="26" t="s">
        <v>889</v>
      </c>
      <c r="M23" s="28" t="s">
        <v>890</v>
      </c>
      <c r="N23" s="28" t="s">
        <v>891</v>
      </c>
      <c r="O23" s="120">
        <v>9.92995176E8</v>
      </c>
      <c r="P23" s="47">
        <v>0.0</v>
      </c>
      <c r="Q23" s="48" t="s">
        <v>880</v>
      </c>
      <c r="R23" s="70" t="s">
        <v>1411</v>
      </c>
      <c r="S23" s="127">
        <v>46055.0</v>
      </c>
      <c r="T23" s="70" t="s">
        <v>38</v>
      </c>
      <c r="U23" s="28" t="s">
        <v>1714</v>
      </c>
      <c r="V23" s="28" t="s">
        <v>892</v>
      </c>
      <c r="W23" s="28" t="s">
        <v>809</v>
      </c>
      <c r="X23" s="106"/>
      <c r="Y23" s="66"/>
      <c r="Z23" s="66"/>
      <c r="AA23" s="81"/>
      <c r="AB23" s="81"/>
    </row>
    <row r="24">
      <c r="A24" s="126" t="s">
        <v>1361</v>
      </c>
      <c r="B24" s="25" t="s">
        <v>893</v>
      </c>
      <c r="C24" s="48" t="s">
        <v>1413</v>
      </c>
      <c r="D24" s="135">
        <v>4.0</v>
      </c>
      <c r="E24" s="28">
        <v>16.0</v>
      </c>
      <c r="F24" s="88">
        <v>120000.0</v>
      </c>
      <c r="G24" s="88">
        <f t="shared" si="1"/>
        <v>142800</v>
      </c>
      <c r="H24" s="30">
        <v>385.0</v>
      </c>
      <c r="I24" s="104"/>
      <c r="J24" s="28"/>
      <c r="K24" s="26" t="s">
        <v>625</v>
      </c>
      <c r="L24" s="26" t="s">
        <v>626</v>
      </c>
      <c r="M24" s="28" t="s">
        <v>894</v>
      </c>
      <c r="N24" s="28" t="s">
        <v>895</v>
      </c>
      <c r="O24" s="120">
        <v>9.77977216E8</v>
      </c>
      <c r="P24" s="29">
        <v>3361964.0</v>
      </c>
      <c r="Q24" s="70" t="s">
        <v>810</v>
      </c>
      <c r="R24" s="70" t="s">
        <v>1411</v>
      </c>
      <c r="S24" s="136"/>
      <c r="T24" s="48" t="s">
        <v>38</v>
      </c>
      <c r="U24" s="66"/>
      <c r="V24" s="28" t="s">
        <v>896</v>
      </c>
      <c r="W24" s="28" t="s">
        <v>630</v>
      </c>
      <c r="X24" s="106"/>
      <c r="Y24" s="137"/>
      <c r="Z24" s="137"/>
      <c r="AA24" s="138"/>
      <c r="AB24" s="138"/>
    </row>
    <row r="25">
      <c r="A25" s="126" t="s">
        <v>1361</v>
      </c>
      <c r="B25" s="25" t="s">
        <v>897</v>
      </c>
      <c r="C25" s="48" t="s">
        <v>1413</v>
      </c>
      <c r="D25" s="118"/>
      <c r="E25" s="66"/>
      <c r="F25" s="88">
        <v>60504.0</v>
      </c>
      <c r="G25" s="88">
        <f t="shared" si="1"/>
        <v>71999.76</v>
      </c>
      <c r="H25" s="30">
        <v>386.0</v>
      </c>
      <c r="I25" s="97">
        <v>59500.0</v>
      </c>
      <c r="J25" s="66"/>
      <c r="K25" s="26" t="s">
        <v>404</v>
      </c>
      <c r="L25" s="26" t="s">
        <v>405</v>
      </c>
      <c r="M25" s="28" t="s">
        <v>898</v>
      </c>
      <c r="N25" s="28" t="s">
        <v>407</v>
      </c>
      <c r="O25" s="139" t="s">
        <v>1415</v>
      </c>
      <c r="P25" s="29">
        <v>0.0</v>
      </c>
      <c r="Q25" s="70" t="s">
        <v>810</v>
      </c>
      <c r="R25" s="70" t="s">
        <v>1411</v>
      </c>
      <c r="S25" s="140">
        <v>46063.0</v>
      </c>
      <c r="T25" s="48" t="s">
        <v>50</v>
      </c>
      <c r="U25" s="66"/>
      <c r="V25" s="28" t="s">
        <v>899</v>
      </c>
      <c r="W25" s="28" t="s">
        <v>408</v>
      </c>
      <c r="X25" s="106"/>
      <c r="Y25" s="66"/>
      <c r="Z25" s="66"/>
      <c r="AA25" s="81"/>
      <c r="AB25" s="81"/>
    </row>
    <row r="26">
      <c r="A26" s="126" t="s">
        <v>1361</v>
      </c>
      <c r="B26" s="25" t="s">
        <v>900</v>
      </c>
      <c r="C26" s="48" t="s">
        <v>1416</v>
      </c>
      <c r="D26" s="118"/>
      <c r="E26" s="66"/>
      <c r="F26" s="124">
        <v>10000.0</v>
      </c>
      <c r="G26" s="88">
        <f t="shared" si="1"/>
        <v>11900</v>
      </c>
      <c r="H26" s="30">
        <v>387.0</v>
      </c>
      <c r="I26" s="104"/>
      <c r="J26" s="66"/>
      <c r="K26" s="26" t="s">
        <v>539</v>
      </c>
      <c r="L26" s="26" t="s">
        <v>901</v>
      </c>
      <c r="M26" s="28" t="s">
        <v>542</v>
      </c>
      <c r="N26" s="28" t="s">
        <v>902</v>
      </c>
      <c r="O26" s="139" t="s">
        <v>1417</v>
      </c>
      <c r="P26" s="29">
        <v>473.0</v>
      </c>
      <c r="Q26" s="30" t="s">
        <v>810</v>
      </c>
      <c r="R26" s="70" t="s">
        <v>1411</v>
      </c>
      <c r="S26" s="141">
        <v>46060.0</v>
      </c>
      <c r="T26" s="48" t="s">
        <v>50</v>
      </c>
      <c r="U26" s="66"/>
      <c r="V26" s="28" t="s">
        <v>903</v>
      </c>
      <c r="W26" s="28" t="s">
        <v>541</v>
      </c>
      <c r="X26" s="106"/>
      <c r="Y26" s="66"/>
      <c r="Z26" s="66"/>
      <c r="AA26" s="81"/>
      <c r="AB26" s="81"/>
    </row>
    <row r="27">
      <c r="A27" s="79" t="s">
        <v>1361</v>
      </c>
      <c r="B27" s="25" t="s">
        <v>1418</v>
      </c>
      <c r="C27" s="28" t="s">
        <v>1372</v>
      </c>
      <c r="D27" s="135">
        <v>1.0</v>
      </c>
      <c r="E27" s="28">
        <v>3.0</v>
      </c>
      <c r="F27" s="88">
        <v>60000.0</v>
      </c>
      <c r="G27" s="88">
        <f t="shared" si="1"/>
        <v>71400</v>
      </c>
      <c r="H27" s="129">
        <v>471.0</v>
      </c>
      <c r="I27" s="104"/>
      <c r="J27" s="25"/>
      <c r="K27" s="26" t="s">
        <v>1419</v>
      </c>
      <c r="L27" s="26" t="s">
        <v>751</v>
      </c>
      <c r="M27" s="28" t="s">
        <v>748</v>
      </c>
      <c r="N27" s="28" t="s">
        <v>1420</v>
      </c>
      <c r="O27" s="120">
        <v>9.4718449E8</v>
      </c>
      <c r="P27" s="29">
        <v>39417.0</v>
      </c>
      <c r="Q27" s="30" t="s">
        <v>810</v>
      </c>
      <c r="R27" s="30" t="s">
        <v>1411</v>
      </c>
      <c r="S27" s="127">
        <v>46064.0</v>
      </c>
      <c r="T27" s="28" t="s">
        <v>50</v>
      </c>
      <c r="U27" s="66"/>
      <c r="V27" s="28" t="s">
        <v>1422</v>
      </c>
      <c r="W27" s="28" t="s">
        <v>1423</v>
      </c>
      <c r="X27" s="66"/>
      <c r="Y27" s="66"/>
      <c r="Z27" s="66"/>
      <c r="AA27" s="81"/>
      <c r="AB27" s="81"/>
    </row>
    <row r="28">
      <c r="A28" s="126" t="s">
        <v>1361</v>
      </c>
      <c r="B28" s="25" t="s">
        <v>1424</v>
      </c>
      <c r="C28" s="48" t="s">
        <v>1416</v>
      </c>
      <c r="D28" s="118"/>
      <c r="E28" s="66"/>
      <c r="F28" s="88">
        <v>10000.0</v>
      </c>
      <c r="G28" s="88">
        <f t="shared" si="1"/>
        <v>11900</v>
      </c>
      <c r="H28" s="30">
        <v>388.0</v>
      </c>
      <c r="I28" s="104"/>
      <c r="J28" s="66"/>
      <c r="K28" s="26" t="s">
        <v>1425</v>
      </c>
      <c r="L28" s="62" t="s">
        <v>660</v>
      </c>
      <c r="M28" s="28" t="s">
        <v>1426</v>
      </c>
      <c r="N28" s="28" t="s">
        <v>1427</v>
      </c>
      <c r="O28" s="143" t="s">
        <v>1725</v>
      </c>
      <c r="P28" s="29">
        <v>0.0</v>
      </c>
      <c r="Q28" s="70" t="s">
        <v>810</v>
      </c>
      <c r="R28" s="70" t="s">
        <v>1411</v>
      </c>
      <c r="S28" s="211"/>
      <c r="T28" s="48" t="s">
        <v>50</v>
      </c>
      <c r="U28" s="66"/>
      <c r="V28" s="28" t="s">
        <v>1429</v>
      </c>
      <c r="W28" s="28" t="s">
        <v>1430</v>
      </c>
      <c r="X28" s="106"/>
      <c r="Y28" s="66"/>
      <c r="Z28" s="66"/>
      <c r="AA28" s="81"/>
      <c r="AB28" s="81"/>
    </row>
    <row r="29">
      <c r="A29" s="126" t="s">
        <v>1361</v>
      </c>
      <c r="B29" s="25" t="s">
        <v>904</v>
      </c>
      <c r="C29" s="48" t="s">
        <v>1416</v>
      </c>
      <c r="D29" s="118"/>
      <c r="E29" s="66"/>
      <c r="F29" s="88">
        <v>10000.0</v>
      </c>
      <c r="G29" s="88">
        <f t="shared" si="1"/>
        <v>11900</v>
      </c>
      <c r="H29" s="30">
        <v>389.0</v>
      </c>
      <c r="I29" s="104"/>
      <c r="J29" s="66"/>
      <c r="K29" s="26" t="s">
        <v>204</v>
      </c>
      <c r="L29" s="26" t="s">
        <v>205</v>
      </c>
      <c r="M29" s="25" t="s">
        <v>905</v>
      </c>
      <c r="N29" s="28" t="s">
        <v>906</v>
      </c>
      <c r="O29" s="120" t="s">
        <v>1431</v>
      </c>
      <c r="P29" s="29">
        <v>0.0</v>
      </c>
      <c r="Q29" s="70" t="s">
        <v>810</v>
      </c>
      <c r="R29" s="70" t="s">
        <v>1411</v>
      </c>
      <c r="S29" s="66"/>
      <c r="T29" s="48" t="s">
        <v>50</v>
      </c>
      <c r="U29" s="66"/>
      <c r="V29" s="28" t="s">
        <v>907</v>
      </c>
      <c r="W29" s="28" t="s">
        <v>205</v>
      </c>
      <c r="X29" s="106"/>
      <c r="Y29" s="66"/>
      <c r="Z29" s="66"/>
      <c r="AA29" s="81"/>
      <c r="AB29" s="81"/>
    </row>
    <row r="30">
      <c r="A30" s="126" t="s">
        <v>1361</v>
      </c>
      <c r="B30" s="25" t="s">
        <v>1432</v>
      </c>
      <c r="C30" s="48" t="s">
        <v>1416</v>
      </c>
      <c r="D30" s="118"/>
      <c r="E30" s="66"/>
      <c r="F30" s="88">
        <v>10000.0</v>
      </c>
      <c r="G30" s="88">
        <f t="shared" si="1"/>
        <v>11900</v>
      </c>
      <c r="H30" s="30">
        <v>390.0</v>
      </c>
      <c r="I30" s="97">
        <v>60000.0</v>
      </c>
      <c r="J30" s="66"/>
      <c r="K30" s="26" t="s">
        <v>782</v>
      </c>
      <c r="L30" s="26" t="s">
        <v>783</v>
      </c>
      <c r="M30" s="28" t="s">
        <v>1433</v>
      </c>
      <c r="N30" s="28" t="s">
        <v>1434</v>
      </c>
      <c r="O30" s="139">
        <v>9.5805682E8</v>
      </c>
      <c r="P30" s="29">
        <v>0.0</v>
      </c>
      <c r="Q30" s="70" t="s">
        <v>810</v>
      </c>
      <c r="R30" s="70" t="s">
        <v>1411</v>
      </c>
      <c r="S30" s="140">
        <v>46055.0</v>
      </c>
      <c r="T30" s="48" t="s">
        <v>50</v>
      </c>
      <c r="U30" s="66"/>
      <c r="V30" s="28" t="s">
        <v>1436</v>
      </c>
      <c r="W30" s="28" t="s">
        <v>1437</v>
      </c>
      <c r="X30" s="106"/>
      <c r="Y30" s="66"/>
      <c r="Z30" s="66"/>
      <c r="AA30" s="81"/>
      <c r="AB30" s="81"/>
    </row>
    <row r="31">
      <c r="A31" s="126" t="s">
        <v>1361</v>
      </c>
      <c r="B31" s="25" t="s">
        <v>908</v>
      </c>
      <c r="C31" s="48" t="s">
        <v>1375</v>
      </c>
      <c r="D31" s="118"/>
      <c r="E31" s="66"/>
      <c r="F31" s="88" t="s">
        <v>1381</v>
      </c>
      <c r="G31" s="88">
        <f t="shared" si="1"/>
        <v>0</v>
      </c>
      <c r="H31" s="135" t="s">
        <v>1438</v>
      </c>
      <c r="I31" s="104"/>
      <c r="J31" s="28" t="s">
        <v>1439</v>
      </c>
      <c r="K31" s="26" t="s">
        <v>909</v>
      </c>
      <c r="L31" s="26" t="s">
        <v>910</v>
      </c>
      <c r="M31" s="28" t="s">
        <v>911</v>
      </c>
      <c r="N31" s="28" t="s">
        <v>912</v>
      </c>
      <c r="O31" s="120">
        <v>9.90108727E8</v>
      </c>
      <c r="P31" s="29">
        <v>0.0</v>
      </c>
      <c r="Q31" s="70" t="s">
        <v>810</v>
      </c>
      <c r="R31" s="48" t="s">
        <v>1375</v>
      </c>
      <c r="S31" s="66"/>
      <c r="T31" s="48" t="s">
        <v>50</v>
      </c>
      <c r="U31" s="66"/>
      <c r="V31" s="28" t="s">
        <v>913</v>
      </c>
      <c r="W31" s="28" t="s">
        <v>809</v>
      </c>
      <c r="X31" s="106"/>
      <c r="Y31" s="66"/>
      <c r="Z31" s="66"/>
      <c r="AA31" s="81"/>
      <c r="AB31" s="81"/>
    </row>
    <row r="32">
      <c r="A32" s="126" t="s">
        <v>1361</v>
      </c>
      <c r="B32" s="25" t="s">
        <v>1441</v>
      </c>
      <c r="C32" s="48" t="s">
        <v>1413</v>
      </c>
      <c r="D32" s="118"/>
      <c r="E32" s="66"/>
      <c r="F32" s="88">
        <v>60500.0</v>
      </c>
      <c r="G32" s="88">
        <f t="shared" si="1"/>
        <v>71995</v>
      </c>
      <c r="H32" s="135" t="s">
        <v>1726</v>
      </c>
      <c r="I32" s="104"/>
      <c r="J32" s="28" t="s">
        <v>1727</v>
      </c>
      <c r="K32" s="26" t="s">
        <v>1442</v>
      </c>
      <c r="L32" s="26" t="s">
        <v>1443</v>
      </c>
      <c r="M32" s="28" t="s">
        <v>1444</v>
      </c>
      <c r="N32" s="28" t="s">
        <v>1445</v>
      </c>
      <c r="O32" s="120">
        <v>9.61650623E8</v>
      </c>
      <c r="P32" s="29">
        <v>0.0</v>
      </c>
      <c r="Q32" s="70" t="s">
        <v>810</v>
      </c>
      <c r="R32" s="70" t="s">
        <v>1411</v>
      </c>
      <c r="S32" s="66"/>
      <c r="T32" s="48" t="s">
        <v>50</v>
      </c>
      <c r="U32" s="66"/>
      <c r="V32" s="28" t="s">
        <v>1447</v>
      </c>
      <c r="W32" s="28" t="s">
        <v>1448</v>
      </c>
      <c r="X32" s="106"/>
      <c r="Y32" s="66"/>
      <c r="Z32" s="66"/>
      <c r="AA32" s="81"/>
      <c r="AB32" s="81"/>
    </row>
    <row r="33">
      <c r="A33" s="126" t="s">
        <v>1361</v>
      </c>
      <c r="B33" s="25" t="s">
        <v>914</v>
      </c>
      <c r="C33" s="48" t="s">
        <v>1416</v>
      </c>
      <c r="D33" s="118"/>
      <c r="E33" s="66"/>
      <c r="F33" s="88">
        <v>10000.0</v>
      </c>
      <c r="G33" s="88">
        <f t="shared" si="1"/>
        <v>11900</v>
      </c>
      <c r="H33" s="30">
        <v>391.0</v>
      </c>
      <c r="I33" s="104"/>
      <c r="J33" s="66"/>
      <c r="K33" s="26" t="s">
        <v>703</v>
      </c>
      <c r="L33" s="26" t="s">
        <v>704</v>
      </c>
      <c r="M33" s="25" t="s">
        <v>708</v>
      </c>
      <c r="N33" s="28" t="s">
        <v>915</v>
      </c>
      <c r="O33" s="120" t="s">
        <v>707</v>
      </c>
      <c r="P33" s="29">
        <v>0.0</v>
      </c>
      <c r="Q33" s="70" t="s">
        <v>810</v>
      </c>
      <c r="R33" s="70" t="s">
        <v>1411</v>
      </c>
      <c r="S33" s="127">
        <v>46064.0</v>
      </c>
      <c r="T33" s="48" t="s">
        <v>50</v>
      </c>
      <c r="U33" s="66"/>
      <c r="V33" s="28" t="s">
        <v>916</v>
      </c>
      <c r="W33" s="28" t="s">
        <v>915</v>
      </c>
      <c r="X33" s="106"/>
      <c r="Y33" s="66"/>
      <c r="Z33" s="66"/>
      <c r="AA33" s="81"/>
      <c r="AB33" s="81"/>
    </row>
    <row r="34">
      <c r="A34" s="126" t="s">
        <v>1361</v>
      </c>
      <c r="B34" s="25" t="s">
        <v>917</v>
      </c>
      <c r="C34" s="48" t="s">
        <v>1416</v>
      </c>
      <c r="D34" s="118"/>
      <c r="E34" s="66"/>
      <c r="F34" s="88">
        <v>10000.0</v>
      </c>
      <c r="G34" s="88">
        <f t="shared" si="1"/>
        <v>11900</v>
      </c>
      <c r="H34" s="30">
        <v>392.0</v>
      </c>
      <c r="I34" s="104"/>
      <c r="J34" s="66"/>
      <c r="K34" s="26" t="s">
        <v>85</v>
      </c>
      <c r="L34" s="26" t="s">
        <v>86</v>
      </c>
      <c r="M34" s="28" t="s">
        <v>918</v>
      </c>
      <c r="N34" s="28" t="s">
        <v>919</v>
      </c>
      <c r="O34" s="120">
        <v>9.43507043E8</v>
      </c>
      <c r="P34" s="29">
        <v>0.0</v>
      </c>
      <c r="Q34" s="70" t="s">
        <v>810</v>
      </c>
      <c r="R34" s="70" t="s">
        <v>1411</v>
      </c>
      <c r="S34" s="127">
        <v>46052.0</v>
      </c>
      <c r="T34" s="48" t="s">
        <v>50</v>
      </c>
      <c r="U34" s="66"/>
      <c r="V34" s="28" t="s">
        <v>921</v>
      </c>
      <c r="W34" s="28" t="s">
        <v>920</v>
      </c>
      <c r="X34" s="106"/>
      <c r="Y34" s="66"/>
      <c r="Z34" s="66"/>
      <c r="AA34" s="81"/>
      <c r="AB34" s="81"/>
    </row>
    <row r="35">
      <c r="A35" s="126" t="s">
        <v>1361</v>
      </c>
      <c r="B35" s="25" t="s">
        <v>922</v>
      </c>
      <c r="C35" s="48" t="s">
        <v>1372</v>
      </c>
      <c r="D35" s="118"/>
      <c r="E35" s="66"/>
      <c r="F35" s="88">
        <v>100000.0</v>
      </c>
      <c r="G35" s="88">
        <f t="shared" si="1"/>
        <v>119000</v>
      </c>
      <c r="H35" s="30">
        <v>393.0</v>
      </c>
      <c r="I35" s="88">
        <v>83300.0</v>
      </c>
      <c r="J35" s="66"/>
      <c r="K35" s="26" t="s">
        <v>98</v>
      </c>
      <c r="L35" s="26" t="s">
        <v>99</v>
      </c>
      <c r="M35" s="28" t="s">
        <v>102</v>
      </c>
      <c r="N35" s="28" t="s">
        <v>841</v>
      </c>
      <c r="O35" s="28" t="s">
        <v>1383</v>
      </c>
      <c r="P35" s="29">
        <v>3083662.0</v>
      </c>
      <c r="Q35" s="30" t="s">
        <v>810</v>
      </c>
      <c r="R35" s="70" t="s">
        <v>1411</v>
      </c>
      <c r="S35" s="130"/>
      <c r="T35" s="48" t="s">
        <v>50</v>
      </c>
      <c r="U35" s="28" t="s">
        <v>1728</v>
      </c>
      <c r="V35" s="28" t="s">
        <v>923</v>
      </c>
      <c r="W35" s="28" t="s">
        <v>842</v>
      </c>
      <c r="X35" s="106"/>
      <c r="Y35" s="66"/>
      <c r="Z35" s="66"/>
      <c r="AA35" s="81"/>
      <c r="AB35" s="81"/>
    </row>
    <row r="36">
      <c r="A36" s="126" t="s">
        <v>1361</v>
      </c>
      <c r="B36" s="25" t="s">
        <v>924</v>
      </c>
      <c r="C36" s="48" t="s">
        <v>1380</v>
      </c>
      <c r="D36" s="118"/>
      <c r="E36" s="66"/>
      <c r="F36" s="88" t="s">
        <v>1381</v>
      </c>
      <c r="G36" s="88">
        <f t="shared" si="1"/>
        <v>0</v>
      </c>
      <c r="H36" s="135" t="s">
        <v>1438</v>
      </c>
      <c r="I36" s="104"/>
      <c r="J36" s="66"/>
      <c r="K36" s="26" t="s">
        <v>925</v>
      </c>
      <c r="L36" s="26" t="s">
        <v>926</v>
      </c>
      <c r="M36" s="28" t="s">
        <v>927</v>
      </c>
      <c r="N36" s="28" t="s">
        <v>912</v>
      </c>
      <c r="O36" s="120" t="s">
        <v>1729</v>
      </c>
      <c r="P36" s="29">
        <v>0.0</v>
      </c>
      <c r="Q36" s="70" t="s">
        <v>810</v>
      </c>
      <c r="R36" s="48" t="s">
        <v>1380</v>
      </c>
      <c r="S36" s="66"/>
      <c r="T36" s="48" t="s">
        <v>50</v>
      </c>
      <c r="U36" s="66"/>
      <c r="V36" s="28" t="s">
        <v>913</v>
      </c>
      <c r="W36" s="28" t="s">
        <v>928</v>
      </c>
      <c r="X36" s="106"/>
      <c r="Y36" s="66"/>
      <c r="Z36" s="66"/>
      <c r="AA36" s="81"/>
      <c r="AB36" s="81"/>
    </row>
    <row r="37">
      <c r="A37" s="126" t="s">
        <v>1361</v>
      </c>
      <c r="B37" s="25" t="s">
        <v>929</v>
      </c>
      <c r="C37" s="48" t="s">
        <v>1416</v>
      </c>
      <c r="D37" s="118"/>
      <c r="E37" s="66"/>
      <c r="F37" s="88">
        <v>10000.0</v>
      </c>
      <c r="G37" s="88">
        <f t="shared" si="1"/>
        <v>11900</v>
      </c>
      <c r="H37" s="30">
        <v>395.0</v>
      </c>
      <c r="I37" s="104"/>
      <c r="J37" s="66"/>
      <c r="K37" s="26" t="s">
        <v>681</v>
      </c>
      <c r="L37" s="26" t="s">
        <v>930</v>
      </c>
      <c r="M37" s="28" t="s">
        <v>679</v>
      </c>
      <c r="N37" s="28" t="s">
        <v>931</v>
      </c>
      <c r="O37" s="139">
        <v>9.99251969E8</v>
      </c>
      <c r="P37" s="29">
        <v>0.0</v>
      </c>
      <c r="Q37" s="70" t="s">
        <v>810</v>
      </c>
      <c r="R37" s="70" t="s">
        <v>1411</v>
      </c>
      <c r="S37" s="145">
        <v>46056.0</v>
      </c>
      <c r="T37" s="48" t="s">
        <v>50</v>
      </c>
      <c r="U37" s="66"/>
      <c r="V37" s="28" t="s">
        <v>843</v>
      </c>
      <c r="W37" s="28" t="s">
        <v>932</v>
      </c>
      <c r="X37" s="146"/>
      <c r="Y37" s="66"/>
      <c r="Z37" s="147"/>
      <c r="AA37" s="148"/>
      <c r="AB37" s="148"/>
    </row>
    <row r="38">
      <c r="A38" s="126" t="s">
        <v>1361</v>
      </c>
      <c r="B38" s="25" t="s">
        <v>933</v>
      </c>
      <c r="C38" s="48" t="s">
        <v>1380</v>
      </c>
      <c r="D38" s="118"/>
      <c r="E38" s="66"/>
      <c r="F38" s="88" t="s">
        <v>1381</v>
      </c>
      <c r="G38" s="88">
        <f t="shared" si="1"/>
        <v>0</v>
      </c>
      <c r="H38" s="135" t="s">
        <v>1438</v>
      </c>
      <c r="I38" s="104"/>
      <c r="J38" s="66"/>
      <c r="K38" s="26" t="s">
        <v>934</v>
      </c>
      <c r="L38" s="26" t="s">
        <v>935</v>
      </c>
      <c r="M38" s="28" t="s">
        <v>393</v>
      </c>
      <c r="N38" s="28" t="s">
        <v>936</v>
      </c>
      <c r="O38" s="120" t="s">
        <v>1452</v>
      </c>
      <c r="P38" s="29">
        <v>0.0</v>
      </c>
      <c r="Q38" s="70" t="s">
        <v>810</v>
      </c>
      <c r="R38" s="48" t="s">
        <v>1380</v>
      </c>
      <c r="S38" s="66"/>
      <c r="T38" s="48" t="s">
        <v>50</v>
      </c>
      <c r="U38" s="66"/>
      <c r="V38" s="28" t="s">
        <v>937</v>
      </c>
      <c r="W38" s="28" t="s">
        <v>399</v>
      </c>
      <c r="X38" s="106"/>
      <c r="Y38" s="66"/>
      <c r="Z38" s="66"/>
      <c r="AA38" s="81"/>
      <c r="AB38" s="81"/>
    </row>
    <row r="39">
      <c r="A39" s="126" t="s">
        <v>1361</v>
      </c>
      <c r="B39" s="25" t="s">
        <v>293</v>
      </c>
      <c r="C39" s="48" t="s">
        <v>1362</v>
      </c>
      <c r="D39" s="118"/>
      <c r="E39" s="66"/>
      <c r="F39" s="124">
        <v>30000.0</v>
      </c>
      <c r="G39" s="88">
        <f t="shared" si="1"/>
        <v>35700</v>
      </c>
      <c r="H39" s="30">
        <v>396.0</v>
      </c>
      <c r="I39" s="97">
        <v>95200.0</v>
      </c>
      <c r="J39" s="30" t="s">
        <v>1453</v>
      </c>
      <c r="K39" s="26" t="s">
        <v>294</v>
      </c>
      <c r="L39" s="26" t="s">
        <v>295</v>
      </c>
      <c r="M39" s="28" t="s">
        <v>292</v>
      </c>
      <c r="N39" s="28" t="s">
        <v>938</v>
      </c>
      <c r="O39" s="120" t="s">
        <v>1454</v>
      </c>
      <c r="P39" s="29">
        <v>2850.0</v>
      </c>
      <c r="Q39" s="30" t="s">
        <v>810</v>
      </c>
      <c r="R39" s="70" t="s">
        <v>1411</v>
      </c>
      <c r="S39" s="132">
        <v>46065.0</v>
      </c>
      <c r="T39" s="48" t="s">
        <v>50</v>
      </c>
      <c r="U39" s="66"/>
      <c r="V39" s="28" t="s">
        <v>939</v>
      </c>
      <c r="W39" s="28">
        <v>1325740.0</v>
      </c>
      <c r="X39" s="106"/>
      <c r="Y39" s="66"/>
      <c r="Z39" s="66"/>
      <c r="AA39" s="81"/>
      <c r="AB39" s="81"/>
    </row>
    <row r="40">
      <c r="A40" s="126" t="s">
        <v>1361</v>
      </c>
      <c r="B40" s="25" t="s">
        <v>940</v>
      </c>
      <c r="C40" s="48" t="s">
        <v>1362</v>
      </c>
      <c r="D40" s="118"/>
      <c r="E40" s="66"/>
      <c r="F40" s="88">
        <v>30000.0</v>
      </c>
      <c r="G40" s="88">
        <f t="shared" si="1"/>
        <v>35700</v>
      </c>
      <c r="H40" s="30">
        <v>397.0</v>
      </c>
      <c r="I40" s="104"/>
      <c r="J40" s="66"/>
      <c r="K40" s="26" t="s">
        <v>634</v>
      </c>
      <c r="L40" s="26" t="s">
        <v>941</v>
      </c>
      <c r="M40" s="28" t="s">
        <v>632</v>
      </c>
      <c r="N40" s="28" t="s">
        <v>942</v>
      </c>
      <c r="O40" s="149" t="s">
        <v>1455</v>
      </c>
      <c r="P40" s="49">
        <v>545482.0</v>
      </c>
      <c r="Q40" s="30" t="s">
        <v>811</v>
      </c>
      <c r="R40" s="70" t="s">
        <v>1411</v>
      </c>
      <c r="S40" s="140">
        <v>46066.0</v>
      </c>
      <c r="T40" s="48" t="s">
        <v>50</v>
      </c>
      <c r="U40" s="66"/>
      <c r="V40" s="28" t="s">
        <v>944</v>
      </c>
      <c r="W40" s="28" t="s">
        <v>943</v>
      </c>
      <c r="X40" s="106"/>
      <c r="Y40" s="66"/>
      <c r="Z40" s="66"/>
      <c r="AA40" s="81"/>
      <c r="AB40" s="81"/>
    </row>
    <row r="41">
      <c r="A41" s="126" t="s">
        <v>1456</v>
      </c>
      <c r="B41" s="25" t="s">
        <v>1457</v>
      </c>
      <c r="C41" s="48" t="s">
        <v>1362</v>
      </c>
      <c r="D41" s="118"/>
      <c r="E41" s="66"/>
      <c r="F41" s="88">
        <v>30000.0</v>
      </c>
      <c r="G41" s="88">
        <f t="shared" si="1"/>
        <v>35700</v>
      </c>
      <c r="H41" s="30">
        <v>398.0</v>
      </c>
      <c r="I41" s="104"/>
      <c r="J41" s="66"/>
      <c r="K41" s="26" t="s">
        <v>688</v>
      </c>
      <c r="L41" s="26" t="s">
        <v>689</v>
      </c>
      <c r="M41" s="28" t="s">
        <v>1458</v>
      </c>
      <c r="N41" s="28" t="s">
        <v>1459</v>
      </c>
      <c r="O41" s="28" t="s">
        <v>1460</v>
      </c>
      <c r="P41" s="29">
        <v>146640.0</v>
      </c>
      <c r="Q41" s="30" t="s">
        <v>810</v>
      </c>
      <c r="R41" s="70" t="s">
        <v>1411</v>
      </c>
      <c r="S41" s="127">
        <v>46057.0</v>
      </c>
      <c r="T41" s="48" t="s">
        <v>50</v>
      </c>
      <c r="U41" s="66"/>
      <c r="V41" s="28" t="s">
        <v>1461</v>
      </c>
      <c r="W41" s="28" t="s">
        <v>691</v>
      </c>
      <c r="X41" s="106"/>
      <c r="Y41" s="66"/>
      <c r="Z41" s="66"/>
      <c r="AA41" s="81"/>
      <c r="AB41" s="81"/>
    </row>
    <row r="42">
      <c r="A42" s="126" t="s">
        <v>1456</v>
      </c>
      <c r="B42" s="25" t="s">
        <v>945</v>
      </c>
      <c r="C42" s="48" t="s">
        <v>1362</v>
      </c>
      <c r="D42" s="118"/>
      <c r="E42" s="66"/>
      <c r="F42" s="88">
        <v>30000.0</v>
      </c>
      <c r="G42" s="88">
        <f t="shared" si="1"/>
        <v>35700</v>
      </c>
      <c r="H42" s="30">
        <v>399.0</v>
      </c>
      <c r="I42" s="104"/>
      <c r="J42" s="66"/>
      <c r="K42" s="26" t="s">
        <v>36</v>
      </c>
      <c r="L42" s="26" t="s">
        <v>37</v>
      </c>
      <c r="M42" s="28" t="s">
        <v>946</v>
      </c>
      <c r="N42" s="28" t="s">
        <v>947</v>
      </c>
      <c r="O42" s="28" t="s">
        <v>1462</v>
      </c>
      <c r="P42" s="29">
        <v>0.0</v>
      </c>
      <c r="Q42" s="70" t="s">
        <v>810</v>
      </c>
      <c r="R42" s="70" t="s">
        <v>1411</v>
      </c>
      <c r="S42" s="134"/>
      <c r="T42" s="48" t="s">
        <v>50</v>
      </c>
      <c r="U42" s="66"/>
      <c r="V42" s="28" t="s">
        <v>949</v>
      </c>
      <c r="W42" s="28" t="s">
        <v>948</v>
      </c>
      <c r="X42" s="106"/>
      <c r="Y42" s="66"/>
      <c r="Z42" s="66"/>
      <c r="AA42" s="81"/>
      <c r="AB42" s="81"/>
    </row>
    <row r="43">
      <c r="A43" s="126" t="s">
        <v>1456</v>
      </c>
      <c r="B43" s="25" t="s">
        <v>950</v>
      </c>
      <c r="C43" s="48" t="s">
        <v>1362</v>
      </c>
      <c r="D43" s="118"/>
      <c r="E43" s="66"/>
      <c r="F43" s="88">
        <v>30000.0</v>
      </c>
      <c r="G43" s="88">
        <f t="shared" si="1"/>
        <v>35700</v>
      </c>
      <c r="H43" s="30">
        <v>400.0</v>
      </c>
      <c r="I43" s="104"/>
      <c r="J43" s="66"/>
      <c r="K43" s="26" t="s">
        <v>311</v>
      </c>
      <c r="L43" s="26" t="s">
        <v>312</v>
      </c>
      <c r="M43" s="28" t="s">
        <v>309</v>
      </c>
      <c r="N43" s="28" t="s">
        <v>951</v>
      </c>
      <c r="O43" s="120">
        <v>9.3827926E7</v>
      </c>
      <c r="P43" s="29">
        <v>17175.0</v>
      </c>
      <c r="Q43" s="30" t="s">
        <v>810</v>
      </c>
      <c r="R43" s="70" t="s">
        <v>1411</v>
      </c>
      <c r="S43" s="127">
        <v>46059.0</v>
      </c>
      <c r="T43" s="48" t="s">
        <v>50</v>
      </c>
      <c r="U43" s="66"/>
      <c r="V43" s="28" t="s">
        <v>952</v>
      </c>
      <c r="W43" s="28" t="s">
        <v>316</v>
      </c>
      <c r="X43" s="106"/>
      <c r="Y43" s="66"/>
      <c r="Z43" s="66"/>
      <c r="AA43" s="81"/>
      <c r="AB43" s="81"/>
    </row>
    <row r="44">
      <c r="A44" s="126" t="s">
        <v>1456</v>
      </c>
      <c r="B44" s="25" t="s">
        <v>1464</v>
      </c>
      <c r="C44" s="48" t="s">
        <v>1362</v>
      </c>
      <c r="D44" s="118"/>
      <c r="E44" s="66"/>
      <c r="F44" s="124">
        <v>30000.0</v>
      </c>
      <c r="G44" s="88">
        <f t="shared" si="1"/>
        <v>35700</v>
      </c>
      <c r="H44" s="30">
        <v>401.0</v>
      </c>
      <c r="I44" s="104"/>
      <c r="J44" s="28"/>
      <c r="K44" s="26" t="s">
        <v>1465</v>
      </c>
      <c r="L44" s="26" t="s">
        <v>1466</v>
      </c>
      <c r="M44" s="28" t="s">
        <v>1467</v>
      </c>
      <c r="N44" s="28" t="s">
        <v>1468</v>
      </c>
      <c r="O44" s="28" t="s">
        <v>1469</v>
      </c>
      <c r="P44" s="29">
        <v>0.0</v>
      </c>
      <c r="Q44" s="70" t="s">
        <v>810</v>
      </c>
      <c r="R44" s="70" t="s">
        <v>1411</v>
      </c>
      <c r="S44" s="66"/>
      <c r="T44" s="48" t="s">
        <v>50</v>
      </c>
      <c r="U44" s="66"/>
      <c r="V44" s="28" t="s">
        <v>1471</v>
      </c>
      <c r="W44" s="28" t="s">
        <v>809</v>
      </c>
      <c r="X44" s="106"/>
      <c r="Y44" s="66"/>
      <c r="Z44" s="66"/>
      <c r="AA44" s="81"/>
      <c r="AB44" s="81"/>
    </row>
    <row r="45">
      <c r="A45" s="126" t="s">
        <v>1456</v>
      </c>
      <c r="B45" s="25" t="s">
        <v>1472</v>
      </c>
      <c r="C45" s="48" t="s">
        <v>1362</v>
      </c>
      <c r="D45" s="118"/>
      <c r="E45" s="66"/>
      <c r="F45" s="88">
        <v>30000.0</v>
      </c>
      <c r="G45" s="88">
        <f t="shared" si="1"/>
        <v>35700</v>
      </c>
      <c r="H45" s="30">
        <v>402.0</v>
      </c>
      <c r="I45" s="104"/>
      <c r="J45" s="66"/>
      <c r="K45" s="26" t="s">
        <v>1474</v>
      </c>
      <c r="L45" s="26" t="s">
        <v>1475</v>
      </c>
      <c r="M45" s="28" t="s">
        <v>1476</v>
      </c>
      <c r="N45" s="28" t="s">
        <v>1477</v>
      </c>
      <c r="O45" s="120" t="s">
        <v>1478</v>
      </c>
      <c r="P45" s="29">
        <v>452527.0</v>
      </c>
      <c r="Q45" s="30" t="s">
        <v>811</v>
      </c>
      <c r="R45" s="70" t="s">
        <v>1411</v>
      </c>
      <c r="S45" s="127">
        <v>45697.0</v>
      </c>
      <c r="T45" s="48" t="s">
        <v>50</v>
      </c>
      <c r="U45" s="66"/>
      <c r="V45" s="28" t="s">
        <v>1479</v>
      </c>
      <c r="W45" s="28" t="s">
        <v>1480</v>
      </c>
      <c r="X45" s="106"/>
      <c r="Y45" s="66"/>
      <c r="Z45" s="66"/>
      <c r="AA45" s="81"/>
      <c r="AB45" s="81"/>
    </row>
    <row r="46">
      <c r="A46" s="126" t="s">
        <v>1456</v>
      </c>
      <c r="B46" s="25" t="s">
        <v>372</v>
      </c>
      <c r="C46" s="48" t="s">
        <v>1375</v>
      </c>
      <c r="D46" s="118"/>
      <c r="E46" s="66"/>
      <c r="F46" s="88" t="s">
        <v>1381</v>
      </c>
      <c r="G46" s="88">
        <f t="shared" si="1"/>
        <v>0</v>
      </c>
      <c r="H46" s="135" t="s">
        <v>1438</v>
      </c>
      <c r="I46" s="104"/>
      <c r="J46" s="28" t="s">
        <v>1481</v>
      </c>
      <c r="K46" s="26" t="s">
        <v>373</v>
      </c>
      <c r="L46" s="26" t="s">
        <v>374</v>
      </c>
      <c r="M46" s="28" t="s">
        <v>953</v>
      </c>
      <c r="N46" s="28" t="s">
        <v>954</v>
      </c>
      <c r="O46" s="120">
        <v>9.63656735E8</v>
      </c>
      <c r="P46" s="29">
        <v>0.0</v>
      </c>
      <c r="Q46" s="70" t="s">
        <v>810</v>
      </c>
      <c r="R46" s="48" t="s">
        <v>1375</v>
      </c>
      <c r="S46" s="66"/>
      <c r="T46" s="48" t="s">
        <v>50</v>
      </c>
      <c r="U46" s="66"/>
      <c r="V46" s="28" t="s">
        <v>955</v>
      </c>
      <c r="W46" s="28" t="s">
        <v>809</v>
      </c>
      <c r="X46" s="106"/>
      <c r="Y46" s="66"/>
      <c r="Z46" s="66"/>
      <c r="AA46" s="81"/>
      <c r="AB46" s="81"/>
    </row>
    <row r="47">
      <c r="A47" s="126" t="s">
        <v>1456</v>
      </c>
      <c r="B47" s="25" t="s">
        <v>520</v>
      </c>
      <c r="C47" s="48" t="s">
        <v>1416</v>
      </c>
      <c r="D47" s="118"/>
      <c r="E47" s="66"/>
      <c r="F47" s="88">
        <v>10000.0</v>
      </c>
      <c r="G47" s="88">
        <f t="shared" si="1"/>
        <v>11900</v>
      </c>
      <c r="H47" s="30">
        <v>403.0</v>
      </c>
      <c r="I47" s="104"/>
      <c r="J47" s="66"/>
      <c r="K47" s="26" t="s">
        <v>521</v>
      </c>
      <c r="L47" s="26" t="s">
        <v>522</v>
      </c>
      <c r="M47" s="28" t="s">
        <v>519</v>
      </c>
      <c r="N47" s="28" t="s">
        <v>956</v>
      </c>
      <c r="O47" s="120" t="s">
        <v>1482</v>
      </c>
      <c r="P47" s="29">
        <v>0.0</v>
      </c>
      <c r="Q47" s="70" t="s">
        <v>810</v>
      </c>
      <c r="R47" s="70" t="s">
        <v>1411</v>
      </c>
      <c r="S47" s="127">
        <v>46057.0</v>
      </c>
      <c r="T47" s="48" t="s">
        <v>50</v>
      </c>
      <c r="U47" s="66"/>
      <c r="V47" s="28" t="s">
        <v>958</v>
      </c>
      <c r="W47" s="28" t="s">
        <v>957</v>
      </c>
      <c r="X47" s="106"/>
      <c r="Y47" s="66"/>
      <c r="Z47" s="66"/>
      <c r="AA47" s="81"/>
      <c r="AB47" s="81"/>
    </row>
    <row r="48">
      <c r="A48" s="126" t="s">
        <v>1456</v>
      </c>
      <c r="B48" s="25" t="s">
        <v>1483</v>
      </c>
      <c r="C48" s="48" t="s">
        <v>1362</v>
      </c>
      <c r="D48" s="118"/>
      <c r="E48" s="66"/>
      <c r="F48" s="88">
        <v>30000.0</v>
      </c>
      <c r="G48" s="88">
        <f t="shared" si="1"/>
        <v>35700</v>
      </c>
      <c r="H48" s="30">
        <v>404.0</v>
      </c>
      <c r="I48" s="104"/>
      <c r="J48" s="66"/>
      <c r="K48" s="26" t="s">
        <v>1484</v>
      </c>
      <c r="L48" s="26" t="s">
        <v>1485</v>
      </c>
      <c r="M48" s="28" t="s">
        <v>1486</v>
      </c>
      <c r="N48" s="28" t="s">
        <v>1487</v>
      </c>
      <c r="O48" s="139" t="s">
        <v>1488</v>
      </c>
      <c r="P48" s="29">
        <v>0.0</v>
      </c>
      <c r="Q48" s="70" t="s">
        <v>810</v>
      </c>
      <c r="R48" s="70" t="s">
        <v>1411</v>
      </c>
      <c r="S48" s="212"/>
      <c r="T48" s="48" t="s">
        <v>50</v>
      </c>
      <c r="U48" s="28" t="s">
        <v>1730</v>
      </c>
      <c r="V48" s="28" t="s">
        <v>1489</v>
      </c>
      <c r="W48" s="28" t="s">
        <v>1490</v>
      </c>
      <c r="X48" s="106"/>
      <c r="Y48" s="66"/>
      <c r="Z48" s="66"/>
      <c r="AA48" s="81"/>
      <c r="AB48" s="81"/>
    </row>
    <row r="49">
      <c r="A49" s="79" t="s">
        <v>1456</v>
      </c>
      <c r="B49" s="25" t="s">
        <v>1678</v>
      </c>
      <c r="C49" s="28" t="s">
        <v>1372</v>
      </c>
      <c r="D49" s="118"/>
      <c r="E49" s="66"/>
      <c r="F49" s="88">
        <v>50000.0</v>
      </c>
      <c r="G49" s="88">
        <f t="shared" si="1"/>
        <v>59500</v>
      </c>
      <c r="H49" s="30" t="s">
        <v>1731</v>
      </c>
      <c r="I49" s="104"/>
      <c r="J49" s="28"/>
      <c r="K49" s="26" t="s">
        <v>1679</v>
      </c>
      <c r="L49" s="26" t="s">
        <v>1680</v>
      </c>
      <c r="M49" s="28" t="s">
        <v>1681</v>
      </c>
      <c r="N49" s="28" t="s">
        <v>1682</v>
      </c>
      <c r="O49" s="120" t="s">
        <v>1683</v>
      </c>
      <c r="P49" s="29">
        <v>642784.0</v>
      </c>
      <c r="Q49" s="30" t="s">
        <v>1709</v>
      </c>
      <c r="R49" s="30" t="s">
        <v>1364</v>
      </c>
      <c r="S49" s="71" t="s">
        <v>1732</v>
      </c>
      <c r="T49" s="28" t="s">
        <v>50</v>
      </c>
      <c r="U49" s="66"/>
      <c r="V49" s="28" t="s">
        <v>1684</v>
      </c>
      <c r="W49" s="28" t="s">
        <v>1685</v>
      </c>
      <c r="X49" s="66"/>
      <c r="Y49" s="66"/>
      <c r="Z49" s="66"/>
      <c r="AA49" s="81"/>
      <c r="AB49" s="121" t="str">
        <f>IFERROR(__xludf.DUMMYFUNCTION("HYPERLINK(
""https://wa.me/""&amp;REGEXREPLACE(O49,""[^0-9]"","""")&amp;
""?text=""&amp;
ENCODEURL(
""Buenas tardes *""&amp;B49&amp;""*.
Te recordamos que tu factura por el servicio de contabilidad ""&amp;C49&amp;""  por el servicio de enero se encuentra impaga, por lo que no reali"&amp;"zaremos tu contabilidad de febrero hasta que se regularice
Valor: *$""&amp;F49&amp;""* + IVA = *$""&amp;G49&amp;""*
El pago puedes hacerlo vía transferencia en la siguiente cuenta:
*CUENTA BANCARIA*
VOLLAIRE &amp; OLIVOS SIMPLE PYME LTDA
Banco BCI
Cuenta corriente
RUT 78."&amp;"306.207-0
Número de cuenta: 70809538
MATIAS.OLIVOS@VSVCONSULTORES.COM
También puedes pagar con tarjeta de débito o crédito en el siguiente link:
https://www.flow.cl/btn.php?token=xe78c9acb73c3eff5e917d5c932a4a2f7f971abe
Simple Pyme""
),
""Enviar WhatsA"&amp;"pp""
)"),"Enviar WhatsApp")</f>
        <v>Enviar WhatsApp</v>
      </c>
    </row>
    <row r="50">
      <c r="A50" s="126" t="s">
        <v>1456</v>
      </c>
      <c r="B50" s="25" t="s">
        <v>959</v>
      </c>
      <c r="C50" s="48" t="s">
        <v>1375</v>
      </c>
      <c r="D50" s="118"/>
      <c r="E50" s="66"/>
      <c r="F50" s="88" t="s">
        <v>1381</v>
      </c>
      <c r="G50" s="88">
        <f t="shared" si="1"/>
        <v>0</v>
      </c>
      <c r="H50" s="135" t="s">
        <v>1438</v>
      </c>
      <c r="I50" s="104"/>
      <c r="J50" s="30" t="s">
        <v>1491</v>
      </c>
      <c r="K50" s="26" t="s">
        <v>960</v>
      </c>
      <c r="L50" s="26" t="s">
        <v>961</v>
      </c>
      <c r="M50" s="28" t="s">
        <v>962</v>
      </c>
      <c r="N50" s="28" t="s">
        <v>963</v>
      </c>
      <c r="O50" s="120">
        <v>9.98624725E8</v>
      </c>
      <c r="P50" s="29">
        <v>0.0</v>
      </c>
      <c r="Q50" s="70" t="s">
        <v>810</v>
      </c>
      <c r="R50" s="48" t="s">
        <v>1375</v>
      </c>
      <c r="S50" s="66"/>
      <c r="T50" s="48" t="s">
        <v>50</v>
      </c>
      <c r="U50" s="66"/>
      <c r="V50" s="28" t="s">
        <v>966</v>
      </c>
      <c r="W50" s="28" t="s">
        <v>964</v>
      </c>
      <c r="X50" s="106"/>
      <c r="Y50" s="66"/>
      <c r="Z50" s="66"/>
      <c r="AA50" s="81"/>
      <c r="AB50" s="81"/>
    </row>
    <row r="51">
      <c r="A51" s="126" t="s">
        <v>1456</v>
      </c>
      <c r="B51" s="25" t="s">
        <v>263</v>
      </c>
      <c r="C51" s="48" t="s">
        <v>1362</v>
      </c>
      <c r="D51" s="118"/>
      <c r="E51" s="66"/>
      <c r="F51" s="88">
        <v>30000.0</v>
      </c>
      <c r="G51" s="88">
        <f t="shared" si="1"/>
        <v>35700</v>
      </c>
      <c r="H51" s="30">
        <v>414.0</v>
      </c>
      <c r="I51" s="104"/>
      <c r="J51" s="28"/>
      <c r="K51" s="50" t="s">
        <v>264</v>
      </c>
      <c r="L51" s="26" t="s">
        <v>967</v>
      </c>
      <c r="M51" s="25" t="s">
        <v>262</v>
      </c>
      <c r="N51" s="28" t="s">
        <v>968</v>
      </c>
      <c r="O51" s="120">
        <v>9.51558595E8</v>
      </c>
      <c r="P51" s="29">
        <v>0.0</v>
      </c>
      <c r="Q51" s="70" t="s">
        <v>810</v>
      </c>
      <c r="R51" s="70" t="s">
        <v>1411</v>
      </c>
      <c r="S51" s="66"/>
      <c r="T51" s="48" t="s">
        <v>50</v>
      </c>
      <c r="U51" s="66"/>
      <c r="V51" s="28" t="s">
        <v>969</v>
      </c>
      <c r="W51" s="28" t="s">
        <v>809</v>
      </c>
      <c r="X51" s="106"/>
      <c r="Y51" s="66"/>
      <c r="Z51" s="66"/>
      <c r="AA51" s="81"/>
      <c r="AB51" s="81"/>
    </row>
    <row r="52">
      <c r="A52" s="126" t="s">
        <v>1456</v>
      </c>
      <c r="B52" s="25" t="s">
        <v>970</v>
      </c>
      <c r="C52" s="48" t="s">
        <v>1362</v>
      </c>
      <c r="D52" s="118"/>
      <c r="E52" s="28">
        <f>80000*1.19</f>
        <v>95200</v>
      </c>
      <c r="F52" s="88">
        <v>30000.0</v>
      </c>
      <c r="G52" s="88">
        <f t="shared" si="1"/>
        <v>35700</v>
      </c>
      <c r="H52" s="30">
        <v>415.0</v>
      </c>
      <c r="I52" s="104"/>
      <c r="J52" s="66"/>
      <c r="K52" s="26" t="s">
        <v>181</v>
      </c>
      <c r="L52" s="26" t="s">
        <v>182</v>
      </c>
      <c r="M52" s="28" t="s">
        <v>971</v>
      </c>
      <c r="N52" s="28" t="s">
        <v>972</v>
      </c>
      <c r="O52" s="120" t="s">
        <v>1494</v>
      </c>
      <c r="P52" s="29">
        <v>1179.0</v>
      </c>
      <c r="Q52" s="30" t="s">
        <v>810</v>
      </c>
      <c r="R52" s="70" t="s">
        <v>1411</v>
      </c>
      <c r="S52" s="127">
        <v>46058.0</v>
      </c>
      <c r="T52" s="48" t="s">
        <v>50</v>
      </c>
      <c r="U52" s="66"/>
      <c r="V52" s="28" t="s">
        <v>974</v>
      </c>
      <c r="W52" s="28" t="s">
        <v>973</v>
      </c>
      <c r="X52" s="106"/>
      <c r="Y52" s="66"/>
      <c r="Z52" s="66"/>
      <c r="AA52" s="81"/>
      <c r="AB52" s="81"/>
    </row>
    <row r="53">
      <c r="A53" s="126" t="s">
        <v>1456</v>
      </c>
      <c r="B53" s="25" t="s">
        <v>975</v>
      </c>
      <c r="C53" s="48" t="s">
        <v>1413</v>
      </c>
      <c r="D53" s="118"/>
      <c r="E53" s="66"/>
      <c r="F53" s="88">
        <v>60504.0</v>
      </c>
      <c r="G53" s="88">
        <f t="shared" si="1"/>
        <v>71999.76</v>
      </c>
      <c r="H53" s="30">
        <v>416.0</v>
      </c>
      <c r="I53" s="88">
        <v>238000.0</v>
      </c>
      <c r="J53" s="66"/>
      <c r="K53" s="26" t="s">
        <v>129</v>
      </c>
      <c r="L53" s="26" t="s">
        <v>130</v>
      </c>
      <c r="M53" s="30" t="s">
        <v>976</v>
      </c>
      <c r="N53" s="28" t="s">
        <v>977</v>
      </c>
      <c r="O53" s="120">
        <v>9.74158891E8</v>
      </c>
      <c r="P53" s="29">
        <v>240246.0</v>
      </c>
      <c r="Q53" s="30" t="s">
        <v>810</v>
      </c>
      <c r="R53" s="70" t="s">
        <v>1411</v>
      </c>
      <c r="S53" s="127">
        <v>46062.0</v>
      </c>
      <c r="T53" s="48" t="s">
        <v>50</v>
      </c>
      <c r="U53" s="66"/>
      <c r="V53" s="28" t="s">
        <v>979</v>
      </c>
      <c r="W53" s="28" t="s">
        <v>978</v>
      </c>
      <c r="X53" s="106"/>
      <c r="Y53" s="66"/>
      <c r="Z53" s="66"/>
      <c r="AA53" s="81"/>
      <c r="AB53" s="81"/>
    </row>
    <row r="54">
      <c r="A54" s="126" t="s">
        <v>1456</v>
      </c>
      <c r="B54" s="25" t="s">
        <v>1496</v>
      </c>
      <c r="C54" s="48" t="s">
        <v>1362</v>
      </c>
      <c r="D54" s="118"/>
      <c r="E54" s="66"/>
      <c r="F54" s="88">
        <v>30000.0</v>
      </c>
      <c r="G54" s="88">
        <f t="shared" si="1"/>
        <v>35700</v>
      </c>
      <c r="H54" s="30">
        <v>417.0</v>
      </c>
      <c r="I54" s="104"/>
      <c r="J54" s="66"/>
      <c r="K54" s="26" t="s">
        <v>1497</v>
      </c>
      <c r="L54" s="26" t="s">
        <v>733</v>
      </c>
      <c r="M54" s="28" t="s">
        <v>730</v>
      </c>
      <c r="N54" s="28" t="s">
        <v>735</v>
      </c>
      <c r="O54" s="30" t="s">
        <v>1498</v>
      </c>
      <c r="P54" s="29">
        <v>168.0</v>
      </c>
      <c r="Q54" s="30" t="s">
        <v>810</v>
      </c>
      <c r="R54" s="70" t="s">
        <v>1411</v>
      </c>
      <c r="S54" s="128">
        <v>46059.0</v>
      </c>
      <c r="T54" s="48" t="s">
        <v>50</v>
      </c>
      <c r="U54" s="66"/>
      <c r="V54" s="28" t="s">
        <v>1499</v>
      </c>
      <c r="W54" s="28" t="s">
        <v>736</v>
      </c>
      <c r="X54" s="106"/>
      <c r="Y54" s="66"/>
      <c r="Z54" s="66"/>
      <c r="AA54" s="81"/>
      <c r="AB54" s="81"/>
    </row>
    <row r="55">
      <c r="A55" s="126" t="s">
        <v>1456</v>
      </c>
      <c r="B55" s="25" t="s">
        <v>232</v>
      </c>
      <c r="C55" s="48" t="s">
        <v>1416</v>
      </c>
      <c r="D55" s="118"/>
      <c r="E55" s="66"/>
      <c r="F55" s="88">
        <v>10000.0</v>
      </c>
      <c r="G55" s="88">
        <f t="shared" si="1"/>
        <v>11900</v>
      </c>
      <c r="H55" s="30">
        <v>418.0</v>
      </c>
      <c r="I55" s="88">
        <v>59500.0</v>
      </c>
      <c r="J55" s="66"/>
      <c r="K55" s="26" t="s">
        <v>980</v>
      </c>
      <c r="L55" s="26" t="s">
        <v>234</v>
      </c>
      <c r="M55" s="28" t="s">
        <v>231</v>
      </c>
      <c r="N55" s="28" t="s">
        <v>981</v>
      </c>
      <c r="O55" s="120" t="s">
        <v>1500</v>
      </c>
      <c r="P55" s="29">
        <v>0.0</v>
      </c>
      <c r="Q55" s="70" t="s">
        <v>810</v>
      </c>
      <c r="R55" s="70" t="s">
        <v>1411</v>
      </c>
      <c r="S55" s="150">
        <v>46057.0</v>
      </c>
      <c r="T55" s="48" t="s">
        <v>50</v>
      </c>
      <c r="U55" s="66"/>
      <c r="V55" s="28" t="s">
        <v>983</v>
      </c>
      <c r="W55" s="28" t="s">
        <v>982</v>
      </c>
      <c r="X55" s="106"/>
      <c r="Y55" s="66"/>
      <c r="Z55" s="66"/>
      <c r="AA55" s="81"/>
      <c r="AB55" s="81"/>
    </row>
    <row r="56">
      <c r="A56" s="126" t="s">
        <v>1456</v>
      </c>
      <c r="B56" s="25" t="s">
        <v>1501</v>
      </c>
      <c r="C56" s="48" t="s">
        <v>1362</v>
      </c>
      <c r="D56" s="118"/>
      <c r="E56" s="66"/>
      <c r="F56" s="88">
        <v>30000.0</v>
      </c>
      <c r="G56" s="88">
        <f t="shared" si="1"/>
        <v>35700</v>
      </c>
      <c r="H56" s="30">
        <v>419.0</v>
      </c>
      <c r="I56" s="104"/>
      <c r="J56" s="28"/>
      <c r="K56" s="26" t="s">
        <v>1502</v>
      </c>
      <c r="L56" s="26" t="s">
        <v>1503</v>
      </c>
      <c r="M56" s="28" t="s">
        <v>1504</v>
      </c>
      <c r="N56" s="28" t="s">
        <v>1505</v>
      </c>
      <c r="O56" s="120">
        <v>9.30006395E8</v>
      </c>
      <c r="P56" s="29">
        <v>416.0</v>
      </c>
      <c r="Q56" s="30" t="s">
        <v>810</v>
      </c>
      <c r="R56" s="70" t="s">
        <v>1411</v>
      </c>
      <c r="S56" s="130"/>
      <c r="T56" s="48" t="s">
        <v>50</v>
      </c>
      <c r="U56" s="66"/>
      <c r="V56" s="28" t="s">
        <v>1507</v>
      </c>
      <c r="W56" s="28" t="s">
        <v>1508</v>
      </c>
      <c r="X56" s="106"/>
      <c r="Y56" s="66"/>
      <c r="Z56" s="66"/>
      <c r="AA56" s="81"/>
      <c r="AB56" s="81"/>
    </row>
    <row r="57">
      <c r="A57" s="126" t="s">
        <v>1456</v>
      </c>
      <c r="B57" s="25" t="s">
        <v>984</v>
      </c>
      <c r="C57" s="48" t="s">
        <v>1372</v>
      </c>
      <c r="D57" s="118"/>
      <c r="E57" s="66"/>
      <c r="F57" s="88">
        <v>50000.0</v>
      </c>
      <c r="G57" s="88">
        <f t="shared" si="1"/>
        <v>59500</v>
      </c>
      <c r="H57" s="30">
        <v>420.0</v>
      </c>
      <c r="I57" s="88">
        <v>119000.0</v>
      </c>
      <c r="J57" s="66"/>
      <c r="K57" s="26" t="s">
        <v>47</v>
      </c>
      <c r="L57" s="26" t="s">
        <v>48</v>
      </c>
      <c r="M57" s="28" t="s">
        <v>54</v>
      </c>
      <c r="N57" s="28" t="s">
        <v>985</v>
      </c>
      <c r="O57" s="28" t="s">
        <v>1509</v>
      </c>
      <c r="P57" s="29">
        <v>6000.0</v>
      </c>
      <c r="Q57" s="70" t="s">
        <v>810</v>
      </c>
      <c r="R57" s="70" t="s">
        <v>1411</v>
      </c>
      <c r="S57" s="127">
        <v>46056.0</v>
      </c>
      <c r="T57" s="48" t="s">
        <v>50</v>
      </c>
      <c r="U57" s="66"/>
      <c r="V57" s="28" t="s">
        <v>986</v>
      </c>
      <c r="W57" s="28" t="s">
        <v>811</v>
      </c>
      <c r="X57" s="106"/>
      <c r="Y57" s="66"/>
      <c r="Z57" s="66"/>
      <c r="AA57" s="81"/>
      <c r="AB57" s="81"/>
    </row>
    <row r="58">
      <c r="A58" s="126" t="s">
        <v>1456</v>
      </c>
      <c r="B58" s="25" t="s">
        <v>987</v>
      </c>
      <c r="C58" s="48" t="s">
        <v>1380</v>
      </c>
      <c r="D58" s="118"/>
      <c r="E58" s="66"/>
      <c r="F58" s="88" t="s">
        <v>1381</v>
      </c>
      <c r="G58" s="88">
        <f t="shared" si="1"/>
        <v>0</v>
      </c>
      <c r="H58" s="135" t="s">
        <v>1438</v>
      </c>
      <c r="I58" s="104"/>
      <c r="J58" s="66"/>
      <c r="K58" s="26" t="s">
        <v>988</v>
      </c>
      <c r="L58" s="26" t="s">
        <v>989</v>
      </c>
      <c r="M58" s="28" t="s">
        <v>990</v>
      </c>
      <c r="N58" s="28" t="s">
        <v>991</v>
      </c>
      <c r="O58" s="120" t="s">
        <v>1510</v>
      </c>
      <c r="P58" s="29">
        <v>0.0</v>
      </c>
      <c r="Q58" s="70" t="s">
        <v>810</v>
      </c>
      <c r="R58" s="48" t="s">
        <v>1380</v>
      </c>
      <c r="S58" s="66"/>
      <c r="T58" s="48" t="s">
        <v>50</v>
      </c>
      <c r="U58" s="28" t="s">
        <v>1733</v>
      </c>
      <c r="V58" s="28" t="s">
        <v>993</v>
      </c>
      <c r="W58" s="28" t="s">
        <v>992</v>
      </c>
      <c r="X58" s="106"/>
      <c r="Y58" s="66"/>
      <c r="Z58" s="66"/>
      <c r="AA58" s="81"/>
      <c r="AB58" s="81"/>
    </row>
    <row r="59">
      <c r="A59" s="126" t="s">
        <v>1456</v>
      </c>
      <c r="B59" s="25" t="s">
        <v>1511</v>
      </c>
      <c r="C59" s="48" t="s">
        <v>1362</v>
      </c>
      <c r="D59" s="118"/>
      <c r="E59" s="66"/>
      <c r="F59" s="88">
        <v>30000.0</v>
      </c>
      <c r="G59" s="88">
        <f t="shared" si="1"/>
        <v>35700</v>
      </c>
      <c r="H59" s="30">
        <v>422.0</v>
      </c>
      <c r="I59" s="104"/>
      <c r="J59" s="28"/>
      <c r="K59" s="26" t="s">
        <v>1512</v>
      </c>
      <c r="L59" s="26" t="s">
        <v>1513</v>
      </c>
      <c r="M59" s="25" t="s">
        <v>1514</v>
      </c>
      <c r="N59" s="28" t="s">
        <v>1515</v>
      </c>
      <c r="O59" s="149" t="s">
        <v>1516</v>
      </c>
      <c r="P59" s="47">
        <v>167783.0</v>
      </c>
      <c r="Q59" s="30" t="s">
        <v>811</v>
      </c>
      <c r="R59" s="70" t="s">
        <v>1411</v>
      </c>
      <c r="S59" s="140">
        <v>46052.0</v>
      </c>
      <c r="T59" s="48" t="s">
        <v>50</v>
      </c>
      <c r="U59" s="66"/>
      <c r="V59" s="28" t="s">
        <v>1518</v>
      </c>
      <c r="W59" s="28" t="s">
        <v>1519</v>
      </c>
      <c r="X59" s="106"/>
      <c r="Y59" s="66"/>
      <c r="Z59" s="66"/>
      <c r="AA59" s="81"/>
      <c r="AB59" s="81"/>
    </row>
    <row r="60">
      <c r="A60" s="126" t="s">
        <v>1456</v>
      </c>
      <c r="B60" s="51" t="s">
        <v>994</v>
      </c>
      <c r="C60" s="48" t="s">
        <v>1362</v>
      </c>
      <c r="D60" s="118"/>
      <c r="E60" s="66"/>
      <c r="F60" s="151">
        <v>30000.0</v>
      </c>
      <c r="G60" s="88">
        <f t="shared" si="1"/>
        <v>35700</v>
      </c>
      <c r="H60" s="30">
        <v>423.0</v>
      </c>
      <c r="I60" s="151">
        <v>95200.0</v>
      </c>
      <c r="J60" s="28"/>
      <c r="K60" s="26" t="s">
        <v>75</v>
      </c>
      <c r="L60" s="26" t="s">
        <v>76</v>
      </c>
      <c r="M60" s="52" t="s">
        <v>73</v>
      </c>
      <c r="N60" s="28" t="s">
        <v>995</v>
      </c>
      <c r="O60" s="28" t="s">
        <v>1520</v>
      </c>
      <c r="P60" s="47">
        <v>23139.0</v>
      </c>
      <c r="Q60" s="30" t="s">
        <v>810</v>
      </c>
      <c r="R60" s="70" t="s">
        <v>1411</v>
      </c>
      <c r="S60" s="132">
        <v>46057.0</v>
      </c>
      <c r="T60" s="48" t="s">
        <v>50</v>
      </c>
      <c r="U60" s="66"/>
      <c r="V60" s="28" t="s">
        <v>996</v>
      </c>
      <c r="W60" s="28" t="s">
        <v>80</v>
      </c>
      <c r="X60" s="106"/>
      <c r="Y60" s="66"/>
      <c r="Z60" s="66"/>
      <c r="AA60" s="81"/>
      <c r="AB60" s="81"/>
    </row>
    <row r="61">
      <c r="A61" s="126" t="s">
        <v>1456</v>
      </c>
      <c r="B61" s="25" t="s">
        <v>997</v>
      </c>
      <c r="C61" s="48" t="s">
        <v>1362</v>
      </c>
      <c r="D61" s="118"/>
      <c r="E61" s="66"/>
      <c r="F61" s="88">
        <v>30000.0</v>
      </c>
      <c r="G61" s="88">
        <f t="shared" si="1"/>
        <v>35700</v>
      </c>
      <c r="H61" s="30">
        <v>424.0</v>
      </c>
      <c r="I61" s="104"/>
      <c r="J61" s="28" t="s">
        <v>1521</v>
      </c>
      <c r="K61" s="26" t="s">
        <v>140</v>
      </c>
      <c r="L61" s="26" t="s">
        <v>141</v>
      </c>
      <c r="M61" s="28" t="s">
        <v>998</v>
      </c>
      <c r="N61" s="28" t="s">
        <v>142</v>
      </c>
      <c r="O61" s="120" t="s">
        <v>1522</v>
      </c>
      <c r="P61" s="29">
        <v>1915752.0</v>
      </c>
      <c r="Q61" s="30" t="s">
        <v>810</v>
      </c>
      <c r="R61" s="70" t="s">
        <v>1411</v>
      </c>
      <c r="S61" s="150">
        <v>46058.0</v>
      </c>
      <c r="T61" s="48" t="s">
        <v>50</v>
      </c>
      <c r="U61" s="66"/>
      <c r="V61" s="28" t="s">
        <v>999</v>
      </c>
      <c r="W61" s="53" t="s">
        <v>141</v>
      </c>
      <c r="X61" s="106"/>
      <c r="Y61" s="66"/>
      <c r="Z61" s="66"/>
      <c r="AA61" s="81"/>
      <c r="AB61" s="81"/>
    </row>
    <row r="62">
      <c r="A62" s="126" t="s">
        <v>1456</v>
      </c>
      <c r="B62" s="25" t="s">
        <v>271</v>
      </c>
      <c r="C62" s="28" t="s">
        <v>1416</v>
      </c>
      <c r="D62" s="118"/>
      <c r="E62" s="66"/>
      <c r="F62" s="88">
        <v>10000.0</v>
      </c>
      <c r="G62" s="88">
        <f t="shared" si="1"/>
        <v>11900</v>
      </c>
      <c r="H62" s="213">
        <v>425.0</v>
      </c>
      <c r="I62" s="104"/>
      <c r="J62" s="66"/>
      <c r="K62" s="26" t="s">
        <v>272</v>
      </c>
      <c r="L62" s="26" t="s">
        <v>273</v>
      </c>
      <c r="M62" s="25" t="s">
        <v>277</v>
      </c>
      <c r="N62" s="28" t="s">
        <v>835</v>
      </c>
      <c r="O62" s="28" t="s">
        <v>1382</v>
      </c>
      <c r="P62" s="54">
        <v>0.0</v>
      </c>
      <c r="Q62" s="70" t="s">
        <v>810</v>
      </c>
      <c r="R62" s="70" t="s">
        <v>1411</v>
      </c>
      <c r="S62" s="130"/>
      <c r="T62" s="48" t="s">
        <v>50</v>
      </c>
      <c r="U62" s="66"/>
      <c r="V62" s="28" t="s">
        <v>837</v>
      </c>
      <c r="W62" s="28" t="s">
        <v>275</v>
      </c>
      <c r="X62" s="106"/>
      <c r="Y62" s="66"/>
      <c r="Z62" s="66"/>
      <c r="AA62" s="81"/>
      <c r="AB62" s="81"/>
    </row>
    <row r="63">
      <c r="A63" s="79" t="s">
        <v>1456</v>
      </c>
      <c r="B63" s="25" t="s">
        <v>1523</v>
      </c>
      <c r="C63" s="28" t="s">
        <v>1362</v>
      </c>
      <c r="D63" s="118"/>
      <c r="E63" s="28">
        <v>1.0</v>
      </c>
      <c r="F63" s="88">
        <v>30000.0</v>
      </c>
      <c r="G63" s="88">
        <f t="shared" si="1"/>
        <v>35700</v>
      </c>
      <c r="H63" s="129">
        <v>472.0</v>
      </c>
      <c r="I63" s="104"/>
      <c r="J63" s="28"/>
      <c r="K63" s="26" t="s">
        <v>1524</v>
      </c>
      <c r="L63" s="26" t="s">
        <v>1525</v>
      </c>
      <c r="M63" s="25" t="s">
        <v>1526</v>
      </c>
      <c r="N63" s="28" t="s">
        <v>1527</v>
      </c>
      <c r="O63" s="120">
        <v>9.8828215E8</v>
      </c>
      <c r="P63" s="29">
        <v>385376.0</v>
      </c>
      <c r="Q63" s="70" t="s">
        <v>810</v>
      </c>
      <c r="R63" s="30" t="s">
        <v>1411</v>
      </c>
      <c r="S63" s="134"/>
      <c r="T63" s="28" t="s">
        <v>50</v>
      </c>
      <c r="U63" s="66"/>
      <c r="V63" s="28" t="s">
        <v>1529</v>
      </c>
      <c r="W63" s="28" t="s">
        <v>1530</v>
      </c>
      <c r="X63" s="66"/>
      <c r="Y63" s="66"/>
      <c r="Z63" s="66"/>
      <c r="AA63" s="81"/>
      <c r="AB63" s="81"/>
    </row>
    <row r="64">
      <c r="A64" s="126" t="s">
        <v>1456</v>
      </c>
      <c r="B64" s="25" t="s">
        <v>1000</v>
      </c>
      <c r="C64" s="48" t="s">
        <v>1380</v>
      </c>
      <c r="D64" s="118"/>
      <c r="E64" s="66"/>
      <c r="F64" s="88" t="s">
        <v>1381</v>
      </c>
      <c r="G64" s="88">
        <f t="shared" si="1"/>
        <v>0</v>
      </c>
      <c r="H64" s="135" t="s">
        <v>1438</v>
      </c>
      <c r="I64" s="104"/>
      <c r="J64" s="66"/>
      <c r="K64" s="26" t="s">
        <v>1001</v>
      </c>
      <c r="L64" s="26" t="s">
        <v>1002</v>
      </c>
      <c r="M64" s="28" t="s">
        <v>1003</v>
      </c>
      <c r="N64" s="28" t="s">
        <v>1004</v>
      </c>
      <c r="O64" s="120" t="s">
        <v>1531</v>
      </c>
      <c r="P64" s="29">
        <v>0.0</v>
      </c>
      <c r="Q64" s="70" t="s">
        <v>810</v>
      </c>
      <c r="R64" s="48" t="s">
        <v>1380</v>
      </c>
      <c r="S64" s="66"/>
      <c r="T64" s="48" t="s">
        <v>50</v>
      </c>
      <c r="U64" s="66"/>
      <c r="V64" s="28" t="s">
        <v>1005</v>
      </c>
      <c r="W64" s="28">
        <v>2.7097283E7</v>
      </c>
      <c r="X64" s="106"/>
      <c r="Y64" s="66"/>
      <c r="Z64" s="66"/>
      <c r="AA64" s="81"/>
      <c r="AB64" s="81"/>
    </row>
    <row r="65">
      <c r="A65" s="126" t="s">
        <v>1456</v>
      </c>
      <c r="B65" s="25" t="s">
        <v>1006</v>
      </c>
      <c r="C65" s="48" t="s">
        <v>1380</v>
      </c>
      <c r="D65" s="118"/>
      <c r="E65" s="66"/>
      <c r="F65" s="88" t="s">
        <v>1381</v>
      </c>
      <c r="G65" s="88">
        <f t="shared" si="1"/>
        <v>0</v>
      </c>
      <c r="H65" s="135" t="s">
        <v>1438</v>
      </c>
      <c r="I65" s="104"/>
      <c r="J65" s="66"/>
      <c r="K65" s="26" t="s">
        <v>1007</v>
      </c>
      <c r="L65" s="26" t="s">
        <v>1008</v>
      </c>
      <c r="M65" s="28" t="s">
        <v>1009</v>
      </c>
      <c r="N65" s="56" t="s">
        <v>1010</v>
      </c>
      <c r="O65" s="120" t="s">
        <v>1734</v>
      </c>
      <c r="P65" s="29">
        <v>0.0</v>
      </c>
      <c r="Q65" s="70" t="s">
        <v>810</v>
      </c>
      <c r="R65" s="48" t="s">
        <v>1380</v>
      </c>
      <c r="S65" s="66"/>
      <c r="T65" s="48" t="s">
        <v>50</v>
      </c>
      <c r="U65" s="66"/>
      <c r="V65" s="28" t="s">
        <v>1011</v>
      </c>
      <c r="W65" s="56">
        <v>2.5293632E7</v>
      </c>
      <c r="X65" s="106"/>
      <c r="Y65" s="66"/>
      <c r="Z65" s="66"/>
      <c r="AA65" s="81"/>
      <c r="AB65" s="81"/>
    </row>
    <row r="66">
      <c r="A66" s="126" t="s">
        <v>1456</v>
      </c>
      <c r="B66" s="25" t="s">
        <v>1012</v>
      </c>
      <c r="C66" s="48" t="s">
        <v>1380</v>
      </c>
      <c r="D66" s="118"/>
      <c r="E66" s="66"/>
      <c r="F66" s="88" t="s">
        <v>1381</v>
      </c>
      <c r="G66" s="88">
        <f t="shared" si="1"/>
        <v>0</v>
      </c>
      <c r="H66" s="135" t="s">
        <v>1438</v>
      </c>
      <c r="I66" s="104"/>
      <c r="J66" s="66"/>
      <c r="K66" s="26" t="s">
        <v>1013</v>
      </c>
      <c r="L66" s="26" t="s">
        <v>1014</v>
      </c>
      <c r="M66" s="28" t="s">
        <v>1015</v>
      </c>
      <c r="N66" s="152" t="s">
        <v>1016</v>
      </c>
      <c r="O66" s="120" t="s">
        <v>1533</v>
      </c>
      <c r="P66" s="29" t="s">
        <v>1609</v>
      </c>
      <c r="Q66" s="70" t="s">
        <v>810</v>
      </c>
      <c r="R66" s="48" t="s">
        <v>1380</v>
      </c>
      <c r="S66" s="66"/>
      <c r="T66" s="48" t="s">
        <v>50</v>
      </c>
      <c r="U66" s="66"/>
      <c r="V66" s="28" t="s">
        <v>1017</v>
      </c>
      <c r="W66" s="152">
        <v>1.7680593E7</v>
      </c>
      <c r="X66" s="106"/>
      <c r="Y66" s="66"/>
      <c r="Z66" s="66"/>
      <c r="AA66" s="81"/>
      <c r="AB66" s="81"/>
    </row>
    <row r="67">
      <c r="A67" s="126" t="s">
        <v>1456</v>
      </c>
      <c r="B67" s="25" t="s">
        <v>1019</v>
      </c>
      <c r="C67" s="48" t="s">
        <v>1380</v>
      </c>
      <c r="D67" s="118"/>
      <c r="E67" s="66"/>
      <c r="F67" s="88" t="s">
        <v>1381</v>
      </c>
      <c r="G67" s="88">
        <f t="shared" si="1"/>
        <v>0</v>
      </c>
      <c r="H67" s="135" t="s">
        <v>1438</v>
      </c>
      <c r="I67" s="104"/>
      <c r="J67" s="66"/>
      <c r="K67" s="26" t="s">
        <v>1020</v>
      </c>
      <c r="L67" s="26" t="s">
        <v>1021</v>
      </c>
      <c r="M67" s="28" t="s">
        <v>1022</v>
      </c>
      <c r="N67" s="28" t="s">
        <v>1023</v>
      </c>
      <c r="O67" s="120" t="s">
        <v>1534</v>
      </c>
      <c r="P67" s="29" t="s">
        <v>1609</v>
      </c>
      <c r="Q67" s="70" t="s">
        <v>810</v>
      </c>
      <c r="R67" s="48" t="s">
        <v>1380</v>
      </c>
      <c r="S67" s="66"/>
      <c r="T67" s="48" t="s">
        <v>50</v>
      </c>
      <c r="U67" s="66"/>
      <c r="V67" s="28" t="s">
        <v>1025</v>
      </c>
      <c r="W67" s="28" t="s">
        <v>1024</v>
      </c>
      <c r="X67" s="106"/>
      <c r="Y67" s="66"/>
      <c r="Z67" s="66"/>
      <c r="AA67" s="81"/>
      <c r="AB67" s="81"/>
    </row>
    <row r="68">
      <c r="A68" s="126" t="s">
        <v>1456</v>
      </c>
      <c r="B68" s="25" t="s">
        <v>1026</v>
      </c>
      <c r="C68" s="48" t="s">
        <v>1380</v>
      </c>
      <c r="D68" s="118"/>
      <c r="E68" s="66"/>
      <c r="F68" s="88" t="s">
        <v>1381</v>
      </c>
      <c r="G68" s="88">
        <f t="shared" si="1"/>
        <v>0</v>
      </c>
      <c r="H68" s="135" t="s">
        <v>1438</v>
      </c>
      <c r="I68" s="104"/>
      <c r="J68" s="66"/>
      <c r="K68" s="26" t="s">
        <v>1027</v>
      </c>
      <c r="L68" s="26" t="s">
        <v>1028</v>
      </c>
      <c r="M68" s="28" t="s">
        <v>1029</v>
      </c>
      <c r="N68" s="28" t="s">
        <v>1030</v>
      </c>
      <c r="O68" s="120" t="s">
        <v>1535</v>
      </c>
      <c r="P68" s="29" t="s">
        <v>1609</v>
      </c>
      <c r="Q68" s="70" t="s">
        <v>810</v>
      </c>
      <c r="R68" s="48" t="s">
        <v>1380</v>
      </c>
      <c r="S68" s="66"/>
      <c r="T68" s="48" t="s">
        <v>50</v>
      </c>
      <c r="U68" s="66"/>
      <c r="V68" s="28" t="s">
        <v>1031</v>
      </c>
      <c r="W68" s="28">
        <v>1.8880857E7</v>
      </c>
      <c r="X68" s="106"/>
      <c r="Y68" s="66"/>
      <c r="Z68" s="66"/>
      <c r="AA68" s="81"/>
      <c r="AB68" s="81"/>
    </row>
    <row r="69">
      <c r="A69" s="126" t="s">
        <v>1456</v>
      </c>
      <c r="B69" s="25" t="s">
        <v>1032</v>
      </c>
      <c r="C69" s="48" t="s">
        <v>1380</v>
      </c>
      <c r="D69" s="118"/>
      <c r="E69" s="66"/>
      <c r="F69" s="88" t="s">
        <v>1381</v>
      </c>
      <c r="G69" s="88">
        <f t="shared" si="1"/>
        <v>0</v>
      </c>
      <c r="H69" s="135" t="s">
        <v>1438</v>
      </c>
      <c r="I69" s="104"/>
      <c r="J69" s="66"/>
      <c r="K69" s="26" t="s">
        <v>1033</v>
      </c>
      <c r="L69" s="26" t="s">
        <v>1034</v>
      </c>
      <c r="M69" s="28" t="s">
        <v>1035</v>
      </c>
      <c r="N69" s="28" t="s">
        <v>1036</v>
      </c>
      <c r="O69" s="120" t="s">
        <v>1536</v>
      </c>
      <c r="P69" s="29" t="s">
        <v>1609</v>
      </c>
      <c r="Q69" s="70" t="s">
        <v>810</v>
      </c>
      <c r="R69" s="48" t="s">
        <v>1380</v>
      </c>
      <c r="S69" s="66"/>
      <c r="T69" s="48" t="s">
        <v>50</v>
      </c>
      <c r="U69" s="66"/>
      <c r="V69" s="28" t="s">
        <v>1038</v>
      </c>
      <c r="W69" s="28">
        <v>1.8782436E7</v>
      </c>
      <c r="X69" s="106"/>
      <c r="Y69" s="66"/>
      <c r="Z69" s="66"/>
      <c r="AA69" s="81"/>
      <c r="AB69" s="81"/>
    </row>
    <row r="70">
      <c r="A70" s="126" t="s">
        <v>1456</v>
      </c>
      <c r="B70" s="25" t="s">
        <v>1039</v>
      </c>
      <c r="C70" s="48" t="s">
        <v>1380</v>
      </c>
      <c r="D70" s="118"/>
      <c r="E70" s="66"/>
      <c r="F70" s="88" t="s">
        <v>1381</v>
      </c>
      <c r="G70" s="88">
        <f t="shared" si="1"/>
        <v>0</v>
      </c>
      <c r="H70" s="135" t="s">
        <v>1438</v>
      </c>
      <c r="I70" s="104"/>
      <c r="J70" s="66"/>
      <c r="K70" s="26" t="s">
        <v>1040</v>
      </c>
      <c r="L70" s="26" t="s">
        <v>1041</v>
      </c>
      <c r="M70" s="28" t="s">
        <v>1042</v>
      </c>
      <c r="N70" s="28" t="s">
        <v>1043</v>
      </c>
      <c r="O70" s="120" t="s">
        <v>1536</v>
      </c>
      <c r="P70" s="29" t="s">
        <v>1609</v>
      </c>
      <c r="Q70" s="70" t="s">
        <v>810</v>
      </c>
      <c r="R70" s="48" t="s">
        <v>1380</v>
      </c>
      <c r="S70" s="66"/>
      <c r="T70" s="48" t="s">
        <v>50</v>
      </c>
      <c r="U70" s="66"/>
      <c r="V70" s="28" t="s">
        <v>1046</v>
      </c>
      <c r="W70" s="28" t="s">
        <v>1044</v>
      </c>
      <c r="X70" s="106"/>
      <c r="Y70" s="66"/>
      <c r="Z70" s="66"/>
      <c r="AA70" s="81"/>
      <c r="AB70" s="81"/>
    </row>
    <row r="71">
      <c r="A71" s="126" t="s">
        <v>1456</v>
      </c>
      <c r="B71" s="25" t="s">
        <v>1047</v>
      </c>
      <c r="C71" s="48" t="s">
        <v>1380</v>
      </c>
      <c r="D71" s="118"/>
      <c r="E71" s="66"/>
      <c r="F71" s="88" t="s">
        <v>1381</v>
      </c>
      <c r="G71" s="88">
        <f t="shared" si="1"/>
        <v>0</v>
      </c>
      <c r="H71" s="135" t="s">
        <v>1438</v>
      </c>
      <c r="I71" s="104"/>
      <c r="J71" s="66"/>
      <c r="K71" s="26" t="s">
        <v>1048</v>
      </c>
      <c r="L71" s="26" t="s">
        <v>1049</v>
      </c>
      <c r="M71" s="28" t="s">
        <v>1050</v>
      </c>
      <c r="N71" s="28" t="s">
        <v>1051</v>
      </c>
      <c r="O71" s="120" t="s">
        <v>1536</v>
      </c>
      <c r="P71" s="29" t="s">
        <v>1609</v>
      </c>
      <c r="Q71" s="70" t="s">
        <v>810</v>
      </c>
      <c r="R71" s="48" t="s">
        <v>1380</v>
      </c>
      <c r="S71" s="66"/>
      <c r="T71" s="48" t="s">
        <v>50</v>
      </c>
      <c r="U71" s="66"/>
      <c r="V71" s="28" t="s">
        <v>1053</v>
      </c>
      <c r="W71" s="28" t="s">
        <v>1052</v>
      </c>
      <c r="X71" s="106"/>
      <c r="Y71" s="66"/>
      <c r="Z71" s="66"/>
      <c r="AA71" s="81"/>
      <c r="AB71" s="81"/>
    </row>
    <row r="72">
      <c r="A72" s="126" t="s">
        <v>1456</v>
      </c>
      <c r="B72" s="25" t="s">
        <v>1054</v>
      </c>
      <c r="C72" s="48" t="s">
        <v>1380</v>
      </c>
      <c r="D72" s="118"/>
      <c r="E72" s="66"/>
      <c r="F72" s="88" t="s">
        <v>1381</v>
      </c>
      <c r="G72" s="88">
        <f t="shared" si="1"/>
        <v>0</v>
      </c>
      <c r="H72" s="135" t="s">
        <v>1438</v>
      </c>
      <c r="I72" s="104"/>
      <c r="J72" s="66"/>
      <c r="K72" s="26">
        <v>1.43516717E8</v>
      </c>
      <c r="L72" s="26" t="s">
        <v>1055</v>
      </c>
      <c r="M72" s="28" t="s">
        <v>1056</v>
      </c>
      <c r="N72" s="28" t="s">
        <v>1057</v>
      </c>
      <c r="O72" s="120" t="s">
        <v>1536</v>
      </c>
      <c r="P72" s="29" t="s">
        <v>1609</v>
      </c>
      <c r="Q72" s="70" t="s">
        <v>810</v>
      </c>
      <c r="R72" s="48" t="s">
        <v>1380</v>
      </c>
      <c r="S72" s="66"/>
      <c r="T72" s="48" t="s">
        <v>50</v>
      </c>
      <c r="U72" s="66"/>
      <c r="V72" s="28" t="s">
        <v>1054</v>
      </c>
      <c r="W72" s="28" t="s">
        <v>1055</v>
      </c>
      <c r="X72" s="106"/>
      <c r="Y72" s="66"/>
      <c r="Z72" s="66"/>
      <c r="AA72" s="81"/>
      <c r="AB72" s="81"/>
    </row>
    <row r="73">
      <c r="A73" s="126" t="s">
        <v>1456</v>
      </c>
      <c r="B73" s="25" t="s">
        <v>1058</v>
      </c>
      <c r="C73" s="48" t="s">
        <v>1380</v>
      </c>
      <c r="D73" s="118"/>
      <c r="E73" s="66"/>
      <c r="F73" s="88" t="s">
        <v>1381</v>
      </c>
      <c r="G73" s="88">
        <f t="shared" si="1"/>
        <v>0</v>
      </c>
      <c r="H73" s="135" t="s">
        <v>1438</v>
      </c>
      <c r="I73" s="104"/>
      <c r="J73" s="66"/>
      <c r="K73" s="26" t="s">
        <v>1059</v>
      </c>
      <c r="L73" s="26" t="s">
        <v>1060</v>
      </c>
      <c r="M73" s="28" t="s">
        <v>1061</v>
      </c>
      <c r="N73" s="28" t="s">
        <v>981</v>
      </c>
      <c r="O73" s="120" t="s">
        <v>1536</v>
      </c>
      <c r="P73" s="62" t="s">
        <v>1609</v>
      </c>
      <c r="Q73" s="70" t="s">
        <v>810</v>
      </c>
      <c r="R73" s="48" t="s">
        <v>1380</v>
      </c>
      <c r="S73" s="66"/>
      <c r="T73" s="48" t="s">
        <v>50</v>
      </c>
      <c r="U73" s="66"/>
      <c r="V73" s="28" t="s">
        <v>1062</v>
      </c>
      <c r="W73" s="28">
        <v>2.60616528E8</v>
      </c>
      <c r="X73" s="106"/>
      <c r="Y73" s="66"/>
      <c r="Z73" s="66"/>
      <c r="AA73" s="81"/>
      <c r="AB73" s="81"/>
    </row>
    <row r="74">
      <c r="A74" s="126" t="s">
        <v>1456</v>
      </c>
      <c r="B74" s="25" t="s">
        <v>1063</v>
      </c>
      <c r="C74" s="48" t="s">
        <v>1362</v>
      </c>
      <c r="D74" s="118"/>
      <c r="E74" s="66"/>
      <c r="F74" s="88">
        <v>30000.0</v>
      </c>
      <c r="G74" s="88">
        <f t="shared" si="1"/>
        <v>35700</v>
      </c>
      <c r="H74" s="30">
        <v>408.0</v>
      </c>
      <c r="I74" s="104"/>
      <c r="J74" s="66"/>
      <c r="K74" s="26" t="s">
        <v>720</v>
      </c>
      <c r="L74" s="26" t="s">
        <v>721</v>
      </c>
      <c r="M74" s="28" t="s">
        <v>718</v>
      </c>
      <c r="N74" s="28" t="s">
        <v>1064</v>
      </c>
      <c r="O74" s="120" t="s">
        <v>1537</v>
      </c>
      <c r="P74" s="29">
        <v>52994.0</v>
      </c>
      <c r="Q74" s="30" t="s">
        <v>810</v>
      </c>
      <c r="R74" s="70" t="s">
        <v>1411</v>
      </c>
      <c r="S74" s="127">
        <v>45698.0</v>
      </c>
      <c r="T74" s="48" t="s">
        <v>50</v>
      </c>
      <c r="U74" s="66"/>
      <c r="V74" s="28" t="s">
        <v>1065</v>
      </c>
      <c r="W74" s="28">
        <v>2.6671708E7</v>
      </c>
      <c r="X74" s="106"/>
      <c r="Y74" s="66"/>
      <c r="Z74" s="66"/>
      <c r="AA74" s="81"/>
      <c r="AB74" s="81"/>
    </row>
    <row r="75">
      <c r="A75" s="126" t="s">
        <v>1456</v>
      </c>
      <c r="B75" s="25" t="s">
        <v>1066</v>
      </c>
      <c r="C75" s="48" t="s">
        <v>1362</v>
      </c>
      <c r="D75" s="118"/>
      <c r="E75" s="66"/>
      <c r="F75" s="88">
        <v>30000.0</v>
      </c>
      <c r="G75" s="88">
        <f t="shared" si="1"/>
        <v>35700</v>
      </c>
      <c r="H75" s="30">
        <v>409.0</v>
      </c>
      <c r="I75" s="104"/>
      <c r="J75" s="66"/>
      <c r="K75" s="26" t="s">
        <v>696</v>
      </c>
      <c r="L75" s="26" t="s">
        <v>697</v>
      </c>
      <c r="M75" s="28" t="s">
        <v>694</v>
      </c>
      <c r="N75" s="28" t="s">
        <v>696</v>
      </c>
      <c r="O75" s="120" t="s">
        <v>1538</v>
      </c>
      <c r="P75" s="29">
        <v>0.0</v>
      </c>
      <c r="Q75" s="70" t="s">
        <v>810</v>
      </c>
      <c r="R75" s="70" t="s">
        <v>1411</v>
      </c>
      <c r="S75" s="132">
        <v>46058.0</v>
      </c>
      <c r="T75" s="48" t="s">
        <v>50</v>
      </c>
      <c r="U75" s="66"/>
      <c r="V75" s="28" t="s">
        <v>1066</v>
      </c>
      <c r="W75" s="28" t="s">
        <v>697</v>
      </c>
      <c r="X75" s="106"/>
      <c r="Y75" s="66"/>
      <c r="Z75" s="66"/>
      <c r="AA75" s="81"/>
      <c r="AB75" s="81"/>
    </row>
    <row r="76">
      <c r="A76" s="126" t="s">
        <v>1456</v>
      </c>
      <c r="B76" s="25" t="s">
        <v>1067</v>
      </c>
      <c r="C76" s="48" t="s">
        <v>1372</v>
      </c>
      <c r="D76" s="118"/>
      <c r="E76" s="28">
        <v>2.0</v>
      </c>
      <c r="F76" s="88">
        <v>50000.0</v>
      </c>
      <c r="G76" s="88">
        <f t="shared" si="1"/>
        <v>59500</v>
      </c>
      <c r="H76" s="30">
        <v>426.0</v>
      </c>
      <c r="I76" s="97">
        <v>119000.0</v>
      </c>
      <c r="J76" s="28" t="s">
        <v>1539</v>
      </c>
      <c r="K76" s="26" t="s">
        <v>433</v>
      </c>
      <c r="L76" s="26" t="s">
        <v>426</v>
      </c>
      <c r="M76" s="25" t="s">
        <v>855</v>
      </c>
      <c r="N76" s="28" t="s">
        <v>856</v>
      </c>
      <c r="O76" s="120">
        <v>9.55255801E8</v>
      </c>
      <c r="P76" s="29">
        <v>533777.0</v>
      </c>
      <c r="Q76" s="70" t="s">
        <v>810</v>
      </c>
      <c r="R76" s="70" t="s">
        <v>1411</v>
      </c>
      <c r="S76" s="136"/>
      <c r="T76" s="48" t="s">
        <v>50</v>
      </c>
      <c r="U76" s="66"/>
      <c r="V76" s="28" t="s">
        <v>858</v>
      </c>
      <c r="W76" s="28" t="s">
        <v>857</v>
      </c>
      <c r="X76" s="106"/>
      <c r="Y76" s="66"/>
      <c r="Z76" s="66"/>
      <c r="AA76" s="81"/>
      <c r="AB76" s="81"/>
    </row>
    <row r="77">
      <c r="A77" s="126" t="s">
        <v>1456</v>
      </c>
      <c r="B77" s="25" t="s">
        <v>1068</v>
      </c>
      <c r="C77" s="48" t="s">
        <v>1362</v>
      </c>
      <c r="D77" s="118"/>
      <c r="E77" s="66"/>
      <c r="F77" s="88">
        <v>30000.0</v>
      </c>
      <c r="G77" s="88">
        <f t="shared" si="1"/>
        <v>35700</v>
      </c>
      <c r="H77" s="30">
        <v>410.0</v>
      </c>
      <c r="I77" s="104"/>
      <c r="J77" s="25"/>
      <c r="K77" s="26" t="s">
        <v>395</v>
      </c>
      <c r="L77" s="26" t="s">
        <v>396</v>
      </c>
      <c r="M77" s="28" t="s">
        <v>393</v>
      </c>
      <c r="N77" s="28" t="s">
        <v>936</v>
      </c>
      <c r="O77" s="139">
        <v>9.85582338E8</v>
      </c>
      <c r="P77" s="29">
        <v>261369.0</v>
      </c>
      <c r="Q77" s="30" t="s">
        <v>810</v>
      </c>
      <c r="R77" s="70" t="s">
        <v>1411</v>
      </c>
      <c r="S77" s="141">
        <v>46058.0</v>
      </c>
      <c r="T77" s="48" t="s">
        <v>50</v>
      </c>
      <c r="U77" s="66"/>
      <c r="V77" s="28" t="s">
        <v>937</v>
      </c>
      <c r="W77" s="28" t="s">
        <v>399</v>
      </c>
      <c r="X77" s="106"/>
      <c r="Y77" s="66"/>
      <c r="Z77" s="66"/>
      <c r="AA77" s="81"/>
      <c r="AB77" s="81"/>
    </row>
    <row r="78">
      <c r="A78" s="126" t="s">
        <v>1456</v>
      </c>
      <c r="B78" s="51" t="s">
        <v>1069</v>
      </c>
      <c r="C78" s="48" t="s">
        <v>1362</v>
      </c>
      <c r="D78" s="153"/>
      <c r="E78" s="106"/>
      <c r="F78" s="151">
        <v>30000.0</v>
      </c>
      <c r="G78" s="151">
        <f t="shared" si="1"/>
        <v>35700</v>
      </c>
      <c r="H78" s="70">
        <v>411.0</v>
      </c>
      <c r="I78" s="154">
        <v>85200.0</v>
      </c>
      <c r="J78" s="28"/>
      <c r="K78" s="155" t="s">
        <v>379</v>
      </c>
      <c r="L78" s="155" t="s">
        <v>380</v>
      </c>
      <c r="M78" s="48" t="s">
        <v>377</v>
      </c>
      <c r="N78" s="48" t="s">
        <v>1070</v>
      </c>
      <c r="O78" s="70" t="s">
        <v>1541</v>
      </c>
      <c r="P78" s="47">
        <v>5769.0</v>
      </c>
      <c r="Q78" s="70" t="s">
        <v>810</v>
      </c>
      <c r="R78" s="70" t="s">
        <v>1411</v>
      </c>
      <c r="S78" s="156"/>
      <c r="T78" s="48" t="s">
        <v>50</v>
      </c>
      <c r="U78" s="106"/>
      <c r="V78" s="48" t="s">
        <v>1072</v>
      </c>
      <c r="W78" s="48" t="s">
        <v>1071</v>
      </c>
      <c r="X78" s="106"/>
      <c r="Y78" s="106"/>
      <c r="Z78" s="106"/>
      <c r="AA78" s="94"/>
      <c r="AB78" s="94"/>
    </row>
    <row r="79">
      <c r="A79" s="126" t="s">
        <v>1542</v>
      </c>
      <c r="B79" s="51" t="s">
        <v>1073</v>
      </c>
      <c r="C79" s="48" t="s">
        <v>1413</v>
      </c>
      <c r="D79" s="118"/>
      <c r="E79" s="28" t="s">
        <v>1543</v>
      </c>
      <c r="F79" s="157">
        <v>60504.0</v>
      </c>
      <c r="G79" s="88">
        <f t="shared" si="1"/>
        <v>71999.76</v>
      </c>
      <c r="H79" s="129">
        <v>469.0</v>
      </c>
      <c r="I79" s="151">
        <v>59500.0</v>
      </c>
      <c r="J79" s="66"/>
      <c r="K79" s="61" t="s">
        <v>67</v>
      </c>
      <c r="L79" s="26" t="s">
        <v>68</v>
      </c>
      <c r="M79" s="28" t="s">
        <v>65</v>
      </c>
      <c r="N79" s="28" t="s">
        <v>1074</v>
      </c>
      <c r="O79" s="120" t="s">
        <v>1544</v>
      </c>
      <c r="P79" s="29">
        <v>0.0</v>
      </c>
      <c r="Q79" s="70" t="s">
        <v>810</v>
      </c>
      <c r="R79" s="70" t="s">
        <v>1411</v>
      </c>
      <c r="S79" s="132">
        <v>46056.0</v>
      </c>
      <c r="T79" s="48" t="s">
        <v>50</v>
      </c>
      <c r="U79" s="66"/>
      <c r="V79" s="28" t="s">
        <v>1075</v>
      </c>
      <c r="W79" s="28" t="s">
        <v>71</v>
      </c>
      <c r="X79" s="106"/>
      <c r="Y79" s="66"/>
      <c r="Z79" s="66"/>
      <c r="AA79" s="81"/>
      <c r="AB79" s="81"/>
    </row>
    <row r="80">
      <c r="A80" s="126" t="s">
        <v>1542</v>
      </c>
      <c r="B80" s="25" t="s">
        <v>1076</v>
      </c>
      <c r="C80" s="48" t="s">
        <v>1380</v>
      </c>
      <c r="D80" s="118"/>
      <c r="E80" s="66"/>
      <c r="F80" s="88" t="s">
        <v>1381</v>
      </c>
      <c r="G80" s="88">
        <f t="shared" si="1"/>
        <v>0</v>
      </c>
      <c r="H80" s="135" t="s">
        <v>1438</v>
      </c>
      <c r="I80" s="104"/>
      <c r="J80" s="66"/>
      <c r="K80" s="26" t="s">
        <v>1077</v>
      </c>
      <c r="L80" s="26" t="s">
        <v>1078</v>
      </c>
      <c r="M80" s="28" t="s">
        <v>1079</v>
      </c>
      <c r="N80" s="56" t="s">
        <v>1080</v>
      </c>
      <c r="O80" s="120" t="s">
        <v>1545</v>
      </c>
      <c r="P80" s="29" t="s">
        <v>1735</v>
      </c>
      <c r="Q80" s="70" t="s">
        <v>810</v>
      </c>
      <c r="R80" s="48" t="s">
        <v>1380</v>
      </c>
      <c r="S80" s="66"/>
      <c r="T80" s="48" t="s">
        <v>50</v>
      </c>
      <c r="U80" s="66"/>
      <c r="V80" s="28" t="s">
        <v>1081</v>
      </c>
      <c r="W80" s="28" t="s">
        <v>1078</v>
      </c>
      <c r="X80" s="106"/>
      <c r="Y80" s="66"/>
      <c r="Z80" s="66"/>
      <c r="AA80" s="81"/>
      <c r="AB80" s="81"/>
    </row>
    <row r="81">
      <c r="A81" s="126" t="s">
        <v>1542</v>
      </c>
      <c r="B81" s="25" t="s">
        <v>1082</v>
      </c>
      <c r="C81" s="48" t="s">
        <v>1380</v>
      </c>
      <c r="D81" s="118"/>
      <c r="E81" s="66"/>
      <c r="F81" s="88" t="s">
        <v>1381</v>
      </c>
      <c r="G81" s="88">
        <f t="shared" si="1"/>
        <v>0</v>
      </c>
      <c r="H81" s="135" t="s">
        <v>1438</v>
      </c>
      <c r="I81" s="104"/>
      <c r="J81" s="66"/>
      <c r="K81" s="26" t="s">
        <v>1083</v>
      </c>
      <c r="L81" s="26" t="s">
        <v>1084</v>
      </c>
      <c r="M81" s="28" t="s">
        <v>1085</v>
      </c>
      <c r="N81" s="56" t="s">
        <v>1086</v>
      </c>
      <c r="O81" s="120">
        <v>9.72169399E8</v>
      </c>
      <c r="P81" s="29">
        <v>0.0</v>
      </c>
      <c r="Q81" s="70" t="s">
        <v>810</v>
      </c>
      <c r="R81" s="48" t="s">
        <v>1380</v>
      </c>
      <c r="S81" s="66"/>
      <c r="T81" s="48" t="s">
        <v>50</v>
      </c>
      <c r="U81" s="66"/>
      <c r="V81" s="28" t="s">
        <v>1088</v>
      </c>
      <c r="W81" s="56" t="s">
        <v>1087</v>
      </c>
      <c r="X81" s="106"/>
      <c r="Y81" s="66"/>
      <c r="Z81" s="66"/>
      <c r="AA81" s="81"/>
      <c r="AB81" s="81"/>
    </row>
    <row r="82">
      <c r="A82" s="126" t="s">
        <v>1542</v>
      </c>
      <c r="B82" s="25" t="s">
        <v>1089</v>
      </c>
      <c r="C82" s="48" t="s">
        <v>1416</v>
      </c>
      <c r="D82" s="118"/>
      <c r="E82" s="66"/>
      <c r="F82" s="88">
        <v>10000.0</v>
      </c>
      <c r="G82" s="88">
        <f t="shared" si="1"/>
        <v>11900</v>
      </c>
      <c r="H82" s="30">
        <v>412.0</v>
      </c>
      <c r="I82" s="104"/>
      <c r="J82" s="30" t="s">
        <v>1547</v>
      </c>
      <c r="K82" s="26" t="s">
        <v>515</v>
      </c>
      <c r="L82" s="62" t="s">
        <v>516</v>
      </c>
      <c r="M82" s="28" t="s">
        <v>513</v>
      </c>
      <c r="N82" s="28" t="s">
        <v>515</v>
      </c>
      <c r="O82" s="120" t="s">
        <v>1548</v>
      </c>
      <c r="P82" s="29">
        <v>0.0</v>
      </c>
      <c r="Q82" s="70" t="s">
        <v>810</v>
      </c>
      <c r="R82" s="70" t="s">
        <v>1411</v>
      </c>
      <c r="S82" s="128">
        <v>46060.0</v>
      </c>
      <c r="T82" s="48" t="s">
        <v>50</v>
      </c>
      <c r="U82" s="66"/>
      <c r="V82" s="28" t="s">
        <v>1091</v>
      </c>
      <c r="W82" s="28" t="s">
        <v>1090</v>
      </c>
      <c r="X82" s="106"/>
      <c r="Y82" s="66"/>
      <c r="Z82" s="66"/>
      <c r="AA82" s="81"/>
      <c r="AB82" s="81"/>
    </row>
    <row r="83">
      <c r="A83" s="79" t="s">
        <v>1542</v>
      </c>
      <c r="B83" s="25" t="s">
        <v>1093</v>
      </c>
      <c r="C83" s="28" t="s">
        <v>1372</v>
      </c>
      <c r="D83" s="118"/>
      <c r="E83" s="28">
        <v>1.0</v>
      </c>
      <c r="F83" s="88">
        <v>60000.0</v>
      </c>
      <c r="G83" s="88">
        <f t="shared" si="1"/>
        <v>71400</v>
      </c>
      <c r="H83" s="30">
        <v>427.0</v>
      </c>
      <c r="I83" s="104"/>
      <c r="J83" s="28"/>
      <c r="K83" s="26" t="s">
        <v>112</v>
      </c>
      <c r="L83" s="26" t="s">
        <v>113</v>
      </c>
      <c r="M83" s="28" t="s">
        <v>110</v>
      </c>
      <c r="N83" s="56" t="s">
        <v>1094</v>
      </c>
      <c r="O83" s="28" t="s">
        <v>1549</v>
      </c>
      <c r="P83" s="29">
        <v>1883.0</v>
      </c>
      <c r="Q83" s="30" t="s">
        <v>810</v>
      </c>
      <c r="R83" s="30" t="s">
        <v>1411</v>
      </c>
      <c r="S83" s="134"/>
      <c r="T83" s="28" t="s">
        <v>50</v>
      </c>
      <c r="U83" s="66"/>
      <c r="V83" s="28" t="s">
        <v>1095</v>
      </c>
      <c r="W83" s="28" t="s">
        <v>113</v>
      </c>
      <c r="X83" s="66"/>
      <c r="Y83" s="66"/>
      <c r="Z83" s="66"/>
      <c r="AA83" s="81"/>
      <c r="AB83" s="81"/>
    </row>
    <row r="84">
      <c r="A84" s="126" t="s">
        <v>1542</v>
      </c>
      <c r="B84" s="25" t="s">
        <v>1550</v>
      </c>
      <c r="C84" s="48" t="s">
        <v>1362</v>
      </c>
      <c r="D84" s="118"/>
      <c r="E84" s="66"/>
      <c r="F84" s="88">
        <v>30000.0</v>
      </c>
      <c r="G84" s="88">
        <f t="shared" si="1"/>
        <v>35700</v>
      </c>
      <c r="H84" s="30">
        <v>428.0</v>
      </c>
      <c r="I84" s="104"/>
      <c r="J84" s="28"/>
      <c r="K84" s="26" t="s">
        <v>1551</v>
      </c>
      <c r="L84" s="26" t="s">
        <v>1552</v>
      </c>
      <c r="M84" s="28" t="s">
        <v>1553</v>
      </c>
      <c r="N84" s="28" t="s">
        <v>1554</v>
      </c>
      <c r="O84" s="120" t="s">
        <v>1555</v>
      </c>
      <c r="P84" s="47">
        <v>2777.0</v>
      </c>
      <c r="Q84" s="30" t="s">
        <v>810</v>
      </c>
      <c r="R84" s="70" t="s">
        <v>1411</v>
      </c>
      <c r="S84" s="131">
        <v>46065.0</v>
      </c>
      <c r="T84" s="48" t="s">
        <v>50</v>
      </c>
      <c r="U84" s="66"/>
      <c r="V84" s="28" t="s">
        <v>1556</v>
      </c>
      <c r="W84" s="28" t="s">
        <v>1552</v>
      </c>
      <c r="X84" s="106"/>
      <c r="Y84" s="66"/>
      <c r="Z84" s="66"/>
      <c r="AA84" s="81"/>
      <c r="AB84" s="81"/>
    </row>
    <row r="85">
      <c r="A85" s="126" t="s">
        <v>1542</v>
      </c>
      <c r="B85" s="25" t="s">
        <v>184</v>
      </c>
      <c r="C85" s="48" t="s">
        <v>1362</v>
      </c>
      <c r="D85" s="118"/>
      <c r="E85" s="66"/>
      <c r="F85" s="124">
        <v>30000.0</v>
      </c>
      <c r="G85" s="88">
        <f t="shared" si="1"/>
        <v>35700</v>
      </c>
      <c r="H85" s="30">
        <v>429.0</v>
      </c>
      <c r="I85" s="97">
        <v>95200.0</v>
      </c>
      <c r="J85" s="66"/>
      <c r="K85" s="26" t="s">
        <v>185</v>
      </c>
      <c r="L85" s="26" t="s">
        <v>186</v>
      </c>
      <c r="M85" s="28" t="s">
        <v>1096</v>
      </c>
      <c r="N85" s="28" t="s">
        <v>1097</v>
      </c>
      <c r="O85" s="139" t="s">
        <v>1557</v>
      </c>
      <c r="P85" s="29">
        <v>2711.0</v>
      </c>
      <c r="Q85" s="30" t="s">
        <v>810</v>
      </c>
      <c r="R85" s="70" t="s">
        <v>1411</v>
      </c>
      <c r="S85" s="141">
        <v>46058.0</v>
      </c>
      <c r="T85" s="48" t="s">
        <v>50</v>
      </c>
      <c r="U85" s="66"/>
      <c r="V85" s="30" t="s">
        <v>1099</v>
      </c>
      <c r="W85" s="28" t="s">
        <v>1098</v>
      </c>
      <c r="X85" s="106"/>
      <c r="Y85" s="66"/>
      <c r="Z85" s="66"/>
      <c r="AA85" s="81"/>
      <c r="AB85" s="81"/>
    </row>
    <row r="86">
      <c r="A86" s="126" t="s">
        <v>1542</v>
      </c>
      <c r="B86" s="25" t="s">
        <v>1100</v>
      </c>
      <c r="C86" s="48" t="s">
        <v>1380</v>
      </c>
      <c r="D86" s="118"/>
      <c r="E86" s="66"/>
      <c r="F86" s="88" t="s">
        <v>1381</v>
      </c>
      <c r="G86" s="88">
        <f t="shared" si="1"/>
        <v>0</v>
      </c>
      <c r="H86" s="135" t="s">
        <v>1438</v>
      </c>
      <c r="I86" s="104"/>
      <c r="J86" s="66"/>
      <c r="K86" s="26" t="s">
        <v>1101</v>
      </c>
      <c r="L86" s="26" t="s">
        <v>1102</v>
      </c>
      <c r="M86" s="28" t="s">
        <v>1103</v>
      </c>
      <c r="N86" s="28">
        <v>2.76641999E8</v>
      </c>
      <c r="O86" s="120" t="s">
        <v>1558</v>
      </c>
      <c r="P86" s="29" t="s">
        <v>1735</v>
      </c>
      <c r="Q86" s="70" t="s">
        <v>810</v>
      </c>
      <c r="R86" s="48" t="s">
        <v>1380</v>
      </c>
      <c r="S86" s="66"/>
      <c r="T86" s="48" t="s">
        <v>50</v>
      </c>
      <c r="U86" s="66"/>
      <c r="V86" s="28" t="s">
        <v>1105</v>
      </c>
      <c r="W86" s="28" t="s">
        <v>1104</v>
      </c>
      <c r="X86" s="106"/>
      <c r="Y86" s="66"/>
      <c r="Z86" s="66"/>
      <c r="AA86" s="81"/>
      <c r="AB86" s="81"/>
    </row>
    <row r="87">
      <c r="A87" s="126" t="s">
        <v>1542</v>
      </c>
      <c r="B87" s="59" t="s">
        <v>1106</v>
      </c>
      <c r="C87" s="48" t="s">
        <v>1362</v>
      </c>
      <c r="D87" s="192"/>
      <c r="E87" s="46">
        <v>1.0</v>
      </c>
      <c r="F87" s="90">
        <v>40000.0</v>
      </c>
      <c r="G87" s="90">
        <f t="shared" si="1"/>
        <v>47600</v>
      </c>
      <c r="H87" s="135" t="s">
        <v>1438</v>
      </c>
      <c r="I87" s="184"/>
      <c r="J87" s="46" t="s">
        <v>1687</v>
      </c>
      <c r="K87" s="45" t="s">
        <v>387</v>
      </c>
      <c r="L87" s="60" t="s">
        <v>388</v>
      </c>
      <c r="M87" s="46" t="s">
        <v>385</v>
      </c>
      <c r="N87" s="46" t="s">
        <v>1107</v>
      </c>
      <c r="O87" s="194">
        <v>9.36563637E8</v>
      </c>
      <c r="P87" s="47">
        <v>38815.0</v>
      </c>
      <c r="Q87" s="70" t="s">
        <v>810</v>
      </c>
      <c r="R87" s="70" t="s">
        <v>1411</v>
      </c>
      <c r="S87" s="214"/>
      <c r="T87" s="48" t="s">
        <v>38</v>
      </c>
      <c r="U87" s="69"/>
      <c r="V87" s="46" t="s">
        <v>1109</v>
      </c>
      <c r="W87" s="46" t="s">
        <v>1108</v>
      </c>
      <c r="X87" s="106"/>
      <c r="Y87" s="69"/>
      <c r="Z87" s="69"/>
      <c r="AA87" s="73"/>
      <c r="AB87" s="73"/>
    </row>
    <row r="88">
      <c r="A88" s="126" t="s">
        <v>1542</v>
      </c>
      <c r="B88" s="25" t="s">
        <v>1110</v>
      </c>
      <c r="C88" s="48" t="s">
        <v>1416</v>
      </c>
      <c r="D88" s="118"/>
      <c r="E88" s="66"/>
      <c r="F88" s="88">
        <v>10000.0</v>
      </c>
      <c r="G88" s="88">
        <f t="shared" si="1"/>
        <v>11900</v>
      </c>
      <c r="H88" s="30">
        <v>430.0</v>
      </c>
      <c r="I88" s="97">
        <v>59500.0</v>
      </c>
      <c r="J88" s="66"/>
      <c r="K88" s="26" t="s">
        <v>1111</v>
      </c>
      <c r="L88" s="26" t="s">
        <v>283</v>
      </c>
      <c r="M88" s="28" t="s">
        <v>280</v>
      </c>
      <c r="N88" s="28" t="s">
        <v>284</v>
      </c>
      <c r="O88" s="120">
        <v>9.59527618E8</v>
      </c>
      <c r="P88" s="63">
        <v>0.0</v>
      </c>
      <c r="Q88" s="70" t="s">
        <v>810</v>
      </c>
      <c r="R88" s="70" t="s">
        <v>1411</v>
      </c>
      <c r="S88" s="132">
        <v>46055.0</v>
      </c>
      <c r="T88" s="48" t="s">
        <v>50</v>
      </c>
      <c r="U88" s="66"/>
      <c r="V88" s="28" t="s">
        <v>1112</v>
      </c>
      <c r="W88" s="28" t="s">
        <v>285</v>
      </c>
      <c r="X88" s="106"/>
      <c r="Y88" s="66"/>
      <c r="Z88" s="66"/>
      <c r="AA88" s="81"/>
      <c r="AB88" s="81"/>
    </row>
    <row r="89">
      <c r="A89" s="126" t="s">
        <v>1542</v>
      </c>
      <c r="B89" s="25" t="s">
        <v>1113</v>
      </c>
      <c r="C89" s="48" t="s">
        <v>1416</v>
      </c>
      <c r="D89" s="118"/>
      <c r="E89" s="66"/>
      <c r="F89" s="88">
        <v>10000.0</v>
      </c>
      <c r="G89" s="88">
        <f t="shared" si="1"/>
        <v>11900</v>
      </c>
      <c r="H89" s="30">
        <v>431.0</v>
      </c>
      <c r="I89" s="104"/>
      <c r="J89" s="66"/>
      <c r="K89" s="26" t="s">
        <v>511</v>
      </c>
      <c r="L89" s="26" t="s">
        <v>512</v>
      </c>
      <c r="M89" s="28" t="s">
        <v>1114</v>
      </c>
      <c r="N89" s="28" t="s">
        <v>1115</v>
      </c>
      <c r="O89" s="120" t="s">
        <v>1559</v>
      </c>
      <c r="P89" s="29">
        <v>0.0</v>
      </c>
      <c r="Q89" s="70" t="s">
        <v>810</v>
      </c>
      <c r="R89" s="70" t="s">
        <v>1411</v>
      </c>
      <c r="S89" s="127">
        <v>46059.0</v>
      </c>
      <c r="T89" s="48" t="s">
        <v>50</v>
      </c>
      <c r="U89" s="66"/>
      <c r="V89" s="28" t="s">
        <v>1116</v>
      </c>
      <c r="W89" s="28" t="s">
        <v>512</v>
      </c>
      <c r="X89" s="106"/>
      <c r="Y89" s="66"/>
      <c r="Z89" s="66"/>
      <c r="AA89" s="81"/>
      <c r="AB89" s="81"/>
    </row>
    <row r="90">
      <c r="A90" s="126" t="s">
        <v>1542</v>
      </c>
      <c r="B90" s="25" t="s">
        <v>1117</v>
      </c>
      <c r="C90" s="48" t="s">
        <v>1372</v>
      </c>
      <c r="D90" s="135">
        <v>2.0</v>
      </c>
      <c r="E90" s="28">
        <v>16.0</v>
      </c>
      <c r="F90" s="88">
        <f>(60500+14*5000)</f>
        <v>130500</v>
      </c>
      <c r="G90" s="88">
        <f t="shared" si="1"/>
        <v>155295</v>
      </c>
      <c r="H90" s="30">
        <v>432.0</v>
      </c>
      <c r="I90" s="97">
        <v>119000.0</v>
      </c>
      <c r="J90" s="28"/>
      <c r="K90" s="26" t="s">
        <v>411</v>
      </c>
      <c r="L90" s="26" t="s">
        <v>412</v>
      </c>
      <c r="M90" s="25" t="s">
        <v>1118</v>
      </c>
      <c r="N90" s="28" t="s">
        <v>1119</v>
      </c>
      <c r="O90" s="120">
        <v>5.6959543856E10</v>
      </c>
      <c r="P90" s="47">
        <v>0.0</v>
      </c>
      <c r="Q90" s="70" t="s">
        <v>810</v>
      </c>
      <c r="R90" s="70" t="s">
        <v>1411</v>
      </c>
      <c r="S90" s="127">
        <v>46059.0</v>
      </c>
      <c r="T90" s="48" t="s">
        <v>50</v>
      </c>
      <c r="U90" s="66"/>
      <c r="V90" s="28" t="s">
        <v>1121</v>
      </c>
      <c r="W90" s="28" t="s">
        <v>1120</v>
      </c>
      <c r="X90" s="106"/>
      <c r="Y90" s="66"/>
      <c r="Z90" s="66"/>
      <c r="AA90" s="81"/>
      <c r="AB90" s="81"/>
    </row>
    <row r="91">
      <c r="A91" s="126" t="s">
        <v>1542</v>
      </c>
      <c r="B91" s="64" t="s">
        <v>1122</v>
      </c>
      <c r="C91" s="48" t="s">
        <v>1372</v>
      </c>
      <c r="D91" s="118"/>
      <c r="E91" s="28">
        <v>1.0</v>
      </c>
      <c r="F91" s="124">
        <v>50000.0</v>
      </c>
      <c r="G91" s="88">
        <f t="shared" si="1"/>
        <v>59500</v>
      </c>
      <c r="H91" s="30">
        <v>433.0</v>
      </c>
      <c r="I91" s="88">
        <v>119000.0</v>
      </c>
      <c r="J91" s="66"/>
      <c r="K91" s="26" t="s">
        <v>1123</v>
      </c>
      <c r="L91" s="26" t="s">
        <v>119</v>
      </c>
      <c r="M91" s="28" t="s">
        <v>1128</v>
      </c>
      <c r="N91" s="28" t="s">
        <v>1124</v>
      </c>
      <c r="O91" s="28" t="s">
        <v>1561</v>
      </c>
      <c r="P91" s="29">
        <v>17239.0</v>
      </c>
      <c r="Q91" s="30" t="s">
        <v>811</v>
      </c>
      <c r="R91" s="70" t="s">
        <v>1411</v>
      </c>
      <c r="S91" s="132">
        <v>46063.0</v>
      </c>
      <c r="T91" s="48" t="s">
        <v>50</v>
      </c>
      <c r="U91" s="66"/>
      <c r="V91" s="28" t="s">
        <v>1126</v>
      </c>
      <c r="W91" s="28" t="s">
        <v>1125</v>
      </c>
      <c r="X91" s="106"/>
      <c r="Y91" s="66"/>
      <c r="Z91" s="66"/>
      <c r="AA91" s="81"/>
      <c r="AB91" s="81"/>
    </row>
    <row r="92">
      <c r="A92" s="126" t="s">
        <v>1542</v>
      </c>
      <c r="B92" s="25" t="s">
        <v>1127</v>
      </c>
      <c r="C92" s="48" t="s">
        <v>1362</v>
      </c>
      <c r="D92" s="118"/>
      <c r="E92" s="66"/>
      <c r="F92" s="88">
        <v>30000.0</v>
      </c>
      <c r="G92" s="88">
        <f t="shared" si="1"/>
        <v>35700</v>
      </c>
      <c r="H92" s="30">
        <v>434.0</v>
      </c>
      <c r="I92" s="104"/>
      <c r="J92" s="66"/>
      <c r="K92" s="26" t="s">
        <v>642</v>
      </c>
      <c r="L92" s="26" t="s">
        <v>643</v>
      </c>
      <c r="N92" s="28" t="s">
        <v>1129</v>
      </c>
      <c r="O92" s="28" t="s">
        <v>1562</v>
      </c>
      <c r="P92" s="29">
        <v>6926.0</v>
      </c>
      <c r="Q92" s="70" t="s">
        <v>810</v>
      </c>
      <c r="R92" s="70" t="s">
        <v>1411</v>
      </c>
      <c r="S92" s="66"/>
      <c r="T92" s="48" t="s">
        <v>50</v>
      </c>
      <c r="U92" s="66"/>
      <c r="V92" s="28" t="s">
        <v>1131</v>
      </c>
      <c r="W92" s="28" t="s">
        <v>1130</v>
      </c>
      <c r="X92" s="106"/>
      <c r="Y92" s="66"/>
      <c r="Z92" s="66"/>
      <c r="AA92" s="81"/>
      <c r="AB92" s="81"/>
    </row>
    <row r="93">
      <c r="A93" s="79" t="s">
        <v>1542</v>
      </c>
      <c r="B93" s="25" t="s">
        <v>1132</v>
      </c>
      <c r="C93" s="28" t="s">
        <v>1416</v>
      </c>
      <c r="D93" s="118"/>
      <c r="E93" s="66"/>
      <c r="F93" s="88">
        <v>10000.0</v>
      </c>
      <c r="G93" s="88">
        <f t="shared" si="1"/>
        <v>11900</v>
      </c>
      <c r="H93" s="30">
        <v>435.0</v>
      </c>
      <c r="I93" s="104"/>
      <c r="J93" s="66"/>
      <c r="K93" s="26" t="s">
        <v>619</v>
      </c>
      <c r="L93" s="26" t="s">
        <v>1133</v>
      </c>
      <c r="M93" s="52" t="s">
        <v>1736</v>
      </c>
      <c r="N93" s="28" t="s">
        <v>1135</v>
      </c>
      <c r="O93" s="120" t="s">
        <v>1564</v>
      </c>
      <c r="P93" s="29">
        <v>0.0</v>
      </c>
      <c r="Q93" s="30" t="s">
        <v>810</v>
      </c>
      <c r="R93" s="30" t="s">
        <v>1411</v>
      </c>
      <c r="S93" s="130"/>
      <c r="T93" s="28" t="s">
        <v>50</v>
      </c>
      <c r="U93" s="66"/>
      <c r="V93" s="28" t="s">
        <v>1137</v>
      </c>
      <c r="W93" s="28" t="s">
        <v>1136</v>
      </c>
      <c r="X93" s="66"/>
      <c r="Y93" s="66"/>
      <c r="Z93" s="66"/>
      <c r="AA93" s="81"/>
      <c r="AB93" s="81"/>
    </row>
    <row r="94">
      <c r="A94" s="126" t="s">
        <v>1542</v>
      </c>
      <c r="B94" s="25" t="s">
        <v>1689</v>
      </c>
      <c r="C94" s="48" t="s">
        <v>1372</v>
      </c>
      <c r="D94" s="118"/>
      <c r="E94" s="28">
        <f>60000*1.19</f>
        <v>71400</v>
      </c>
      <c r="F94" s="88">
        <v>50000.0</v>
      </c>
      <c r="G94" s="88">
        <f t="shared" si="1"/>
        <v>59500</v>
      </c>
      <c r="H94" s="30">
        <v>436.0</v>
      </c>
      <c r="I94" s="104"/>
      <c r="J94" s="66"/>
      <c r="K94" s="26" t="s">
        <v>1690</v>
      </c>
      <c r="L94" s="196" t="s">
        <v>1691</v>
      </c>
      <c r="M94" s="28" t="s">
        <v>1692</v>
      </c>
      <c r="N94" s="28" t="s">
        <v>1693</v>
      </c>
      <c r="O94" s="120" t="s">
        <v>1694</v>
      </c>
      <c r="P94" s="29">
        <v>169019.0</v>
      </c>
      <c r="Q94" s="70" t="s">
        <v>811</v>
      </c>
      <c r="R94" s="70" t="s">
        <v>1411</v>
      </c>
      <c r="S94" s="134"/>
      <c r="T94" s="48" t="s">
        <v>50</v>
      </c>
      <c r="U94" s="66"/>
      <c r="V94" s="28" t="s">
        <v>1695</v>
      </c>
      <c r="W94" s="28" t="s">
        <v>1696</v>
      </c>
      <c r="X94" s="106"/>
      <c r="Y94" s="66"/>
      <c r="Z94" s="66"/>
      <c r="AA94" s="81"/>
      <c r="AB94" s="81"/>
    </row>
    <row r="95">
      <c r="A95" s="126" t="s">
        <v>1542</v>
      </c>
      <c r="B95" s="25" t="s">
        <v>1138</v>
      </c>
      <c r="C95" s="70" t="s">
        <v>1416</v>
      </c>
      <c r="D95" s="118"/>
      <c r="E95" s="28" t="s">
        <v>1565</v>
      </c>
      <c r="F95" s="124">
        <v>0.0</v>
      </c>
      <c r="G95" s="88">
        <f t="shared" si="1"/>
        <v>0</v>
      </c>
      <c r="H95" s="30" t="s">
        <v>1566</v>
      </c>
      <c r="I95" s="104"/>
      <c r="J95" s="30" t="s">
        <v>1567</v>
      </c>
      <c r="K95" s="26">
        <v>7.81483168E8</v>
      </c>
      <c r="L95" s="26" t="s">
        <v>654</v>
      </c>
      <c r="M95" s="65" t="s">
        <v>1139</v>
      </c>
      <c r="N95" s="28" t="s">
        <v>1140</v>
      </c>
      <c r="O95" s="120">
        <v>9.76030343E8</v>
      </c>
      <c r="P95" s="29">
        <v>941.0</v>
      </c>
      <c r="Q95" s="30" t="s">
        <v>810</v>
      </c>
      <c r="R95" s="70" t="s">
        <v>1411</v>
      </c>
      <c r="S95" s="125"/>
      <c r="T95" s="48" t="s">
        <v>50</v>
      </c>
      <c r="U95" s="66"/>
      <c r="V95" s="28" t="s">
        <v>1142</v>
      </c>
      <c r="W95" s="28" t="s">
        <v>1141</v>
      </c>
      <c r="X95" s="106"/>
      <c r="Y95" s="66"/>
      <c r="Z95" s="66"/>
      <c r="AA95" s="81"/>
      <c r="AB95" s="81"/>
    </row>
    <row r="96">
      <c r="A96" s="126" t="s">
        <v>1542</v>
      </c>
      <c r="B96" s="25" t="s">
        <v>645</v>
      </c>
      <c r="C96" s="48" t="s">
        <v>1413</v>
      </c>
      <c r="D96" s="118"/>
      <c r="E96" s="28">
        <v>2.0</v>
      </c>
      <c r="F96" s="124">
        <v>150000.0</v>
      </c>
      <c r="G96" s="88">
        <f t="shared" si="1"/>
        <v>178500</v>
      </c>
      <c r="H96" s="129">
        <v>439.0</v>
      </c>
      <c r="I96" s="104"/>
      <c r="J96" s="66"/>
      <c r="K96" s="26" t="s">
        <v>646</v>
      </c>
      <c r="L96" s="26" t="s">
        <v>647</v>
      </c>
      <c r="M96" s="28" t="s">
        <v>1143</v>
      </c>
      <c r="N96" s="28" t="s">
        <v>1140</v>
      </c>
      <c r="O96" s="120">
        <v>9.76030343E8</v>
      </c>
      <c r="P96" s="29">
        <v>835390.0</v>
      </c>
      <c r="Q96" s="70" t="s">
        <v>810</v>
      </c>
      <c r="R96" s="70" t="s">
        <v>1411</v>
      </c>
      <c r="S96" s="132">
        <v>46064.0</v>
      </c>
      <c r="T96" s="48" t="s">
        <v>38</v>
      </c>
      <c r="U96" s="66"/>
      <c r="V96" s="66"/>
      <c r="W96" s="66"/>
      <c r="X96" s="48" t="s">
        <v>811</v>
      </c>
      <c r="Y96" s="66"/>
      <c r="Z96" s="137"/>
      <c r="AA96" s="81"/>
      <c r="AB96" s="81"/>
    </row>
    <row r="97">
      <c r="A97" s="126" t="s">
        <v>1542</v>
      </c>
      <c r="B97" s="25" t="s">
        <v>575</v>
      </c>
      <c r="C97" s="48" t="s">
        <v>1362</v>
      </c>
      <c r="D97" s="118"/>
      <c r="E97" s="66"/>
      <c r="F97" s="124">
        <v>30000.0</v>
      </c>
      <c r="G97" s="88">
        <f t="shared" si="1"/>
        <v>35700</v>
      </c>
      <c r="H97" s="30">
        <v>440.0</v>
      </c>
      <c r="I97" s="104"/>
      <c r="J97" s="66"/>
      <c r="K97" s="26" t="s">
        <v>576</v>
      </c>
      <c r="L97" s="26" t="s">
        <v>577</v>
      </c>
      <c r="M97" s="28" t="s">
        <v>1144</v>
      </c>
      <c r="N97" s="28" t="s">
        <v>1145</v>
      </c>
      <c r="O97" s="139">
        <v>9.95319358E8</v>
      </c>
      <c r="P97" s="29">
        <v>263.0</v>
      </c>
      <c r="Q97" s="30" t="s">
        <v>810</v>
      </c>
      <c r="R97" s="70" t="s">
        <v>1411</v>
      </c>
      <c r="S97" s="141">
        <v>46062.0</v>
      </c>
      <c r="T97" s="48" t="s">
        <v>50</v>
      </c>
      <c r="U97" s="28" t="s">
        <v>1737</v>
      </c>
      <c r="V97" s="28" t="s">
        <v>1147</v>
      </c>
      <c r="W97" s="28" t="s">
        <v>1146</v>
      </c>
      <c r="X97" s="106"/>
      <c r="Y97" s="66"/>
      <c r="Z97" s="66"/>
      <c r="AA97" s="81"/>
      <c r="AB97" s="81"/>
    </row>
    <row r="98">
      <c r="A98" s="126" t="s">
        <v>1542</v>
      </c>
      <c r="B98" s="25" t="s">
        <v>146</v>
      </c>
      <c r="C98" s="48" t="s">
        <v>1362</v>
      </c>
      <c r="D98" s="118"/>
      <c r="E98" s="66"/>
      <c r="F98" s="88">
        <v>30000.0</v>
      </c>
      <c r="G98" s="88">
        <f t="shared" si="1"/>
        <v>35700</v>
      </c>
      <c r="H98" s="30">
        <v>441.0</v>
      </c>
      <c r="I98" s="97">
        <v>95200.0</v>
      </c>
      <c r="J98" s="66"/>
      <c r="K98" s="67" t="s">
        <v>147</v>
      </c>
      <c r="L98" s="26" t="s">
        <v>148</v>
      </c>
      <c r="M98" s="28" t="s">
        <v>1148</v>
      </c>
      <c r="N98" s="28" t="s">
        <v>1149</v>
      </c>
      <c r="O98" s="30" t="s">
        <v>1570</v>
      </c>
      <c r="P98" s="29">
        <v>753214.0</v>
      </c>
      <c r="Q98" s="30" t="s">
        <v>810</v>
      </c>
      <c r="R98" s="70" t="s">
        <v>1411</v>
      </c>
      <c r="S98" s="127">
        <v>46058.0</v>
      </c>
      <c r="T98" s="48" t="s">
        <v>50</v>
      </c>
      <c r="U98" s="66"/>
      <c r="V98" s="28" t="s">
        <v>1151</v>
      </c>
      <c r="W98" s="28" t="s">
        <v>1150</v>
      </c>
      <c r="X98" s="106"/>
      <c r="Y98" s="66"/>
      <c r="Z98" s="66"/>
      <c r="AA98" s="81"/>
      <c r="AB98" s="81"/>
    </row>
    <row r="99">
      <c r="A99" s="126" t="s">
        <v>1542</v>
      </c>
      <c r="B99" s="25" t="s">
        <v>1571</v>
      </c>
      <c r="C99" s="48" t="s">
        <v>1416</v>
      </c>
      <c r="D99" s="118"/>
      <c r="E99" s="66"/>
      <c r="F99" s="88">
        <v>10000.0</v>
      </c>
      <c r="G99" s="88">
        <f t="shared" si="1"/>
        <v>11900</v>
      </c>
      <c r="H99" s="30">
        <v>442.0</v>
      </c>
      <c r="I99" s="104"/>
      <c r="J99" s="28"/>
      <c r="K99" s="26" t="s">
        <v>1572</v>
      </c>
      <c r="L99" s="26" t="s">
        <v>1573</v>
      </c>
      <c r="M99" s="28" t="s">
        <v>1574</v>
      </c>
      <c r="N99" s="28" t="s">
        <v>1575</v>
      </c>
      <c r="O99" s="28" t="s">
        <v>1576</v>
      </c>
      <c r="P99" s="47">
        <v>0.0</v>
      </c>
      <c r="Q99" s="70" t="s">
        <v>810</v>
      </c>
      <c r="R99" s="70" t="s">
        <v>1411</v>
      </c>
      <c r="S99" s="125"/>
      <c r="T99" s="48" t="s">
        <v>50</v>
      </c>
      <c r="U99" s="66"/>
      <c r="V99" s="28" t="s">
        <v>1577</v>
      </c>
      <c r="W99" s="28" t="s">
        <v>1578</v>
      </c>
      <c r="X99" s="106"/>
      <c r="Y99" s="66"/>
      <c r="Z99" s="66"/>
      <c r="AA99" s="81"/>
      <c r="AB99" s="81"/>
    </row>
    <row r="100">
      <c r="A100" s="126" t="s">
        <v>1542</v>
      </c>
      <c r="B100" s="25" t="s">
        <v>1152</v>
      </c>
      <c r="C100" s="48" t="s">
        <v>1362</v>
      </c>
      <c r="D100" s="118"/>
      <c r="E100" s="66"/>
      <c r="F100" s="88">
        <v>30000.0</v>
      </c>
      <c r="G100" s="88">
        <f t="shared" si="1"/>
        <v>35700</v>
      </c>
      <c r="H100" s="30">
        <v>443.0</v>
      </c>
      <c r="I100" s="104"/>
      <c r="J100" s="66"/>
      <c r="K100" s="26" t="s">
        <v>466</v>
      </c>
      <c r="L100" s="26" t="s">
        <v>462</v>
      </c>
      <c r="M100" s="28" t="s">
        <v>459</v>
      </c>
      <c r="N100" s="66"/>
      <c r="O100" s="120" t="s">
        <v>1579</v>
      </c>
      <c r="P100" s="29" t="s">
        <v>1738</v>
      </c>
      <c r="Q100" s="70" t="s">
        <v>810</v>
      </c>
      <c r="R100" s="70" t="s">
        <v>1411</v>
      </c>
      <c r="S100" s="127">
        <v>46054.0</v>
      </c>
      <c r="T100" s="48" t="s">
        <v>50</v>
      </c>
      <c r="U100" s="28">
        <f>20000*1.19</f>
        <v>23800</v>
      </c>
      <c r="V100" s="28" t="s">
        <v>1153</v>
      </c>
      <c r="W100" s="66"/>
      <c r="X100" s="106"/>
      <c r="Y100" s="66"/>
      <c r="Z100" s="66"/>
      <c r="AA100" s="81"/>
      <c r="AB100" s="81"/>
    </row>
    <row r="101">
      <c r="A101" s="126" t="s">
        <v>1542</v>
      </c>
      <c r="B101" s="25" t="s">
        <v>1154</v>
      </c>
      <c r="C101" s="48" t="s">
        <v>1362</v>
      </c>
      <c r="D101" s="118"/>
      <c r="E101" s="66"/>
      <c r="F101" s="88">
        <v>30000.0</v>
      </c>
      <c r="G101" s="88">
        <f t="shared" si="1"/>
        <v>35700</v>
      </c>
      <c r="H101" s="30">
        <v>444.0</v>
      </c>
      <c r="I101" s="104"/>
      <c r="J101" s="66"/>
      <c r="K101" s="26" t="s">
        <v>570</v>
      </c>
      <c r="L101" s="62" t="s">
        <v>571</v>
      </c>
      <c r="M101" s="28" t="s">
        <v>568</v>
      </c>
      <c r="N101" s="28" t="s">
        <v>1155</v>
      </c>
      <c r="O101" s="28" t="s">
        <v>1580</v>
      </c>
      <c r="P101" s="29">
        <v>1263.0</v>
      </c>
      <c r="Q101" s="70" t="s">
        <v>810</v>
      </c>
      <c r="R101" s="70" t="s">
        <v>1411</v>
      </c>
      <c r="S101" s="136"/>
      <c r="T101" s="48" t="s">
        <v>50</v>
      </c>
      <c r="U101" s="66"/>
      <c r="V101" s="28" t="s">
        <v>1157</v>
      </c>
      <c r="W101" s="28" t="s">
        <v>1156</v>
      </c>
      <c r="X101" s="106"/>
      <c r="Y101" s="66"/>
      <c r="Z101" s="66"/>
      <c r="AA101" s="81"/>
      <c r="AB101" s="81"/>
    </row>
    <row r="102">
      <c r="A102" s="126" t="s">
        <v>1542</v>
      </c>
      <c r="B102" s="25" t="s">
        <v>1158</v>
      </c>
      <c r="C102" s="48" t="s">
        <v>1362</v>
      </c>
      <c r="D102" s="118"/>
      <c r="E102" s="66"/>
      <c r="F102" s="88">
        <v>30000.0</v>
      </c>
      <c r="G102" s="88">
        <f t="shared" si="1"/>
        <v>35700</v>
      </c>
      <c r="H102" s="30">
        <v>445.0</v>
      </c>
      <c r="I102" s="97">
        <v>95200.0</v>
      </c>
      <c r="J102" s="66"/>
      <c r="K102" s="26" t="s">
        <v>191</v>
      </c>
      <c r="L102" s="26" t="s">
        <v>192</v>
      </c>
      <c r="M102" s="28" t="s">
        <v>189</v>
      </c>
      <c r="N102" s="28" t="s">
        <v>1159</v>
      </c>
      <c r="O102" s="28" t="s">
        <v>1581</v>
      </c>
      <c r="P102" s="29">
        <v>138700.0</v>
      </c>
      <c r="Q102" s="30" t="s">
        <v>810</v>
      </c>
      <c r="R102" s="70" t="s">
        <v>1411</v>
      </c>
      <c r="S102" s="127">
        <v>46055.0</v>
      </c>
      <c r="T102" s="48" t="s">
        <v>50</v>
      </c>
      <c r="U102" s="66"/>
      <c r="V102" s="28" t="s">
        <v>1160</v>
      </c>
      <c r="W102" s="28" t="s">
        <v>192</v>
      </c>
      <c r="X102" s="106"/>
      <c r="Y102" s="66"/>
      <c r="Z102" s="66"/>
      <c r="AA102" s="81"/>
      <c r="AB102" s="81"/>
    </row>
    <row r="103">
      <c r="A103" s="126" t="s">
        <v>1542</v>
      </c>
      <c r="B103" s="25" t="s">
        <v>1161</v>
      </c>
      <c r="C103" s="48" t="s">
        <v>1413</v>
      </c>
      <c r="D103" s="118"/>
      <c r="E103" s="66"/>
      <c r="F103" s="88">
        <v>60504.0</v>
      </c>
      <c r="G103" s="88">
        <f t="shared" si="1"/>
        <v>71999.76</v>
      </c>
      <c r="H103" s="30">
        <v>446.0</v>
      </c>
      <c r="I103" s="88">
        <v>59500.0</v>
      </c>
      <c r="J103" s="66"/>
      <c r="K103" s="26" t="s">
        <v>196</v>
      </c>
      <c r="L103" s="26" t="s">
        <v>1162</v>
      </c>
      <c r="M103" s="28" t="s">
        <v>194</v>
      </c>
      <c r="N103" s="28" t="s">
        <v>1163</v>
      </c>
      <c r="O103" s="120" t="s">
        <v>1582</v>
      </c>
      <c r="P103" s="29">
        <v>1716.0</v>
      </c>
      <c r="Q103" s="30" t="s">
        <v>810</v>
      </c>
      <c r="R103" s="70" t="s">
        <v>1411</v>
      </c>
      <c r="S103" s="127">
        <v>46058.0</v>
      </c>
      <c r="T103" s="48" t="s">
        <v>50</v>
      </c>
      <c r="U103" s="66"/>
      <c r="V103" s="28" t="s">
        <v>1165</v>
      </c>
      <c r="W103" s="28" t="s">
        <v>1164</v>
      </c>
      <c r="X103" s="106"/>
      <c r="Y103" s="66"/>
      <c r="Z103" s="66"/>
      <c r="AA103" s="81"/>
      <c r="AB103" s="81"/>
    </row>
    <row r="104">
      <c r="A104" s="79" t="s">
        <v>1542</v>
      </c>
      <c r="B104" s="25" t="s">
        <v>1166</v>
      </c>
      <c r="C104" s="28" t="s">
        <v>1413</v>
      </c>
      <c r="D104" s="118"/>
      <c r="E104" s="66"/>
      <c r="F104" s="88">
        <v>60504.0</v>
      </c>
      <c r="G104" s="88">
        <f t="shared" si="1"/>
        <v>71999.76</v>
      </c>
      <c r="H104" s="30">
        <v>447.0</v>
      </c>
      <c r="I104" s="104"/>
      <c r="J104" s="66"/>
      <c r="K104" s="26" t="s">
        <v>356</v>
      </c>
      <c r="L104" s="26" t="s">
        <v>359</v>
      </c>
      <c r="M104" s="28" t="s">
        <v>1167</v>
      </c>
      <c r="N104" s="28" t="s">
        <v>1168</v>
      </c>
      <c r="O104" s="120" t="s">
        <v>1583</v>
      </c>
      <c r="P104" s="29">
        <v>46572.0</v>
      </c>
      <c r="Q104" s="30" t="s">
        <v>810</v>
      </c>
      <c r="R104" s="30" t="s">
        <v>1411</v>
      </c>
      <c r="S104" s="127">
        <v>45700.0</v>
      </c>
      <c r="T104" s="28" t="s">
        <v>50</v>
      </c>
      <c r="U104" s="66"/>
      <c r="V104" s="28" t="s">
        <v>1170</v>
      </c>
      <c r="W104" s="28" t="s">
        <v>1169</v>
      </c>
      <c r="X104" s="66"/>
      <c r="Y104" s="66"/>
      <c r="Z104" s="66"/>
      <c r="AA104" s="81"/>
      <c r="AB104" s="81"/>
    </row>
    <row r="105">
      <c r="A105" s="126" t="s">
        <v>1542</v>
      </c>
      <c r="B105" s="25" t="s">
        <v>1172</v>
      </c>
      <c r="C105" s="48" t="s">
        <v>1413</v>
      </c>
      <c r="D105" s="137"/>
      <c r="E105" s="66"/>
      <c r="F105" s="159">
        <v>60500.0</v>
      </c>
      <c r="G105" s="88">
        <f t="shared" si="1"/>
        <v>71995</v>
      </c>
      <c r="H105" s="135" t="s">
        <v>1438</v>
      </c>
      <c r="I105" s="104"/>
      <c r="J105" s="28" t="s">
        <v>1739</v>
      </c>
      <c r="K105" s="34" t="s">
        <v>1173</v>
      </c>
      <c r="L105" s="34" t="s">
        <v>1174</v>
      </c>
      <c r="M105" s="68" t="s">
        <v>1175</v>
      </c>
      <c r="N105" s="28" t="s">
        <v>1176</v>
      </c>
      <c r="O105" s="120">
        <v>9.95993291E8</v>
      </c>
      <c r="P105" s="29" t="s">
        <v>1178</v>
      </c>
      <c r="Q105" s="48" t="s">
        <v>811</v>
      </c>
      <c r="R105" s="48" t="s">
        <v>1585</v>
      </c>
      <c r="S105" s="66"/>
      <c r="T105" s="48" t="s">
        <v>50</v>
      </c>
      <c r="U105" s="66"/>
      <c r="V105" s="28" t="s">
        <v>1179</v>
      </c>
      <c r="W105" s="28" t="s">
        <v>1177</v>
      </c>
      <c r="X105" s="106"/>
      <c r="Y105" s="66"/>
      <c r="Z105" s="66"/>
      <c r="AA105" s="81"/>
      <c r="AB105" s="81"/>
    </row>
    <row r="106">
      <c r="A106" s="126" t="s">
        <v>1542</v>
      </c>
      <c r="B106" s="25" t="s">
        <v>1740</v>
      </c>
      <c r="C106" s="48" t="s">
        <v>1375</v>
      </c>
      <c r="D106" s="118"/>
      <c r="E106" s="66"/>
      <c r="F106" s="88">
        <v>0.0</v>
      </c>
      <c r="G106" s="88">
        <f t="shared" si="1"/>
        <v>0</v>
      </c>
      <c r="H106" s="135" t="s">
        <v>1438</v>
      </c>
      <c r="I106" s="104"/>
      <c r="J106" s="28" t="s">
        <v>1741</v>
      </c>
      <c r="K106" s="26" t="s">
        <v>1742</v>
      </c>
      <c r="L106" s="26" t="s">
        <v>1743</v>
      </c>
      <c r="M106" s="28" t="s">
        <v>1744</v>
      </c>
      <c r="N106" s="28" t="s">
        <v>1742</v>
      </c>
      <c r="O106" s="120">
        <v>9.3035414E8</v>
      </c>
      <c r="P106" s="215">
        <v>218372.0</v>
      </c>
      <c r="Q106" s="30" t="s">
        <v>810</v>
      </c>
      <c r="R106" s="48" t="s">
        <v>1375</v>
      </c>
      <c r="S106" s="66"/>
      <c r="T106" s="48" t="s">
        <v>50</v>
      </c>
      <c r="U106" s="66"/>
      <c r="V106" s="28" t="s">
        <v>1740</v>
      </c>
      <c r="W106" s="28" t="s">
        <v>1743</v>
      </c>
      <c r="X106" s="106"/>
      <c r="Y106" s="66"/>
      <c r="Z106" s="66"/>
      <c r="AA106" s="81"/>
      <c r="AB106" s="81"/>
    </row>
    <row r="107">
      <c r="A107" s="79" t="s">
        <v>1542</v>
      </c>
      <c r="B107" s="25" t="s">
        <v>604</v>
      </c>
      <c r="C107" s="28" t="s">
        <v>1372</v>
      </c>
      <c r="D107" s="118"/>
      <c r="E107" s="28">
        <v>1.0</v>
      </c>
      <c r="F107" s="88">
        <v>50000.0</v>
      </c>
      <c r="G107" s="88">
        <f t="shared" si="1"/>
        <v>59500</v>
      </c>
      <c r="H107" s="30">
        <v>448.0</v>
      </c>
      <c r="I107" s="104"/>
      <c r="J107" s="66"/>
      <c r="K107" s="26" t="s">
        <v>605</v>
      </c>
      <c r="L107" s="26" t="s">
        <v>606</v>
      </c>
      <c r="M107" s="28" t="s">
        <v>603</v>
      </c>
      <c r="N107" s="28" t="s">
        <v>1180</v>
      </c>
      <c r="O107" s="120" t="s">
        <v>1536</v>
      </c>
      <c r="P107" s="29">
        <v>1089982.0</v>
      </c>
      <c r="Q107" s="70" t="s">
        <v>811</v>
      </c>
      <c r="R107" s="30" t="s">
        <v>1411</v>
      </c>
      <c r="S107" s="130"/>
      <c r="T107" s="28" t="s">
        <v>50</v>
      </c>
      <c r="U107" s="66"/>
      <c r="V107" s="28" t="s">
        <v>1181</v>
      </c>
      <c r="W107" s="66"/>
      <c r="X107" s="66"/>
      <c r="Y107" s="66"/>
      <c r="Z107" s="66"/>
      <c r="AA107" s="81"/>
      <c r="AB107" s="81"/>
    </row>
    <row r="108">
      <c r="A108" s="126" t="s">
        <v>1542</v>
      </c>
      <c r="B108" s="25" t="s">
        <v>1183</v>
      </c>
      <c r="C108" s="48" t="s">
        <v>1380</v>
      </c>
      <c r="D108" s="137"/>
      <c r="E108" s="66"/>
      <c r="F108" s="159">
        <v>0.0</v>
      </c>
      <c r="G108" s="88">
        <f t="shared" si="1"/>
        <v>0</v>
      </c>
      <c r="H108" s="135" t="s">
        <v>1438</v>
      </c>
      <c r="I108" s="104"/>
      <c r="J108" s="66"/>
      <c r="K108" s="26" t="s">
        <v>1184</v>
      </c>
      <c r="L108" s="26" t="s">
        <v>1185</v>
      </c>
      <c r="M108" s="160" t="s">
        <v>1186</v>
      </c>
      <c r="N108" s="81"/>
      <c r="O108" s="120" t="s">
        <v>1587</v>
      </c>
      <c r="P108" s="29" t="s">
        <v>1745</v>
      </c>
      <c r="Q108" s="70" t="s">
        <v>810</v>
      </c>
      <c r="R108" s="48" t="s">
        <v>1380</v>
      </c>
      <c r="S108" s="66"/>
      <c r="T108" s="48" t="s">
        <v>50</v>
      </c>
      <c r="U108" s="66"/>
      <c r="V108" s="66"/>
      <c r="W108" s="66"/>
      <c r="X108" s="106"/>
      <c r="Y108" s="66"/>
      <c r="Z108" s="66"/>
      <c r="AA108" s="81"/>
      <c r="AB108" s="81"/>
    </row>
    <row r="109">
      <c r="A109" s="126" t="s">
        <v>1542</v>
      </c>
      <c r="B109" s="74" t="s">
        <v>1187</v>
      </c>
      <c r="C109" s="48" t="s">
        <v>1413</v>
      </c>
      <c r="D109" s="161"/>
      <c r="E109" s="162"/>
      <c r="F109" s="163">
        <v>60504.0</v>
      </c>
      <c r="G109" s="163">
        <f t="shared" si="1"/>
        <v>71999.76</v>
      </c>
      <c r="H109" s="165">
        <v>449.0</v>
      </c>
      <c r="I109" s="216"/>
      <c r="J109" s="162"/>
      <c r="K109" s="75" t="s">
        <v>612</v>
      </c>
      <c r="L109" s="75" t="s">
        <v>613</v>
      </c>
      <c r="M109" s="76" t="s">
        <v>616</v>
      </c>
      <c r="N109" s="76" t="s">
        <v>1188</v>
      </c>
      <c r="O109" s="217">
        <v>9.77352901E8</v>
      </c>
      <c r="P109" s="77" t="s">
        <v>1745</v>
      </c>
      <c r="Q109" s="70" t="s">
        <v>810</v>
      </c>
      <c r="R109" s="70" t="s">
        <v>1411</v>
      </c>
      <c r="S109" s="166">
        <v>46057.0</v>
      </c>
      <c r="T109" s="48" t="s">
        <v>50</v>
      </c>
      <c r="U109" s="162"/>
      <c r="V109" s="78" t="s">
        <v>1189</v>
      </c>
      <c r="W109" s="76" t="s">
        <v>615</v>
      </c>
      <c r="X109" s="106"/>
      <c r="Y109" s="162"/>
      <c r="Z109" s="162"/>
      <c r="AA109" s="167"/>
      <c r="AB109" s="167"/>
    </row>
    <row r="110">
      <c r="A110" s="126" t="s">
        <v>1542</v>
      </c>
      <c r="B110" s="218" t="s">
        <v>1589</v>
      </c>
      <c r="C110" s="48" t="s">
        <v>1362</v>
      </c>
      <c r="D110" s="161"/>
      <c r="E110" s="162"/>
      <c r="F110" s="219">
        <v>30000.0</v>
      </c>
      <c r="G110" s="163">
        <f t="shared" si="1"/>
        <v>35700</v>
      </c>
      <c r="H110" s="220">
        <v>450.0</v>
      </c>
      <c r="I110" s="216"/>
      <c r="J110" s="221"/>
      <c r="K110" s="75" t="s">
        <v>1590</v>
      </c>
      <c r="L110" s="75" t="s">
        <v>1591</v>
      </c>
      <c r="M110" s="222" t="s">
        <v>1592</v>
      </c>
      <c r="N110" s="222" t="s">
        <v>1593</v>
      </c>
      <c r="O110" s="222" t="s">
        <v>1594</v>
      </c>
      <c r="P110" s="77" t="s">
        <v>1745</v>
      </c>
      <c r="Q110" s="70" t="s">
        <v>810</v>
      </c>
      <c r="R110" s="70" t="s">
        <v>1411</v>
      </c>
      <c r="S110" s="223"/>
      <c r="T110" s="48" t="s">
        <v>50</v>
      </c>
      <c r="U110" s="162"/>
      <c r="V110" s="222" t="s">
        <v>1595</v>
      </c>
      <c r="W110" s="222" t="s">
        <v>1596</v>
      </c>
      <c r="X110" s="106"/>
      <c r="Y110" s="162"/>
      <c r="Z110" s="162"/>
      <c r="AA110" s="167"/>
      <c r="AB110" s="121" t="str">
        <f>IFERROR(__xludf.DUMMYFUNCTION("HYPERLINK(
""https://wa.me/""&amp;REGEXREPLACE(O110,""[^0-9]"","""")&amp;
""?text=""&amp;
ENCODEURL(
""Buenas tardes *""&amp;B110&amp;""*.
Te recordamos que tu factura por el servicio de contabilidad ""&amp;C110&amp;""  por el servicio de enero se encuentra impaga, por lo que no re"&amp;"alizaremos tu contabilidad de febrero hasta que se regularice
Valor: *$""&amp;F110&amp;""* + IVA = *$""&amp;G110&amp;""*
El pago puedes hacerlo vía transferencia en la siguiente cuenta:
*CUENTA BANCARIA*
VOLLAIRE &amp; OLIVOS SIMPLE PYME LTDA
Banco BCI
Cuenta corriente
RU"&amp;"T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</row>
    <row r="111">
      <c r="A111" s="126" t="s">
        <v>1542</v>
      </c>
      <c r="B111" s="79" t="s">
        <v>469</v>
      </c>
      <c r="C111" s="48" t="s">
        <v>1362</v>
      </c>
      <c r="D111" s="118"/>
      <c r="E111" s="66"/>
      <c r="F111" s="88">
        <v>30000.0</v>
      </c>
      <c r="G111" s="88">
        <f t="shared" si="1"/>
        <v>35700</v>
      </c>
      <c r="H111" s="30">
        <v>374.0</v>
      </c>
      <c r="I111" s="97">
        <v>59500.0</v>
      </c>
      <c r="J111" s="28"/>
      <c r="K111" s="26" t="s">
        <v>470</v>
      </c>
      <c r="L111" s="26" t="s">
        <v>471</v>
      </c>
      <c r="M111" s="28" t="s">
        <v>1190</v>
      </c>
      <c r="N111" s="28" t="s">
        <v>1191</v>
      </c>
      <c r="O111" s="149" t="s">
        <v>1597</v>
      </c>
      <c r="P111" s="47">
        <v>122160.0</v>
      </c>
      <c r="Q111" s="70" t="s">
        <v>811</v>
      </c>
      <c r="R111" s="70" t="s">
        <v>1411</v>
      </c>
      <c r="S111" s="168"/>
      <c r="T111" s="48" t="s">
        <v>50</v>
      </c>
      <c r="U111" s="66"/>
      <c r="V111" s="28" t="s">
        <v>1193</v>
      </c>
      <c r="W111" s="28" t="s">
        <v>1192</v>
      </c>
      <c r="X111" s="106"/>
      <c r="Y111" s="66"/>
      <c r="Z111" s="66"/>
      <c r="AA111" s="81"/>
      <c r="AB111" s="81"/>
    </row>
    <row r="112">
      <c r="A112" s="126" t="s">
        <v>1542</v>
      </c>
      <c r="B112" s="25" t="s">
        <v>1194</v>
      </c>
      <c r="C112" s="70" t="s">
        <v>1362</v>
      </c>
      <c r="D112" s="118"/>
      <c r="E112" s="71" t="s">
        <v>1598</v>
      </c>
      <c r="F112" s="54">
        <v>30000.0</v>
      </c>
      <c r="G112" s="88">
        <f t="shared" si="1"/>
        <v>35700</v>
      </c>
      <c r="H112" s="30">
        <v>373.0</v>
      </c>
      <c r="I112" s="104"/>
      <c r="J112" s="66"/>
      <c r="K112" s="26" t="s">
        <v>1195</v>
      </c>
      <c r="L112" s="26" t="s">
        <v>546</v>
      </c>
      <c r="M112" s="28" t="s">
        <v>1196</v>
      </c>
      <c r="N112" s="28" t="s">
        <v>1197</v>
      </c>
      <c r="O112" s="139" t="s">
        <v>1599</v>
      </c>
      <c r="P112" s="29">
        <v>137.0</v>
      </c>
      <c r="Q112" s="30" t="s">
        <v>810</v>
      </c>
      <c r="R112" s="70" t="s">
        <v>1411</v>
      </c>
      <c r="S112" s="140"/>
      <c r="T112" s="48" t="s">
        <v>50</v>
      </c>
      <c r="U112" s="66"/>
      <c r="V112" s="28" t="s">
        <v>1198</v>
      </c>
      <c r="W112" s="28" t="s">
        <v>550</v>
      </c>
      <c r="X112" s="106"/>
      <c r="Y112" s="66"/>
      <c r="Z112" s="66"/>
      <c r="AA112" s="81"/>
      <c r="AB112" s="81"/>
    </row>
    <row r="113">
      <c r="A113" s="126" t="s">
        <v>1542</v>
      </c>
      <c r="B113" s="25" t="s">
        <v>1600</v>
      </c>
      <c r="C113" s="48" t="s">
        <v>1380</v>
      </c>
      <c r="D113" s="118"/>
      <c r="E113" s="66"/>
      <c r="F113" s="88">
        <v>0.0</v>
      </c>
      <c r="G113" s="88">
        <f t="shared" si="1"/>
        <v>0</v>
      </c>
      <c r="H113" s="135" t="s">
        <v>1438</v>
      </c>
      <c r="I113" s="104"/>
      <c r="J113" s="66"/>
      <c r="K113" s="26"/>
      <c r="L113" s="26" t="s">
        <v>1021</v>
      </c>
      <c r="M113" s="25" t="s">
        <v>1601</v>
      </c>
      <c r="N113" s="66"/>
      <c r="O113" s="120" t="s">
        <v>1534</v>
      </c>
      <c r="P113" s="29" t="s">
        <v>1745</v>
      </c>
      <c r="Q113" s="70" t="s">
        <v>810</v>
      </c>
      <c r="R113" s="48" t="s">
        <v>1380</v>
      </c>
      <c r="S113" s="66"/>
      <c r="T113" s="48" t="s">
        <v>50</v>
      </c>
      <c r="U113" s="66"/>
      <c r="V113" s="66"/>
      <c r="W113" s="66"/>
      <c r="X113" s="106"/>
      <c r="Y113" s="66"/>
      <c r="Z113" s="66"/>
      <c r="AA113" s="81"/>
      <c r="AB113" s="81"/>
    </row>
    <row r="114">
      <c r="A114" s="79">
        <v>0.0</v>
      </c>
      <c r="B114" s="25" t="s">
        <v>1199</v>
      </c>
      <c r="C114" s="70" t="s">
        <v>1416</v>
      </c>
      <c r="D114" s="118"/>
      <c r="E114" s="66"/>
      <c r="F114" s="54">
        <v>10000.0</v>
      </c>
      <c r="G114" s="88">
        <f t="shared" si="1"/>
        <v>11900</v>
      </c>
      <c r="H114" s="30" t="s">
        <v>1438</v>
      </c>
      <c r="I114" s="104"/>
      <c r="J114" s="71" t="s">
        <v>1602</v>
      </c>
      <c r="K114" s="26" t="s">
        <v>584</v>
      </c>
      <c r="L114" s="28" t="s">
        <v>585</v>
      </c>
      <c r="M114" s="81" t="s">
        <v>582</v>
      </c>
      <c r="N114" s="28" t="s">
        <v>1200</v>
      </c>
      <c r="O114" s="28" t="s">
        <v>1603</v>
      </c>
      <c r="P114" s="54" t="s">
        <v>1745</v>
      </c>
      <c r="Q114" s="70" t="s">
        <v>810</v>
      </c>
      <c r="R114" s="70" t="s">
        <v>1411</v>
      </c>
      <c r="S114" s="136"/>
      <c r="T114" s="48" t="s">
        <v>50</v>
      </c>
      <c r="U114" s="66"/>
      <c r="V114" s="28" t="s">
        <v>1201</v>
      </c>
      <c r="W114" s="28" t="s">
        <v>585</v>
      </c>
      <c r="X114" s="106"/>
      <c r="Y114" s="66"/>
      <c r="Z114" s="66"/>
      <c r="AA114" s="81"/>
      <c r="AB114" s="81"/>
    </row>
    <row r="115">
      <c r="A115" s="126" t="s">
        <v>1604</v>
      </c>
      <c r="B115" s="25" t="s">
        <v>1202</v>
      </c>
      <c r="C115" s="70" t="s">
        <v>1207</v>
      </c>
      <c r="D115" s="137"/>
      <c r="E115" s="28">
        <v>2.0</v>
      </c>
      <c r="F115" s="159">
        <v>110000.0</v>
      </c>
      <c r="G115" s="88">
        <f t="shared" si="1"/>
        <v>130900</v>
      </c>
      <c r="H115" s="70">
        <v>368.0</v>
      </c>
      <c r="I115" s="104"/>
      <c r="J115" s="71" t="s">
        <v>1746</v>
      </c>
      <c r="K115" s="26" t="s">
        <v>1203</v>
      </c>
      <c r="L115" s="28" t="s">
        <v>1204</v>
      </c>
      <c r="M115" s="28" t="s">
        <v>1205</v>
      </c>
      <c r="N115" s="224" t="s">
        <v>1206</v>
      </c>
      <c r="O115" s="120" t="s">
        <v>1698</v>
      </c>
      <c r="P115" s="29">
        <v>522749.0</v>
      </c>
      <c r="Q115" s="70" t="s">
        <v>810</v>
      </c>
      <c r="R115" s="70" t="s">
        <v>1411</v>
      </c>
      <c r="S115" s="136"/>
      <c r="T115" s="48" t="s">
        <v>50</v>
      </c>
      <c r="U115" s="66"/>
      <c r="V115" s="225" t="s">
        <v>1208</v>
      </c>
      <c r="W115" s="66"/>
      <c r="X115" s="48" t="s">
        <v>1612</v>
      </c>
      <c r="Y115" s="66"/>
      <c r="Z115" s="66"/>
      <c r="AA115" s="81"/>
      <c r="AB115" s="81"/>
    </row>
    <row r="116">
      <c r="A116" s="126" t="s">
        <v>1604</v>
      </c>
      <c r="B116" s="25" t="s">
        <v>1209</v>
      </c>
      <c r="C116" s="48" t="s">
        <v>1413</v>
      </c>
      <c r="D116" s="137"/>
      <c r="E116" s="66"/>
      <c r="F116" s="159">
        <v>60500.0</v>
      </c>
      <c r="G116" s="88">
        <f t="shared" si="1"/>
        <v>71995</v>
      </c>
      <c r="H116" s="226">
        <v>366.0</v>
      </c>
      <c r="I116" s="104"/>
      <c r="J116" s="66"/>
      <c r="K116" s="26" t="s">
        <v>590</v>
      </c>
      <c r="L116" s="28" t="s">
        <v>1210</v>
      </c>
      <c r="M116" s="28" t="s">
        <v>1211</v>
      </c>
      <c r="N116" s="66"/>
      <c r="O116" s="120" t="s">
        <v>1605</v>
      </c>
      <c r="P116" s="54">
        <v>0.0</v>
      </c>
      <c r="Q116" s="70" t="s">
        <v>810</v>
      </c>
      <c r="R116" s="70" t="s">
        <v>1411</v>
      </c>
      <c r="S116" s="128">
        <v>46068.0</v>
      </c>
      <c r="T116" s="48" t="s">
        <v>50</v>
      </c>
      <c r="U116" s="66"/>
      <c r="V116" s="66"/>
      <c r="W116" s="66"/>
      <c r="X116" s="106"/>
      <c r="Y116" s="66"/>
      <c r="Z116" s="66"/>
      <c r="AA116" s="81"/>
      <c r="AB116" s="81"/>
    </row>
    <row r="117">
      <c r="A117" s="126" t="s">
        <v>1604</v>
      </c>
      <c r="B117" s="25" t="s">
        <v>1212</v>
      </c>
      <c r="C117" s="48" t="s">
        <v>1416</v>
      </c>
      <c r="D117" s="137"/>
      <c r="E117" s="66"/>
      <c r="F117" s="88">
        <v>10000.0</v>
      </c>
      <c r="G117" s="88">
        <f t="shared" si="1"/>
        <v>11900</v>
      </c>
      <c r="H117" s="70">
        <v>366.0</v>
      </c>
      <c r="I117" s="88">
        <v>119000.0</v>
      </c>
      <c r="J117" s="71" t="s">
        <v>1699</v>
      </c>
      <c r="K117" s="85" t="s">
        <v>256</v>
      </c>
      <c r="L117" s="86" t="s">
        <v>257</v>
      </c>
      <c r="M117" s="85" t="s">
        <v>260</v>
      </c>
      <c r="N117" s="87" t="s">
        <v>1213</v>
      </c>
      <c r="O117" s="139" t="s">
        <v>1607</v>
      </c>
      <c r="P117" s="54">
        <v>0.0</v>
      </c>
      <c r="Q117" s="70" t="s">
        <v>810</v>
      </c>
      <c r="R117" s="70" t="s">
        <v>1411</v>
      </c>
      <c r="S117" s="227"/>
      <c r="T117" s="48" t="s">
        <v>50</v>
      </c>
      <c r="U117" s="28" t="s">
        <v>1747</v>
      </c>
      <c r="V117" s="66"/>
      <c r="W117" s="66"/>
      <c r="X117" s="106"/>
      <c r="Y117" s="66"/>
      <c r="Z117" s="66"/>
      <c r="AA117" s="81"/>
      <c r="AB117" s="81"/>
    </row>
    <row r="118">
      <c r="A118" s="79" t="s">
        <v>1604</v>
      </c>
      <c r="B118" s="25" t="s">
        <v>1214</v>
      </c>
      <c r="C118" s="28" t="s">
        <v>1372</v>
      </c>
      <c r="D118" s="137"/>
      <c r="E118" s="30">
        <v>0.0</v>
      </c>
      <c r="F118" s="169">
        <v>70000.0</v>
      </c>
      <c r="G118" s="88">
        <f t="shared" si="1"/>
        <v>83300</v>
      </c>
      <c r="H118" s="30">
        <v>375.0</v>
      </c>
      <c r="I118" s="104"/>
      <c r="J118" s="28"/>
      <c r="K118" s="26" t="s">
        <v>300</v>
      </c>
      <c r="L118" s="28" t="s">
        <v>301</v>
      </c>
      <c r="M118" s="28" t="s">
        <v>298</v>
      </c>
      <c r="N118" s="87" t="s">
        <v>1215</v>
      </c>
      <c r="O118" s="120" t="s">
        <v>1608</v>
      </c>
      <c r="P118" s="54">
        <v>54.0</v>
      </c>
      <c r="Q118" s="30" t="s">
        <v>811</v>
      </c>
      <c r="R118" s="30" t="s">
        <v>1411</v>
      </c>
      <c r="S118" s="128">
        <v>46065.0</v>
      </c>
      <c r="T118" s="28" t="s">
        <v>50</v>
      </c>
      <c r="U118" s="66"/>
      <c r="V118" s="66"/>
      <c r="W118" s="66"/>
      <c r="X118" s="66"/>
      <c r="Y118" s="66"/>
      <c r="Z118" s="66"/>
      <c r="AA118" s="81"/>
      <c r="AB118" s="81"/>
    </row>
    <row r="119">
      <c r="A119" s="126" t="s">
        <v>1604</v>
      </c>
      <c r="B119" s="25" t="s">
        <v>1216</v>
      </c>
      <c r="C119" s="48" t="s">
        <v>1413</v>
      </c>
      <c r="D119" s="138"/>
      <c r="E119" s="81"/>
      <c r="F119" s="170">
        <v>60500.0</v>
      </c>
      <c r="G119" s="88">
        <f t="shared" si="1"/>
        <v>71995</v>
      </c>
      <c r="H119" s="135" t="s">
        <v>1438</v>
      </c>
      <c r="I119" s="171"/>
      <c r="J119" s="66"/>
      <c r="K119" s="26" t="s">
        <v>1217</v>
      </c>
      <c r="L119" s="30" t="s">
        <v>1218</v>
      </c>
      <c r="M119" s="28" t="s">
        <v>1219</v>
      </c>
      <c r="N119" s="66"/>
      <c r="O119" s="120" t="s">
        <v>1610</v>
      </c>
      <c r="P119" s="88"/>
      <c r="Q119" s="48" t="s">
        <v>811</v>
      </c>
      <c r="R119" s="48" t="s">
        <v>1585</v>
      </c>
      <c r="S119" s="66"/>
      <c r="T119" s="48" t="s">
        <v>50</v>
      </c>
      <c r="U119" s="66"/>
      <c r="V119" s="66"/>
      <c r="W119" s="66"/>
      <c r="X119" s="106"/>
      <c r="Y119" s="66"/>
      <c r="Z119" s="66"/>
      <c r="AA119" s="81"/>
      <c r="AB119" s="81"/>
    </row>
    <row r="120">
      <c r="A120" s="126" t="s">
        <v>1604</v>
      </c>
      <c r="B120" s="25" t="s">
        <v>1748</v>
      </c>
      <c r="C120" s="70" t="s">
        <v>1207</v>
      </c>
      <c r="D120" s="137"/>
      <c r="E120" s="66"/>
      <c r="F120" s="159">
        <v>60500.0</v>
      </c>
      <c r="G120" s="88">
        <f t="shared" si="1"/>
        <v>71995</v>
      </c>
      <c r="H120" s="142">
        <v>394.0</v>
      </c>
      <c r="I120" s="104"/>
      <c r="J120" s="66"/>
      <c r="K120" s="26" t="s">
        <v>1749</v>
      </c>
      <c r="L120" s="28" t="s">
        <v>1750</v>
      </c>
      <c r="M120" s="28" t="s">
        <v>1751</v>
      </c>
      <c r="N120" s="66"/>
      <c r="O120" s="120" t="s">
        <v>1752</v>
      </c>
      <c r="P120" s="54" t="s">
        <v>1753</v>
      </c>
      <c r="Q120" s="70" t="s">
        <v>810</v>
      </c>
      <c r="R120" s="70" t="s">
        <v>1207</v>
      </c>
      <c r="S120" s="66"/>
      <c r="T120" s="48" t="s">
        <v>50</v>
      </c>
      <c r="U120" s="66"/>
      <c r="V120" s="66"/>
      <c r="W120" s="66"/>
      <c r="X120" s="106"/>
      <c r="Y120" s="66"/>
      <c r="Z120" s="66"/>
      <c r="AA120" s="81"/>
      <c r="AB120" s="81"/>
    </row>
    <row r="121">
      <c r="A121" s="126" t="s">
        <v>1604</v>
      </c>
      <c r="B121" s="25" t="s">
        <v>1220</v>
      </c>
      <c r="C121" s="48" t="s">
        <v>1372</v>
      </c>
      <c r="D121" s="137"/>
      <c r="E121" s="66"/>
      <c r="F121" s="159">
        <v>50000.0</v>
      </c>
      <c r="G121" s="88">
        <f t="shared" si="1"/>
        <v>59500</v>
      </c>
      <c r="H121" s="70">
        <v>451.0</v>
      </c>
      <c r="I121" s="104"/>
      <c r="J121" s="66"/>
      <c r="K121" s="26" t="s">
        <v>530</v>
      </c>
      <c r="L121" s="28" t="s">
        <v>531</v>
      </c>
      <c r="M121" s="28" t="s">
        <v>528</v>
      </c>
      <c r="N121" s="87" t="s">
        <v>1221</v>
      </c>
      <c r="O121" s="120" t="s">
        <v>1611</v>
      </c>
      <c r="P121" s="54" t="s">
        <v>1745</v>
      </c>
      <c r="Q121" s="70" t="s">
        <v>810</v>
      </c>
      <c r="R121" s="70" t="s">
        <v>1411</v>
      </c>
      <c r="S121" s="134"/>
      <c r="T121" s="48" t="s">
        <v>50</v>
      </c>
      <c r="U121" s="66"/>
      <c r="V121" s="28" t="s">
        <v>1222</v>
      </c>
      <c r="W121" s="66"/>
      <c r="X121" s="48" t="s">
        <v>1612</v>
      </c>
      <c r="Y121" s="66"/>
      <c r="Z121" s="66"/>
      <c r="AA121" s="81"/>
      <c r="AB121" s="81"/>
    </row>
    <row r="122">
      <c r="A122" s="126" t="s">
        <v>1604</v>
      </c>
      <c r="B122" s="25" t="s">
        <v>1754</v>
      </c>
      <c r="C122" s="70" t="s">
        <v>1207</v>
      </c>
      <c r="D122" s="137"/>
      <c r="E122" s="66"/>
      <c r="F122" s="159">
        <v>60500.0</v>
      </c>
      <c r="G122" s="88">
        <f t="shared" si="1"/>
        <v>71995</v>
      </c>
      <c r="H122" s="142">
        <v>452.0</v>
      </c>
      <c r="I122" s="104"/>
      <c r="J122" s="71" t="s">
        <v>1755</v>
      </c>
      <c r="K122" s="26" t="s">
        <v>1756</v>
      </c>
      <c r="L122" s="30" t="s">
        <v>1757</v>
      </c>
      <c r="M122" s="28" t="s">
        <v>1758</v>
      </c>
      <c r="N122" s="66"/>
      <c r="O122" s="53" t="s">
        <v>1759</v>
      </c>
      <c r="P122" s="54" t="s">
        <v>1178</v>
      </c>
      <c r="Q122" s="70" t="s">
        <v>880</v>
      </c>
      <c r="R122" s="70" t="s">
        <v>1207</v>
      </c>
      <c r="S122" s="66"/>
      <c r="T122" s="48" t="s">
        <v>50</v>
      </c>
      <c r="U122" s="66"/>
      <c r="V122" s="66"/>
      <c r="W122" s="66"/>
      <c r="X122" s="106"/>
      <c r="Y122" s="66"/>
      <c r="Z122" s="66"/>
      <c r="AA122" s="81"/>
      <c r="AB122" s="81"/>
    </row>
    <row r="123">
      <c r="A123" s="79" t="s">
        <v>1604</v>
      </c>
      <c r="B123" s="25" t="s">
        <v>1760</v>
      </c>
      <c r="C123" s="30" t="s">
        <v>1207</v>
      </c>
      <c r="D123" s="137"/>
      <c r="E123" s="66"/>
      <c r="F123" s="159">
        <v>60500.0</v>
      </c>
      <c r="G123" s="88">
        <f t="shared" si="1"/>
        <v>71995</v>
      </c>
      <c r="H123" s="30" t="s">
        <v>1376</v>
      </c>
      <c r="I123" s="104"/>
      <c r="J123" s="28"/>
      <c r="K123" s="26" t="s">
        <v>1761</v>
      </c>
      <c r="L123" s="26" t="s">
        <v>1762</v>
      </c>
      <c r="M123" s="28" t="s">
        <v>1763</v>
      </c>
      <c r="N123" s="228" t="s">
        <v>1764</v>
      </c>
      <c r="O123" s="174">
        <v>9.51318071E8</v>
      </c>
      <c r="P123" s="54" t="s">
        <v>1753</v>
      </c>
      <c r="Q123" s="30" t="s">
        <v>1207</v>
      </c>
      <c r="R123" s="30" t="s">
        <v>1207</v>
      </c>
      <c r="S123" s="130"/>
      <c r="T123" s="28" t="s">
        <v>50</v>
      </c>
      <c r="U123" s="66"/>
      <c r="V123" s="66"/>
      <c r="W123" s="66"/>
      <c r="X123" s="66"/>
      <c r="Y123" s="66"/>
      <c r="Z123" s="66"/>
      <c r="AA123" s="81"/>
      <c r="AB123" s="81"/>
    </row>
    <row r="124">
      <c r="A124" s="126" t="s">
        <v>1604</v>
      </c>
      <c r="B124" s="81" t="s">
        <v>1223</v>
      </c>
      <c r="C124" s="48" t="s">
        <v>1413</v>
      </c>
      <c r="D124" s="137"/>
      <c r="E124" s="66"/>
      <c r="F124" s="159">
        <v>60500.0</v>
      </c>
      <c r="G124" s="88">
        <f t="shared" si="1"/>
        <v>71995</v>
      </c>
      <c r="H124" s="135" t="s">
        <v>1438</v>
      </c>
      <c r="I124" s="104"/>
      <c r="J124" s="66"/>
      <c r="K124" s="89" t="s">
        <v>1224</v>
      </c>
      <c r="L124" s="86" t="s">
        <v>1225</v>
      </c>
      <c r="M124" s="28" t="s">
        <v>1226</v>
      </c>
      <c r="N124" s="81"/>
      <c r="O124" s="172"/>
      <c r="P124" s="54" t="s">
        <v>1178</v>
      </c>
      <c r="Q124" s="48" t="s">
        <v>811</v>
      </c>
      <c r="R124" s="48" t="s">
        <v>1585</v>
      </c>
      <c r="S124" s="66"/>
      <c r="T124" s="48" t="s">
        <v>50</v>
      </c>
      <c r="U124" s="66"/>
      <c r="V124" s="66"/>
      <c r="W124" s="66"/>
      <c r="X124" s="106"/>
      <c r="Y124" s="66"/>
      <c r="Z124" s="66"/>
      <c r="AA124" s="81"/>
      <c r="AB124" s="81"/>
    </row>
    <row r="125">
      <c r="A125" s="126" t="s">
        <v>1604</v>
      </c>
      <c r="B125" s="81" t="s">
        <v>1227</v>
      </c>
      <c r="C125" s="48" t="s">
        <v>1416</v>
      </c>
      <c r="D125" s="137"/>
      <c r="E125" s="66"/>
      <c r="F125" s="159">
        <v>30000.0</v>
      </c>
      <c r="G125" s="88">
        <f t="shared" si="1"/>
        <v>35700</v>
      </c>
      <c r="H125" s="135" t="s">
        <v>1438</v>
      </c>
      <c r="I125" s="104"/>
      <c r="J125" s="66"/>
      <c r="K125" s="26" t="s">
        <v>1228</v>
      </c>
      <c r="L125" s="28" t="s">
        <v>1229</v>
      </c>
      <c r="M125" s="28" t="s">
        <v>1230</v>
      </c>
      <c r="N125" s="66"/>
      <c r="O125" s="172"/>
      <c r="P125" s="88"/>
      <c r="Q125" s="48" t="s">
        <v>811</v>
      </c>
      <c r="R125" s="48" t="s">
        <v>1585</v>
      </c>
      <c r="S125" s="66"/>
      <c r="T125" s="48" t="s">
        <v>50</v>
      </c>
      <c r="U125" s="66"/>
      <c r="V125" s="66"/>
      <c r="W125" s="66"/>
      <c r="X125" s="106"/>
      <c r="Y125" s="66"/>
      <c r="Z125" s="66"/>
      <c r="AA125" s="81"/>
      <c r="AB125" s="81"/>
    </row>
    <row r="126">
      <c r="A126" s="126" t="s">
        <v>1604</v>
      </c>
      <c r="B126" s="25" t="s">
        <v>1231</v>
      </c>
      <c r="C126" s="48" t="s">
        <v>1362</v>
      </c>
      <c r="D126" s="137"/>
      <c r="E126" s="66"/>
      <c r="F126" s="159">
        <v>30000.0</v>
      </c>
      <c r="G126" s="88">
        <f t="shared" si="1"/>
        <v>35700</v>
      </c>
      <c r="H126" s="135" t="s">
        <v>1438</v>
      </c>
      <c r="I126" s="104"/>
      <c r="J126" s="66"/>
      <c r="K126" s="85" t="s">
        <v>1232</v>
      </c>
      <c r="L126" s="28" t="s">
        <v>1233</v>
      </c>
      <c r="M126" s="28" t="s">
        <v>1234</v>
      </c>
      <c r="N126" s="66"/>
      <c r="O126" s="172"/>
      <c r="P126" s="54" t="s">
        <v>1765</v>
      </c>
      <c r="Q126" s="70" t="s">
        <v>810</v>
      </c>
      <c r="R126" s="48" t="s">
        <v>1585</v>
      </c>
      <c r="S126" s="66"/>
      <c r="T126" s="48" t="s">
        <v>50</v>
      </c>
      <c r="U126" s="66"/>
      <c r="V126" s="66"/>
      <c r="W126" s="66"/>
      <c r="X126" s="106"/>
      <c r="Y126" s="66"/>
      <c r="Z126" s="66"/>
      <c r="AA126" s="81"/>
      <c r="AB126" s="81"/>
    </row>
    <row r="127">
      <c r="A127" s="126" t="s">
        <v>1604</v>
      </c>
      <c r="B127" s="25" t="s">
        <v>1235</v>
      </c>
      <c r="C127" s="48" t="s">
        <v>1413</v>
      </c>
      <c r="D127" s="137"/>
      <c r="E127" s="66"/>
      <c r="F127" s="159">
        <v>60500.0</v>
      </c>
      <c r="G127" s="88">
        <f t="shared" si="1"/>
        <v>71995</v>
      </c>
      <c r="H127" s="135" t="s">
        <v>1438</v>
      </c>
      <c r="I127" s="104"/>
      <c r="J127" s="66"/>
      <c r="K127" s="26">
        <v>7.82295888E8</v>
      </c>
      <c r="L127" s="28" t="s">
        <v>1766</v>
      </c>
      <c r="M127" s="28" t="s">
        <v>1237</v>
      </c>
      <c r="N127" s="66"/>
      <c r="O127" s="172"/>
      <c r="P127" s="54" t="s">
        <v>1745</v>
      </c>
      <c r="Q127" s="70" t="s">
        <v>810</v>
      </c>
      <c r="R127" s="48" t="s">
        <v>1585</v>
      </c>
      <c r="S127" s="66"/>
      <c r="T127" s="48" t="s">
        <v>50</v>
      </c>
      <c r="U127" s="66"/>
      <c r="V127" s="66"/>
      <c r="W127" s="66"/>
      <c r="X127" s="106"/>
      <c r="Y127" s="66"/>
      <c r="Z127" s="66"/>
      <c r="AA127" s="81"/>
      <c r="AB127" s="81"/>
    </row>
    <row r="128">
      <c r="A128" s="126" t="s">
        <v>1604</v>
      </c>
      <c r="B128" s="25" t="s">
        <v>1238</v>
      </c>
      <c r="C128" s="48" t="s">
        <v>1413</v>
      </c>
      <c r="D128" s="137"/>
      <c r="E128" s="66"/>
      <c r="F128" s="159">
        <v>60500.0</v>
      </c>
      <c r="G128" s="88">
        <f t="shared" si="1"/>
        <v>71995</v>
      </c>
      <c r="H128" s="135" t="s">
        <v>1438</v>
      </c>
      <c r="I128" s="104"/>
      <c r="J128" s="66"/>
      <c r="K128" s="26" t="s">
        <v>1239</v>
      </c>
      <c r="L128" s="28" t="s">
        <v>1229</v>
      </c>
      <c r="M128" s="28" t="s">
        <v>1240</v>
      </c>
      <c r="N128" s="66"/>
      <c r="O128" s="173"/>
      <c r="P128" s="88"/>
      <c r="Q128" s="48" t="s">
        <v>811</v>
      </c>
      <c r="R128" s="48" t="s">
        <v>1585</v>
      </c>
      <c r="S128" s="149"/>
      <c r="T128" s="48" t="s">
        <v>50</v>
      </c>
      <c r="U128" s="66"/>
      <c r="V128" s="66"/>
      <c r="W128" s="66"/>
      <c r="X128" s="106"/>
      <c r="Y128" s="66"/>
      <c r="Z128" s="66"/>
      <c r="AA128" s="81"/>
      <c r="AB128" s="81"/>
    </row>
    <row r="129">
      <c r="A129" s="126" t="s">
        <v>1604</v>
      </c>
      <c r="B129" s="81" t="s">
        <v>1241</v>
      </c>
      <c r="C129" s="48" t="s">
        <v>1372</v>
      </c>
      <c r="D129" s="137"/>
      <c r="E129" s="28">
        <v>1.0</v>
      </c>
      <c r="F129" s="159">
        <v>60000.0</v>
      </c>
      <c r="G129" s="88">
        <f t="shared" si="1"/>
        <v>71400</v>
      </c>
      <c r="H129" s="229">
        <v>453.0</v>
      </c>
      <c r="I129" s="104"/>
      <c r="J129" s="66"/>
      <c r="K129" s="26" t="s">
        <v>1242</v>
      </c>
      <c r="L129" s="28" t="s">
        <v>486</v>
      </c>
      <c r="M129" s="28" t="s">
        <v>483</v>
      </c>
      <c r="N129" s="28" t="s">
        <v>487</v>
      </c>
      <c r="O129" s="120" t="s">
        <v>1615</v>
      </c>
      <c r="P129" s="54" t="s">
        <v>1745</v>
      </c>
      <c r="Q129" s="70" t="s">
        <v>810</v>
      </c>
      <c r="R129" s="70" t="s">
        <v>1411</v>
      </c>
      <c r="S129" s="128">
        <v>45693.0</v>
      </c>
      <c r="T129" s="48" t="s">
        <v>50</v>
      </c>
      <c r="U129" s="66"/>
      <c r="V129" s="28" t="s">
        <v>1243</v>
      </c>
      <c r="W129" s="28">
        <v>1421.0</v>
      </c>
      <c r="X129" s="48" t="s">
        <v>811</v>
      </c>
      <c r="Y129" s="66"/>
      <c r="Z129" s="66"/>
      <c r="AA129" s="81"/>
      <c r="AB129" s="81"/>
    </row>
    <row r="130">
      <c r="A130" s="126" t="s">
        <v>1604</v>
      </c>
      <c r="B130" s="25" t="s">
        <v>1244</v>
      </c>
      <c r="C130" s="48" t="s">
        <v>1362</v>
      </c>
      <c r="D130" s="137"/>
      <c r="E130" s="66"/>
      <c r="F130" s="159">
        <v>30000.0</v>
      </c>
      <c r="G130" s="88">
        <f t="shared" si="1"/>
        <v>35700</v>
      </c>
      <c r="H130" s="135" t="s">
        <v>1438</v>
      </c>
      <c r="I130" s="104"/>
      <c r="J130" s="66"/>
      <c r="K130" s="26" t="s">
        <v>1245</v>
      </c>
      <c r="L130" s="28" t="s">
        <v>1246</v>
      </c>
      <c r="M130" s="28" t="s">
        <v>1247</v>
      </c>
      <c r="N130" s="28" t="s">
        <v>1248</v>
      </c>
      <c r="O130" s="120" t="s">
        <v>1616</v>
      </c>
      <c r="P130" s="54">
        <v>597.0</v>
      </c>
      <c r="Q130" s="70" t="s">
        <v>810</v>
      </c>
      <c r="R130" s="48" t="s">
        <v>1585</v>
      </c>
      <c r="S130" s="66"/>
      <c r="T130" s="48" t="s">
        <v>50</v>
      </c>
      <c r="U130" s="66"/>
      <c r="V130" s="28" t="s">
        <v>1250</v>
      </c>
      <c r="W130" s="28" t="s">
        <v>1249</v>
      </c>
      <c r="X130" s="48" t="s">
        <v>811</v>
      </c>
      <c r="Y130" s="66"/>
      <c r="Z130" s="66"/>
      <c r="AA130" s="81"/>
      <c r="AB130" s="81"/>
    </row>
    <row r="131">
      <c r="A131" s="126" t="s">
        <v>1604</v>
      </c>
      <c r="B131" s="81" t="s">
        <v>1251</v>
      </c>
      <c r="C131" s="48" t="s">
        <v>1416</v>
      </c>
      <c r="D131" s="137"/>
      <c r="E131" s="66"/>
      <c r="F131" s="159">
        <v>10000.0</v>
      </c>
      <c r="G131" s="88">
        <f t="shared" si="1"/>
        <v>11900</v>
      </c>
      <c r="H131" s="135" t="s">
        <v>1438</v>
      </c>
      <c r="I131" s="104"/>
      <c r="J131" s="71" t="s">
        <v>1767</v>
      </c>
      <c r="K131" s="26" t="s">
        <v>1252</v>
      </c>
      <c r="L131" s="28" t="s">
        <v>1253</v>
      </c>
      <c r="M131" s="28" t="s">
        <v>1254</v>
      </c>
      <c r="N131" s="28" t="s">
        <v>1255</v>
      </c>
      <c r="O131" s="120" t="s">
        <v>1617</v>
      </c>
      <c r="P131" s="54" t="s">
        <v>1768</v>
      </c>
      <c r="Q131" s="70" t="s">
        <v>810</v>
      </c>
      <c r="R131" s="48" t="s">
        <v>1585</v>
      </c>
      <c r="S131" s="66"/>
      <c r="T131" s="48" t="s">
        <v>50</v>
      </c>
      <c r="U131" s="66"/>
      <c r="V131" s="28" t="s">
        <v>1257</v>
      </c>
      <c r="W131" s="28" t="s">
        <v>1256</v>
      </c>
      <c r="X131" s="48" t="s">
        <v>811</v>
      </c>
      <c r="Y131" s="66"/>
      <c r="Z131" s="66"/>
      <c r="AA131" s="81"/>
      <c r="AB131" s="81"/>
    </row>
    <row r="132">
      <c r="A132" s="126" t="s">
        <v>1604</v>
      </c>
      <c r="B132" s="25" t="s">
        <v>1618</v>
      </c>
      <c r="C132" s="48" t="s">
        <v>1416</v>
      </c>
      <c r="D132" s="137"/>
      <c r="E132" s="66"/>
      <c r="F132" s="88">
        <v>10000.0</v>
      </c>
      <c r="G132" s="88">
        <f t="shared" si="1"/>
        <v>11900</v>
      </c>
      <c r="H132" s="70">
        <v>454.0</v>
      </c>
      <c r="I132" s="104"/>
      <c r="J132" s="66"/>
      <c r="K132" s="26" t="s">
        <v>1619</v>
      </c>
      <c r="L132" s="28" t="s">
        <v>1620</v>
      </c>
      <c r="M132" s="25" t="s">
        <v>1514</v>
      </c>
      <c r="N132" s="28">
        <v>1.74830924E8</v>
      </c>
      <c r="O132" s="139" t="s">
        <v>1516</v>
      </c>
      <c r="P132" s="54" t="s">
        <v>1768</v>
      </c>
      <c r="Q132" s="70" t="s">
        <v>810</v>
      </c>
      <c r="R132" s="70" t="s">
        <v>1411</v>
      </c>
      <c r="S132" s="145">
        <v>46052.0</v>
      </c>
      <c r="T132" s="48" t="s">
        <v>50</v>
      </c>
      <c r="U132" s="66"/>
      <c r="V132" s="28" t="s">
        <v>1518</v>
      </c>
      <c r="W132" s="28" t="s">
        <v>1519</v>
      </c>
      <c r="X132" s="48" t="s">
        <v>1621</v>
      </c>
      <c r="Y132" s="66"/>
      <c r="Z132" s="66"/>
      <c r="AA132" s="81"/>
      <c r="AB132" s="81"/>
    </row>
    <row r="133">
      <c r="A133" s="126" t="s">
        <v>1604</v>
      </c>
      <c r="B133" s="25" t="s">
        <v>1258</v>
      </c>
      <c r="C133" s="48" t="s">
        <v>1372</v>
      </c>
      <c r="D133" s="137"/>
      <c r="E133" s="66"/>
      <c r="F133" s="159">
        <v>50000.0</v>
      </c>
      <c r="G133" s="88">
        <f t="shared" si="1"/>
        <v>59500</v>
      </c>
      <c r="H133" s="135" t="s">
        <v>1438</v>
      </c>
      <c r="I133" s="104"/>
      <c r="J133" s="66"/>
      <c r="K133" s="26" t="s">
        <v>1259</v>
      </c>
      <c r="L133" s="28" t="s">
        <v>1260</v>
      </c>
      <c r="M133" s="28" t="s">
        <v>1261</v>
      </c>
      <c r="N133" s="28" t="s">
        <v>1262</v>
      </c>
      <c r="O133" s="120" t="s">
        <v>1622</v>
      </c>
      <c r="P133" s="54" t="s">
        <v>1768</v>
      </c>
      <c r="Q133" s="70" t="s">
        <v>810</v>
      </c>
      <c r="R133" s="48" t="s">
        <v>1585</v>
      </c>
      <c r="S133" s="66"/>
      <c r="T133" s="48" t="s">
        <v>50</v>
      </c>
      <c r="U133" s="66"/>
      <c r="V133" s="28" t="s">
        <v>1264</v>
      </c>
      <c r="W133" s="28" t="s">
        <v>1263</v>
      </c>
      <c r="X133" s="48" t="s">
        <v>811</v>
      </c>
      <c r="Y133" s="66"/>
      <c r="Z133" s="66"/>
      <c r="AA133" s="81"/>
      <c r="AB133" s="81"/>
    </row>
    <row r="134">
      <c r="A134" s="126" t="s">
        <v>1604</v>
      </c>
      <c r="B134" s="25" t="s">
        <v>1623</v>
      </c>
      <c r="C134" s="48" t="s">
        <v>1416</v>
      </c>
      <c r="D134" s="137"/>
      <c r="E134" s="66"/>
      <c r="F134" s="159">
        <v>10000.0</v>
      </c>
      <c r="G134" s="88">
        <f t="shared" si="1"/>
        <v>11900</v>
      </c>
      <c r="H134" s="30">
        <v>455.0</v>
      </c>
      <c r="I134" s="104"/>
      <c r="J134" s="81"/>
      <c r="K134" s="26" t="s">
        <v>1624</v>
      </c>
      <c r="L134" s="26" t="s">
        <v>1625</v>
      </c>
      <c r="M134" s="28" t="s">
        <v>1626</v>
      </c>
      <c r="N134" s="28" t="s">
        <v>1627</v>
      </c>
      <c r="O134" s="120" t="s">
        <v>1628</v>
      </c>
      <c r="P134" s="54" t="s">
        <v>1768</v>
      </c>
      <c r="Q134" s="70" t="s">
        <v>810</v>
      </c>
      <c r="R134" s="70" t="s">
        <v>1411</v>
      </c>
      <c r="S134" s="127">
        <v>46058.0</v>
      </c>
      <c r="T134" s="48" t="s">
        <v>50</v>
      </c>
      <c r="U134" s="66"/>
      <c r="V134" s="28" t="s">
        <v>1629</v>
      </c>
      <c r="W134" s="28" t="s">
        <v>1630</v>
      </c>
      <c r="X134" s="48" t="s">
        <v>811</v>
      </c>
      <c r="Y134" s="66"/>
      <c r="Z134" s="66"/>
      <c r="AA134" s="81"/>
      <c r="AB134" s="81"/>
    </row>
    <row r="135">
      <c r="A135" s="126" t="s">
        <v>1604</v>
      </c>
      <c r="B135" s="25" t="s">
        <v>1265</v>
      </c>
      <c r="C135" s="48" t="s">
        <v>1380</v>
      </c>
      <c r="D135" s="137"/>
      <c r="E135" s="66"/>
      <c r="F135" s="159">
        <v>0.0</v>
      </c>
      <c r="G135" s="88">
        <f t="shared" si="1"/>
        <v>0</v>
      </c>
      <c r="H135" s="135" t="s">
        <v>1438</v>
      </c>
      <c r="I135" s="104"/>
      <c r="J135" s="66"/>
      <c r="K135" s="26" t="s">
        <v>1266</v>
      </c>
      <c r="L135" s="28" t="s">
        <v>1267</v>
      </c>
      <c r="M135" s="28" t="s">
        <v>1268</v>
      </c>
      <c r="N135" s="66"/>
      <c r="O135" s="120" t="s">
        <v>1509</v>
      </c>
      <c r="P135" s="54" t="s">
        <v>1768</v>
      </c>
      <c r="Q135" s="70" t="s">
        <v>810</v>
      </c>
      <c r="R135" s="48" t="s">
        <v>1380</v>
      </c>
      <c r="S135" s="66"/>
      <c r="T135" s="48" t="s">
        <v>50</v>
      </c>
      <c r="U135" s="66"/>
      <c r="V135" s="66"/>
      <c r="W135" s="66"/>
      <c r="X135" s="48" t="s">
        <v>1631</v>
      </c>
      <c r="Y135" s="66"/>
      <c r="Z135" s="66"/>
      <c r="AA135" s="81"/>
      <c r="AB135" s="81"/>
    </row>
    <row r="136">
      <c r="A136" s="126" t="s">
        <v>1604</v>
      </c>
      <c r="B136" s="25" t="s">
        <v>1269</v>
      </c>
      <c r="C136" s="48" t="s">
        <v>1372</v>
      </c>
      <c r="D136" s="137"/>
      <c r="E136" s="66"/>
      <c r="F136" s="169">
        <v>70000.0</v>
      </c>
      <c r="G136" s="88">
        <f t="shared" si="1"/>
        <v>83300</v>
      </c>
      <c r="H136" s="70">
        <v>456.0</v>
      </c>
      <c r="I136" s="97">
        <v>119000.0</v>
      </c>
      <c r="J136" s="66"/>
      <c r="K136" s="26" t="s">
        <v>212</v>
      </c>
      <c r="L136" s="28" t="s">
        <v>213</v>
      </c>
      <c r="M136" s="28" t="s">
        <v>217</v>
      </c>
      <c r="N136" s="87" t="s">
        <v>1270</v>
      </c>
      <c r="O136" s="174">
        <v>9.54838676E8</v>
      </c>
      <c r="P136" s="54">
        <v>354673.0</v>
      </c>
      <c r="Q136" s="30" t="s">
        <v>810</v>
      </c>
      <c r="R136" s="70" t="s">
        <v>1411</v>
      </c>
      <c r="S136" s="150">
        <v>45692.0</v>
      </c>
      <c r="T136" s="48" t="s">
        <v>50</v>
      </c>
      <c r="U136" s="66"/>
      <c r="V136" s="66"/>
      <c r="W136" s="66"/>
      <c r="X136" s="48" t="s">
        <v>1612</v>
      </c>
      <c r="Y136" s="66"/>
      <c r="Z136" s="66"/>
      <c r="AA136" s="81"/>
      <c r="AB136" s="81"/>
    </row>
    <row r="137">
      <c r="A137" s="126" t="s">
        <v>1604</v>
      </c>
      <c r="B137" s="25" t="s">
        <v>1701</v>
      </c>
      <c r="C137" s="48" t="s">
        <v>1362</v>
      </c>
      <c r="D137" s="137"/>
      <c r="E137" s="66"/>
      <c r="F137" s="159">
        <v>30000.0</v>
      </c>
      <c r="G137" s="88">
        <f t="shared" si="1"/>
        <v>35700</v>
      </c>
      <c r="H137" s="70">
        <v>457.0</v>
      </c>
      <c r="I137" s="104"/>
      <c r="J137" s="30" t="s">
        <v>1702</v>
      </c>
      <c r="K137" s="26" t="s">
        <v>1703</v>
      </c>
      <c r="L137" s="28" t="s">
        <v>1704</v>
      </c>
      <c r="M137" s="28" t="s">
        <v>1705</v>
      </c>
      <c r="N137" s="87" t="s">
        <v>1706</v>
      </c>
      <c r="O137" s="28" t="s">
        <v>1707</v>
      </c>
      <c r="P137" s="54">
        <v>102.0</v>
      </c>
      <c r="Q137" s="70" t="s">
        <v>810</v>
      </c>
      <c r="R137" s="70" t="s">
        <v>1364</v>
      </c>
      <c r="S137" s="130"/>
      <c r="T137" s="48" t="s">
        <v>50</v>
      </c>
      <c r="U137" s="66"/>
      <c r="V137" s="66"/>
      <c r="W137" s="66"/>
      <c r="X137" s="48" t="s">
        <v>811</v>
      </c>
      <c r="Y137" s="66"/>
      <c r="Z137" s="66"/>
      <c r="AA137" s="81"/>
      <c r="AB137" s="121" t="str">
        <f>IFERROR(__xludf.DUMMYFUNCTION("HYPERLINK(
""https://wa.me/""&amp;REGEXREPLACE(O137,""[^0-9]"","""")&amp;
""?text=""&amp;
ENCODEURL(
""Buenas tardes *""&amp;B137&amp;""*.
Te recordamos que tu factura por el servicio de contabilidad ""&amp;C137&amp;""  por el servicio de enero se encuentra impaga, por lo que no re"&amp;"alizaremos tu contabilidad de febrero hasta que se regularice
Valor: *$""&amp;F137&amp;""* + IVA = *$""&amp;G137&amp;""*
El pago puedes hacerlo vía transferencia en la siguiente cuenta:
*CUENTA BANCARIA*
VOLLAIRE &amp; OLIVOS SIMPLE PYME LTDA
Banco BCI
Cuenta corriente
RU"&amp;"T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</row>
    <row r="138">
      <c r="A138" s="126" t="s">
        <v>1604</v>
      </c>
      <c r="B138" s="25" t="s">
        <v>1271</v>
      </c>
      <c r="C138" s="48" t="s">
        <v>1416</v>
      </c>
      <c r="D138" s="137"/>
      <c r="E138" s="66"/>
      <c r="F138" s="159">
        <v>10000.0</v>
      </c>
      <c r="G138" s="88">
        <f t="shared" si="1"/>
        <v>11900</v>
      </c>
      <c r="H138" s="135" t="s">
        <v>1438</v>
      </c>
      <c r="I138" s="104"/>
      <c r="J138" s="66"/>
      <c r="K138" s="26" t="s">
        <v>1228</v>
      </c>
      <c r="L138" s="28" t="s">
        <v>809</v>
      </c>
      <c r="M138" s="52" t="s">
        <v>1273</v>
      </c>
      <c r="N138" s="28" t="s">
        <v>1274</v>
      </c>
      <c r="O138" s="172"/>
      <c r="P138" s="88"/>
      <c r="Q138" s="48" t="s">
        <v>811</v>
      </c>
      <c r="R138" s="48" t="s">
        <v>1585</v>
      </c>
      <c r="S138" s="66"/>
      <c r="T138" s="48" t="s">
        <v>50</v>
      </c>
      <c r="U138" s="66"/>
      <c r="V138" s="66"/>
      <c r="W138" s="66"/>
      <c r="X138" s="48" t="s">
        <v>811</v>
      </c>
      <c r="Y138" s="66"/>
      <c r="Z138" s="66"/>
      <c r="AA138" s="81"/>
      <c r="AB138" s="81"/>
    </row>
    <row r="139">
      <c r="A139" s="126" t="s">
        <v>1604</v>
      </c>
      <c r="B139" s="25" t="s">
        <v>1633</v>
      </c>
      <c r="C139" s="48" t="s">
        <v>1634</v>
      </c>
      <c r="D139" s="176" t="s">
        <v>1635</v>
      </c>
      <c r="E139" s="28" t="s">
        <v>1636</v>
      </c>
      <c r="F139" s="159">
        <v>10000.0</v>
      </c>
      <c r="G139" s="88">
        <f t="shared" si="1"/>
        <v>11900</v>
      </c>
      <c r="H139" s="70">
        <v>458.0</v>
      </c>
      <c r="I139" s="104"/>
      <c r="J139" s="28" t="s">
        <v>1637</v>
      </c>
      <c r="K139" s="26" t="s">
        <v>1638</v>
      </c>
      <c r="L139" s="28" t="s">
        <v>1636</v>
      </c>
      <c r="M139" s="28" t="s">
        <v>1639</v>
      </c>
      <c r="N139" s="106"/>
      <c r="O139" s="28" t="s">
        <v>1636</v>
      </c>
      <c r="P139" s="30" t="s">
        <v>1769</v>
      </c>
      <c r="Q139" s="48" t="s">
        <v>880</v>
      </c>
      <c r="R139" s="70" t="s">
        <v>1411</v>
      </c>
      <c r="S139" s="136"/>
      <c r="T139" s="48" t="s">
        <v>50</v>
      </c>
      <c r="U139" s="66"/>
      <c r="V139" s="66"/>
      <c r="W139" s="66"/>
      <c r="X139" s="48" t="s">
        <v>1612</v>
      </c>
      <c r="Y139" s="66"/>
      <c r="Z139" s="66"/>
      <c r="AA139" s="81"/>
      <c r="AB139" s="81"/>
    </row>
    <row r="140">
      <c r="A140" s="126" t="s">
        <v>1604</v>
      </c>
      <c r="B140" s="25" t="s">
        <v>1275</v>
      </c>
      <c r="C140" s="48" t="s">
        <v>1362</v>
      </c>
      <c r="D140" s="178">
        <v>2.0</v>
      </c>
      <c r="E140" s="66"/>
      <c r="F140" s="159">
        <v>40000.0</v>
      </c>
      <c r="G140" s="88">
        <f t="shared" si="1"/>
        <v>47600</v>
      </c>
      <c r="H140" s="30">
        <v>459.0</v>
      </c>
      <c r="I140" s="104"/>
      <c r="J140" s="94"/>
      <c r="K140" s="26" t="s">
        <v>225</v>
      </c>
      <c r="L140" s="28" t="s">
        <v>226</v>
      </c>
      <c r="M140" s="28" t="s">
        <v>222</v>
      </c>
      <c r="N140" s="28" t="s">
        <v>1276</v>
      </c>
      <c r="O140" s="28"/>
      <c r="P140" s="54">
        <v>543728.0</v>
      </c>
      <c r="Q140" s="30" t="s">
        <v>810</v>
      </c>
      <c r="R140" s="70" t="s">
        <v>1411</v>
      </c>
      <c r="S140" s="179">
        <v>46058.0</v>
      </c>
      <c r="T140" s="48" t="s">
        <v>50</v>
      </c>
      <c r="U140" s="66"/>
      <c r="V140" s="28" t="s">
        <v>1277</v>
      </c>
      <c r="W140" s="66"/>
      <c r="X140" s="48" t="s">
        <v>1612</v>
      </c>
      <c r="Y140" s="66"/>
      <c r="Z140" s="66"/>
      <c r="AA140" s="81"/>
      <c r="AB140" s="81"/>
    </row>
    <row r="141">
      <c r="A141" s="180" t="s">
        <v>1604</v>
      </c>
      <c r="B141" s="59" t="s">
        <v>1278</v>
      </c>
      <c r="C141" s="46" t="s">
        <v>1372</v>
      </c>
      <c r="D141" s="181">
        <v>2.0</v>
      </c>
      <c r="E141" s="46">
        <v>0.0</v>
      </c>
      <c r="F141" s="182">
        <v>70000.0</v>
      </c>
      <c r="G141" s="90">
        <f t="shared" si="1"/>
        <v>83300</v>
      </c>
      <c r="H141" s="183" t="s">
        <v>1376</v>
      </c>
      <c r="I141" s="184"/>
      <c r="J141" s="46"/>
      <c r="K141" s="46" t="s">
        <v>1279</v>
      </c>
      <c r="L141" s="73" t="s">
        <v>1280</v>
      </c>
      <c r="M141" s="46" t="s">
        <v>1281</v>
      </c>
      <c r="N141" s="46" t="s">
        <v>1282</v>
      </c>
      <c r="O141" s="46" t="s">
        <v>1642</v>
      </c>
      <c r="P141" s="90"/>
      <c r="Q141" s="183" t="s">
        <v>810</v>
      </c>
      <c r="R141" s="183" t="s">
        <v>1470</v>
      </c>
      <c r="S141" s="185"/>
      <c r="T141" s="69"/>
      <c r="U141" s="69"/>
      <c r="V141" s="46" t="s">
        <v>1284</v>
      </c>
      <c r="W141" s="46" t="s">
        <v>1283</v>
      </c>
      <c r="X141" s="46" t="s">
        <v>1612</v>
      </c>
      <c r="Y141" s="69"/>
      <c r="Z141" s="69"/>
      <c r="AA141" s="73"/>
      <c r="AB141" s="121" t="str">
        <f>IFERROR(__xludf.DUMMYFUNCTION("HYPERLINK(
""https://wa.me/""&amp;REGEXREPLACE(O141,""[^0-9]"","""")&amp;
""?text=""&amp;
ENCODEURL(
""Buenas tardes *""&amp;B141&amp;""*.
Te recordamos que tu factura por el servicio de contabilidad ""&amp;C141&amp;""  por el servicio de enero se encuentra impaga, por lo que no re"&amp;"alizaremos tu contabilidad de febrero hasta que se regularice
Valor: *$""&amp;F141&amp;""* + IVA = *$""&amp;G141&amp;""*
El pago puedes hacerlo vía transferencia en la siguiente cuenta:
*CUENTA BANCARIA*
VOLLAIRE &amp; OLIVOS SIMPLE PYME LTDA
Banco BCI
Cuenta corriente
RU"&amp;"T 78.306.207-0
Número de cuenta: 70809538
MATIAS.OLIVOS@VSVCONSULTORES.COM
También puedes pagar con tarjeta de débito o crédito en el siguiente link:
https://www.flow.cl/btn.php?token=xe78c9acb73c3eff5e917d5c932a4a2f7f971abe
Simple Pyme""
),
""Enviar W"&amp;"hatsApp""
)"),"Enviar WhatsApp")</f>
        <v>Enviar WhatsApp</v>
      </c>
    </row>
    <row r="142">
      <c r="A142" s="126" t="s">
        <v>1604</v>
      </c>
      <c r="B142" s="25" t="s">
        <v>1285</v>
      </c>
      <c r="C142" s="48" t="s">
        <v>1372</v>
      </c>
      <c r="D142" s="178">
        <v>1.0</v>
      </c>
      <c r="E142" s="28">
        <v>0.0</v>
      </c>
      <c r="F142" s="159">
        <v>50000.0</v>
      </c>
      <c r="G142" s="88">
        <f t="shared" si="1"/>
        <v>59500</v>
      </c>
      <c r="H142" s="30">
        <v>460.0</v>
      </c>
      <c r="I142" s="104"/>
      <c r="J142" s="28"/>
      <c r="K142" s="26" t="s">
        <v>711</v>
      </c>
      <c r="L142" s="28" t="s">
        <v>1286</v>
      </c>
      <c r="M142" s="28" t="s">
        <v>709</v>
      </c>
      <c r="N142" s="28" t="s">
        <v>1287</v>
      </c>
      <c r="O142" s="28"/>
      <c r="P142" s="91">
        <v>47622.0</v>
      </c>
      <c r="Q142" s="30" t="s">
        <v>810</v>
      </c>
      <c r="R142" s="70" t="s">
        <v>1411</v>
      </c>
      <c r="S142" s="132">
        <v>46063.0</v>
      </c>
      <c r="T142" s="48" t="s">
        <v>50</v>
      </c>
      <c r="U142" s="66"/>
      <c r="V142" s="28" t="s">
        <v>1288</v>
      </c>
      <c r="W142" s="66"/>
      <c r="X142" s="48" t="s">
        <v>1621</v>
      </c>
      <c r="Y142" s="66"/>
      <c r="Z142" s="66"/>
      <c r="AA142" s="81"/>
      <c r="AB142" s="81"/>
    </row>
    <row r="143">
      <c r="A143" s="126" t="s">
        <v>1604</v>
      </c>
      <c r="B143" s="26" t="s">
        <v>1289</v>
      </c>
      <c r="C143" s="48" t="s">
        <v>1380</v>
      </c>
      <c r="D143" s="137"/>
      <c r="E143" s="66"/>
      <c r="F143" s="159">
        <v>0.0</v>
      </c>
      <c r="G143" s="88">
        <f t="shared" si="1"/>
        <v>0</v>
      </c>
      <c r="H143" s="135" t="s">
        <v>1438</v>
      </c>
      <c r="I143" s="104"/>
      <c r="J143" s="28"/>
      <c r="K143" s="28" t="s">
        <v>988</v>
      </c>
      <c r="L143" s="28" t="s">
        <v>989</v>
      </c>
      <c r="M143" s="28" t="s">
        <v>990</v>
      </c>
      <c r="N143" s="66"/>
      <c r="O143" s="172"/>
      <c r="P143" s="54" t="s">
        <v>1770</v>
      </c>
      <c r="Q143" s="70" t="s">
        <v>810</v>
      </c>
      <c r="R143" s="48" t="s">
        <v>1380</v>
      </c>
      <c r="S143" s="66"/>
      <c r="T143" s="106"/>
      <c r="U143" s="28" t="s">
        <v>1438</v>
      </c>
      <c r="V143" s="66"/>
      <c r="W143" s="66"/>
      <c r="X143" s="106"/>
      <c r="Y143" s="66"/>
      <c r="Z143" s="66"/>
      <c r="AA143" s="81"/>
      <c r="AB143" s="81"/>
    </row>
    <row r="144">
      <c r="A144" s="126" t="s">
        <v>1604</v>
      </c>
      <c r="B144" s="25" t="s">
        <v>1290</v>
      </c>
      <c r="C144" s="48" t="s">
        <v>1413</v>
      </c>
      <c r="D144" s="137"/>
      <c r="E144" s="66"/>
      <c r="F144" s="159">
        <v>60500.0</v>
      </c>
      <c r="G144" s="88">
        <f t="shared" si="1"/>
        <v>71995</v>
      </c>
      <c r="H144" s="135" t="s">
        <v>1438</v>
      </c>
      <c r="I144" s="104"/>
      <c r="J144" s="66"/>
      <c r="K144" s="26" t="s">
        <v>1291</v>
      </c>
      <c r="L144" s="28" t="s">
        <v>1292</v>
      </c>
      <c r="M144" s="52" t="s">
        <v>1293</v>
      </c>
      <c r="N144" s="28" t="s">
        <v>1294</v>
      </c>
      <c r="O144" s="28" t="s">
        <v>1644</v>
      </c>
      <c r="P144" s="88"/>
      <c r="Q144" s="48" t="s">
        <v>811</v>
      </c>
      <c r="R144" s="48" t="s">
        <v>1585</v>
      </c>
      <c r="S144" s="66"/>
      <c r="T144" s="106"/>
      <c r="U144" s="66"/>
      <c r="V144" s="66"/>
      <c r="W144" s="66"/>
      <c r="X144" s="48" t="s">
        <v>811</v>
      </c>
      <c r="Y144" s="66"/>
      <c r="Z144" s="66"/>
      <c r="AA144" s="81"/>
      <c r="AB144" s="81"/>
    </row>
    <row r="145">
      <c r="A145" s="126" t="s">
        <v>1604</v>
      </c>
      <c r="B145" s="25" t="s">
        <v>1295</v>
      </c>
      <c r="C145" s="48" t="s">
        <v>1413</v>
      </c>
      <c r="D145" s="137"/>
      <c r="E145" s="66"/>
      <c r="F145" s="159">
        <v>60500.0</v>
      </c>
      <c r="G145" s="88">
        <f t="shared" si="1"/>
        <v>71995</v>
      </c>
      <c r="H145" s="142">
        <v>461.0</v>
      </c>
      <c r="I145" s="104"/>
      <c r="J145" s="66"/>
      <c r="K145" s="26" t="s">
        <v>506</v>
      </c>
      <c r="L145" s="92" t="s">
        <v>1296</v>
      </c>
      <c r="M145" s="28" t="s">
        <v>1297</v>
      </c>
      <c r="N145" s="28" t="s">
        <v>506</v>
      </c>
      <c r="O145" s="28" t="s">
        <v>1645</v>
      </c>
      <c r="P145" s="54" t="s">
        <v>1745</v>
      </c>
      <c r="Q145" s="70" t="s">
        <v>810</v>
      </c>
      <c r="R145" s="70" t="s">
        <v>1411</v>
      </c>
      <c r="S145" s="66"/>
      <c r="T145" s="106"/>
      <c r="U145" s="66"/>
      <c r="V145" s="66"/>
      <c r="W145" s="66"/>
      <c r="X145" s="106"/>
      <c r="Y145" s="66"/>
      <c r="Z145" s="66"/>
      <c r="AA145" s="81"/>
      <c r="AB145" s="81"/>
    </row>
    <row r="146">
      <c r="A146" s="126" t="s">
        <v>1604</v>
      </c>
      <c r="B146" s="25" t="s">
        <v>1298</v>
      </c>
      <c r="C146" s="48" t="s">
        <v>1413</v>
      </c>
      <c r="D146" s="137"/>
      <c r="E146" s="66"/>
      <c r="F146" s="159">
        <v>60500.0</v>
      </c>
      <c r="G146" s="88">
        <f t="shared" si="1"/>
        <v>71995</v>
      </c>
      <c r="H146" s="135" t="s">
        <v>1438</v>
      </c>
      <c r="I146" s="104"/>
      <c r="J146" s="66"/>
      <c r="K146" s="26" t="s">
        <v>1299</v>
      </c>
      <c r="L146" s="28" t="s">
        <v>1300</v>
      </c>
      <c r="M146" s="28" t="s">
        <v>1301</v>
      </c>
      <c r="N146" s="28" t="s">
        <v>1302</v>
      </c>
      <c r="O146" s="28" t="s">
        <v>1646</v>
      </c>
      <c r="P146" s="54" t="s">
        <v>1178</v>
      </c>
      <c r="Q146" s="48" t="s">
        <v>811</v>
      </c>
      <c r="R146" s="48" t="s">
        <v>1585</v>
      </c>
      <c r="S146" s="66"/>
      <c r="T146" s="106"/>
      <c r="U146" s="66"/>
      <c r="V146" s="66"/>
      <c r="W146" s="66"/>
      <c r="X146" s="106"/>
      <c r="Y146" s="66"/>
      <c r="Z146" s="66"/>
      <c r="AA146" s="81"/>
      <c r="AB146" s="81"/>
    </row>
    <row r="147">
      <c r="A147" s="126" t="s">
        <v>1604</v>
      </c>
      <c r="B147" s="25" t="s">
        <v>1298</v>
      </c>
      <c r="C147" s="48" t="s">
        <v>1413</v>
      </c>
      <c r="D147" s="137"/>
      <c r="E147" s="66"/>
      <c r="F147" s="159">
        <v>60500.0</v>
      </c>
      <c r="G147" s="88">
        <f t="shared" si="1"/>
        <v>71995</v>
      </c>
      <c r="H147" s="142">
        <v>462.0</v>
      </c>
      <c r="I147" s="104"/>
      <c r="J147" s="66"/>
      <c r="K147" s="94" t="s">
        <v>478</v>
      </c>
      <c r="L147" s="93" t="s">
        <v>479</v>
      </c>
      <c r="M147" s="94" t="s">
        <v>1304</v>
      </c>
      <c r="N147" s="28" t="s">
        <v>1305</v>
      </c>
      <c r="O147" s="186" t="s">
        <v>1647</v>
      </c>
      <c r="P147" s="54" t="s">
        <v>1745</v>
      </c>
      <c r="Q147" s="70" t="s">
        <v>810</v>
      </c>
      <c r="R147" s="70" t="s">
        <v>1411</v>
      </c>
      <c r="S147" s="66"/>
      <c r="T147" s="106"/>
      <c r="U147" s="66"/>
      <c r="V147" s="66"/>
      <c r="W147" s="66"/>
      <c r="X147" s="106"/>
      <c r="Y147" s="66"/>
      <c r="Z147" s="66"/>
      <c r="AA147" s="81"/>
      <c r="AB147" s="81"/>
    </row>
    <row r="148">
      <c r="A148" s="180" t="s">
        <v>1604</v>
      </c>
      <c r="B148" s="44" t="s">
        <v>1771</v>
      </c>
      <c r="C148" s="46" t="s">
        <v>1413</v>
      </c>
      <c r="D148" s="206"/>
      <c r="E148" s="69"/>
      <c r="F148" s="182">
        <v>60500.0</v>
      </c>
      <c r="G148" s="90">
        <f t="shared" si="1"/>
        <v>71995</v>
      </c>
      <c r="H148" s="183" t="s">
        <v>1376</v>
      </c>
      <c r="I148" s="184"/>
      <c r="J148" s="46"/>
      <c r="K148" s="45" t="s">
        <v>1772</v>
      </c>
      <c r="L148" s="46" t="s">
        <v>1773</v>
      </c>
      <c r="M148" s="46" t="s">
        <v>1774</v>
      </c>
      <c r="N148" s="46" t="s">
        <v>1775</v>
      </c>
      <c r="O148" s="46" t="s">
        <v>1776</v>
      </c>
      <c r="P148" s="230">
        <v>30437.0</v>
      </c>
      <c r="Q148" s="70" t="s">
        <v>1709</v>
      </c>
      <c r="R148" s="183" t="s">
        <v>1207</v>
      </c>
      <c r="S148" s="69"/>
      <c r="T148" s="69"/>
      <c r="U148" s="69"/>
      <c r="V148" s="69"/>
      <c r="W148" s="69"/>
      <c r="X148" s="69"/>
      <c r="Y148" s="69"/>
      <c r="Z148" s="69"/>
      <c r="AA148" s="73"/>
      <c r="AB148" s="73"/>
    </row>
    <row r="149">
      <c r="A149" s="81"/>
      <c r="B149" s="25" t="s">
        <v>1306</v>
      </c>
      <c r="C149" s="48" t="s">
        <v>1362</v>
      </c>
      <c r="D149" s="94"/>
      <c r="E149" s="94"/>
      <c r="F149" s="88">
        <v>30000.0</v>
      </c>
      <c r="G149" s="88">
        <f t="shared" si="1"/>
        <v>35700</v>
      </c>
      <c r="H149" s="71">
        <v>463.0</v>
      </c>
      <c r="I149" s="118"/>
      <c r="J149" s="187"/>
      <c r="K149" s="26" t="s">
        <v>491</v>
      </c>
      <c r="L149" s="26" t="s">
        <v>492</v>
      </c>
      <c r="M149" s="25" t="s">
        <v>1307</v>
      </c>
      <c r="N149" s="28" t="s">
        <v>1308</v>
      </c>
      <c r="O149" s="28" t="s">
        <v>1648</v>
      </c>
      <c r="P149" s="91">
        <v>5225.0</v>
      </c>
      <c r="Q149" s="30" t="s">
        <v>810</v>
      </c>
      <c r="R149" s="70" t="s">
        <v>1411</v>
      </c>
      <c r="S149" s="66"/>
      <c r="T149" s="66"/>
      <c r="U149" s="66"/>
      <c r="V149" s="28" t="s">
        <v>1309</v>
      </c>
      <c r="W149" s="28" t="s">
        <v>494</v>
      </c>
      <c r="X149" s="48" t="s">
        <v>1621</v>
      </c>
      <c r="Y149" s="66"/>
      <c r="Z149" s="66"/>
      <c r="AA149" s="94"/>
      <c r="AB149" s="94"/>
    </row>
    <row r="150">
      <c r="A150" s="126" t="s">
        <v>1604</v>
      </c>
      <c r="B150" s="94" t="s">
        <v>1310</v>
      </c>
      <c r="C150" s="48" t="s">
        <v>1413</v>
      </c>
      <c r="D150" s="137"/>
      <c r="E150" s="66"/>
      <c r="F150" s="159">
        <v>60500.0</v>
      </c>
      <c r="G150" s="88">
        <f t="shared" si="1"/>
        <v>71995</v>
      </c>
      <c r="H150" s="135" t="s">
        <v>1438</v>
      </c>
      <c r="I150" s="104"/>
      <c r="J150" s="66"/>
      <c r="K150" s="26" t="s">
        <v>1311</v>
      </c>
      <c r="L150" s="28" t="s">
        <v>809</v>
      </c>
      <c r="M150" s="28" t="s">
        <v>1312</v>
      </c>
      <c r="N150" s="28" t="s">
        <v>1313</v>
      </c>
      <c r="O150" s="28" t="s">
        <v>1649</v>
      </c>
      <c r="P150" s="54" t="s">
        <v>1292</v>
      </c>
      <c r="Q150" s="48" t="s">
        <v>811</v>
      </c>
      <c r="R150" s="48" t="s">
        <v>1585</v>
      </c>
      <c r="S150" s="66"/>
      <c r="T150" s="106"/>
      <c r="U150" s="66"/>
      <c r="V150" s="66"/>
      <c r="W150" s="66"/>
      <c r="X150" s="106"/>
      <c r="Y150" s="66"/>
      <c r="Z150" s="66"/>
      <c r="AA150" s="81"/>
      <c r="AB150" s="81"/>
    </row>
    <row r="151">
      <c r="A151" s="126" t="s">
        <v>1604</v>
      </c>
      <c r="B151" s="40" t="s">
        <v>1777</v>
      </c>
      <c r="C151" s="70" t="s">
        <v>1207</v>
      </c>
      <c r="D151" s="178">
        <v>1.0</v>
      </c>
      <c r="E151" s="28">
        <v>0.0</v>
      </c>
      <c r="F151" s="159">
        <v>50000.0</v>
      </c>
      <c r="G151" s="88">
        <v>59500.0</v>
      </c>
      <c r="H151" s="176">
        <v>464.0</v>
      </c>
      <c r="I151" s="104"/>
      <c r="J151" s="28"/>
      <c r="K151" s="26" t="s">
        <v>1778</v>
      </c>
      <c r="L151" s="28" t="s">
        <v>1779</v>
      </c>
      <c r="M151" s="28" t="s">
        <v>1780</v>
      </c>
      <c r="N151" s="28" t="s">
        <v>1781</v>
      </c>
      <c r="O151" s="28" t="s">
        <v>1782</v>
      </c>
      <c r="P151" s="54" t="s">
        <v>1697</v>
      </c>
      <c r="Q151" s="70" t="s">
        <v>880</v>
      </c>
      <c r="R151" s="70" t="s">
        <v>1207</v>
      </c>
      <c r="S151" s="136"/>
      <c r="T151" s="106"/>
      <c r="U151" s="66"/>
      <c r="V151" s="28" t="s">
        <v>1783</v>
      </c>
      <c r="W151" s="28" t="s">
        <v>1784</v>
      </c>
      <c r="X151" s="48" t="s">
        <v>1612</v>
      </c>
      <c r="Y151" s="66"/>
      <c r="Z151" s="66"/>
      <c r="AA151" s="81"/>
      <c r="AB151" s="81"/>
    </row>
    <row r="152">
      <c r="A152" s="126" t="s">
        <v>1604</v>
      </c>
      <c r="B152" s="40" t="s">
        <v>171</v>
      </c>
      <c r="C152" s="48" t="s">
        <v>1413</v>
      </c>
      <c r="D152" s="137"/>
      <c r="E152" s="66"/>
      <c r="F152" s="159">
        <v>60504.0</v>
      </c>
      <c r="G152" s="88">
        <f t="shared" ref="G152:G154" si="2">F152*1.19</f>
        <v>71999.76</v>
      </c>
      <c r="H152" s="176">
        <v>465.0</v>
      </c>
      <c r="I152" s="104"/>
      <c r="J152" s="66"/>
      <c r="K152" s="26" t="s">
        <v>172</v>
      </c>
      <c r="L152" s="28" t="s">
        <v>173</v>
      </c>
      <c r="M152" s="28" t="s">
        <v>1314</v>
      </c>
      <c r="N152" s="28" t="s">
        <v>1315</v>
      </c>
      <c r="O152" s="28" t="s">
        <v>1708</v>
      </c>
      <c r="P152" s="54" t="s">
        <v>1745</v>
      </c>
      <c r="Q152" s="70" t="s">
        <v>810</v>
      </c>
      <c r="R152" s="70" t="s">
        <v>1411</v>
      </c>
      <c r="S152" s="132">
        <v>46059.0</v>
      </c>
      <c r="T152" s="106"/>
      <c r="U152" s="66"/>
      <c r="V152" s="28" t="s">
        <v>1316</v>
      </c>
      <c r="W152" s="28">
        <v>2806.0</v>
      </c>
      <c r="X152" s="48" t="s">
        <v>811</v>
      </c>
      <c r="Y152" s="66"/>
      <c r="Z152" s="66"/>
      <c r="AA152" s="81"/>
      <c r="AB152" s="81"/>
    </row>
    <row r="153">
      <c r="A153" s="81"/>
      <c r="B153" s="25" t="s">
        <v>1650</v>
      </c>
      <c r="C153" s="48" t="s">
        <v>1416</v>
      </c>
      <c r="D153" s="137"/>
      <c r="E153" s="66"/>
      <c r="F153" s="159">
        <v>10000.0</v>
      </c>
      <c r="G153" s="88">
        <f t="shared" si="2"/>
        <v>11900</v>
      </c>
      <c r="H153" s="96">
        <v>466.0</v>
      </c>
      <c r="I153" s="137"/>
      <c r="J153" s="66"/>
      <c r="K153" s="94" t="s">
        <v>1651</v>
      </c>
      <c r="L153" s="28" t="s">
        <v>1652</v>
      </c>
      <c r="M153" s="28" t="s">
        <v>1653</v>
      </c>
      <c r="N153" s="66"/>
      <c r="O153" s="28" t="s">
        <v>1654</v>
      </c>
      <c r="P153" s="54" t="s">
        <v>1745</v>
      </c>
      <c r="Q153" s="70" t="s">
        <v>810</v>
      </c>
      <c r="R153" s="70" t="s">
        <v>1411</v>
      </c>
      <c r="S153" s="66"/>
      <c r="T153" s="106"/>
      <c r="U153" s="66"/>
      <c r="V153" s="28" t="s">
        <v>1655</v>
      </c>
      <c r="W153" s="66"/>
      <c r="X153" s="48" t="s">
        <v>811</v>
      </c>
      <c r="Y153" s="66"/>
      <c r="Z153" s="66"/>
      <c r="AA153" s="81"/>
      <c r="AB153" s="81"/>
    </row>
    <row r="154">
      <c r="A154" s="81"/>
      <c r="B154" s="25" t="s">
        <v>1656</v>
      </c>
      <c r="C154" s="48" t="s">
        <v>1416</v>
      </c>
      <c r="D154" s="137"/>
      <c r="E154" s="66"/>
      <c r="F154" s="159">
        <v>10000.0</v>
      </c>
      <c r="G154" s="88">
        <f t="shared" si="2"/>
        <v>11900</v>
      </c>
      <c r="H154" s="96">
        <v>468.0</v>
      </c>
      <c r="I154" s="137"/>
      <c r="J154" s="66"/>
      <c r="K154" s="26" t="s">
        <v>1657</v>
      </c>
      <c r="L154" s="28" t="s">
        <v>1658</v>
      </c>
      <c r="M154" s="28" t="s">
        <v>1659</v>
      </c>
      <c r="N154" s="66"/>
      <c r="O154" s="28" t="s">
        <v>1654</v>
      </c>
      <c r="P154" s="54">
        <v>1579260.0</v>
      </c>
      <c r="Q154" s="30" t="s">
        <v>1672</v>
      </c>
      <c r="R154" s="70" t="s">
        <v>1411</v>
      </c>
      <c r="S154" s="128">
        <v>46056.0</v>
      </c>
      <c r="T154" s="106"/>
      <c r="U154" s="66"/>
      <c r="V154" s="28" t="s">
        <v>1656</v>
      </c>
      <c r="W154" s="66"/>
      <c r="X154" s="48" t="s">
        <v>811</v>
      </c>
      <c r="Y154" s="66"/>
      <c r="Z154" s="66"/>
      <c r="AA154" s="81"/>
      <c r="AB154" s="81"/>
    </row>
    <row r="155">
      <c r="A155" s="81"/>
      <c r="B155" s="95" t="s">
        <v>1317</v>
      </c>
      <c r="C155" s="105" t="s">
        <v>1380</v>
      </c>
      <c r="D155" s="137"/>
      <c r="E155" s="66"/>
      <c r="F155" s="95">
        <v>0.0</v>
      </c>
      <c r="G155" s="188">
        <v>0.0</v>
      </c>
      <c r="H155" s="188" t="s">
        <v>1438</v>
      </c>
      <c r="I155" s="137"/>
      <c r="J155" s="66"/>
      <c r="K155" s="96" t="s">
        <v>1318</v>
      </c>
      <c r="L155" s="96" t="s">
        <v>1319</v>
      </c>
      <c r="M155" s="53" t="s">
        <v>1320</v>
      </c>
      <c r="N155" s="66"/>
      <c r="O155" s="71" t="s">
        <v>1660</v>
      </c>
      <c r="P155" s="97" t="s">
        <v>1785</v>
      </c>
      <c r="Q155" s="105" t="s">
        <v>810</v>
      </c>
      <c r="R155" s="105" t="s">
        <v>1380</v>
      </c>
      <c r="S155" s="66"/>
      <c r="T155" s="106"/>
      <c r="U155" s="66"/>
      <c r="V155" s="66"/>
      <c r="W155" s="66"/>
      <c r="X155" s="106"/>
      <c r="Y155" s="66"/>
      <c r="Z155" s="66"/>
      <c r="AA155" s="81"/>
      <c r="AB155" s="81"/>
    </row>
    <row r="156">
      <c r="A156" s="81"/>
      <c r="B156" s="71" t="s">
        <v>1321</v>
      </c>
      <c r="C156" s="105" t="s">
        <v>1362</v>
      </c>
      <c r="F156" s="96">
        <v>30000.0</v>
      </c>
      <c r="G156" s="95">
        <v>35700.0</v>
      </c>
      <c r="H156" s="188" t="s">
        <v>1438</v>
      </c>
      <c r="I156" s="137"/>
      <c r="J156" s="66"/>
      <c r="K156" s="71" t="s">
        <v>674</v>
      </c>
      <c r="L156" s="71" t="s">
        <v>675</v>
      </c>
      <c r="M156" s="71" t="s">
        <v>1322</v>
      </c>
      <c r="N156" s="71" t="s">
        <v>1323</v>
      </c>
      <c r="O156" s="97" t="s">
        <v>1661</v>
      </c>
      <c r="P156" s="54">
        <v>289463.0</v>
      </c>
      <c r="Q156" s="231" t="s">
        <v>1672</v>
      </c>
      <c r="R156" s="105" t="s">
        <v>1411</v>
      </c>
      <c r="S156" s="189">
        <v>46076.0</v>
      </c>
      <c r="T156" s="106"/>
      <c r="U156" s="71"/>
      <c r="V156" s="71" t="s">
        <v>1324</v>
      </c>
      <c r="X156" s="105"/>
      <c r="Y156" s="66"/>
      <c r="Z156" s="66"/>
      <c r="AA156" s="81"/>
      <c r="AB156" s="81"/>
    </row>
    <row r="157">
      <c r="A157" s="81"/>
      <c r="B157" s="66"/>
      <c r="C157" s="106"/>
      <c r="D157" s="137"/>
      <c r="E157" s="66"/>
      <c r="F157" s="147"/>
      <c r="G157" s="137"/>
      <c r="H157" s="137"/>
      <c r="I157" s="137"/>
      <c r="J157" s="66"/>
      <c r="K157" s="107"/>
      <c r="L157" s="66"/>
      <c r="M157" s="66"/>
      <c r="N157" s="66"/>
      <c r="O157" s="172"/>
      <c r="P157" s="104"/>
      <c r="Q157" s="106"/>
      <c r="R157" s="106"/>
      <c r="S157" s="66"/>
      <c r="T157" s="106"/>
      <c r="U157" s="66"/>
      <c r="V157" s="66"/>
      <c r="W157" s="66"/>
      <c r="X157" s="106"/>
      <c r="Y157" s="66"/>
      <c r="Z157" s="66"/>
      <c r="AA157" s="81"/>
      <c r="AB157" s="81"/>
    </row>
    <row r="158">
      <c r="A158" s="81"/>
      <c r="B158" s="66"/>
      <c r="C158" s="106"/>
      <c r="D158" s="137"/>
      <c r="E158" s="66"/>
      <c r="F158" s="147"/>
      <c r="G158" s="137"/>
      <c r="H158" s="137"/>
      <c r="I158" s="137"/>
      <c r="J158" s="66"/>
      <c r="K158" s="107"/>
      <c r="L158" s="66"/>
      <c r="M158" s="66"/>
      <c r="N158" s="66"/>
      <c r="O158" s="172"/>
      <c r="P158" s="104"/>
      <c r="Q158" s="106"/>
      <c r="R158" s="106"/>
      <c r="S158" s="66"/>
      <c r="T158" s="106"/>
      <c r="U158" s="66"/>
      <c r="V158" s="66"/>
      <c r="W158" s="66"/>
      <c r="X158" s="106"/>
      <c r="Y158" s="66"/>
      <c r="Z158" s="66"/>
      <c r="AA158" s="81"/>
      <c r="AB158" s="81"/>
    </row>
    <row r="159">
      <c r="A159" s="81"/>
      <c r="B159" s="66"/>
      <c r="C159" s="106"/>
      <c r="D159" s="137"/>
      <c r="E159" s="66"/>
      <c r="F159" s="147"/>
      <c r="G159" s="137"/>
      <c r="H159" s="137"/>
      <c r="I159" s="137"/>
      <c r="J159" s="66"/>
      <c r="K159" s="107"/>
      <c r="L159" s="66"/>
      <c r="M159" s="66"/>
      <c r="N159" s="66"/>
      <c r="O159" s="172"/>
      <c r="P159" s="104"/>
      <c r="Q159" s="106"/>
      <c r="R159" s="106"/>
      <c r="S159" s="66"/>
      <c r="T159" s="106"/>
      <c r="U159" s="66"/>
      <c r="V159" s="66"/>
      <c r="W159" s="66"/>
      <c r="X159" s="106"/>
      <c r="Y159" s="66"/>
      <c r="Z159" s="66"/>
      <c r="AA159" s="81"/>
      <c r="AB159" s="81"/>
    </row>
    <row r="160">
      <c r="A160" s="81"/>
      <c r="B160" s="66"/>
      <c r="C160" s="106"/>
      <c r="D160" s="137"/>
      <c r="E160" s="66"/>
      <c r="F160" s="147"/>
      <c r="G160" s="137"/>
      <c r="H160" s="137"/>
      <c r="I160" s="137"/>
      <c r="J160" s="66"/>
      <c r="K160" s="107"/>
      <c r="L160" s="66"/>
      <c r="M160" s="66"/>
      <c r="N160" s="66"/>
      <c r="O160" s="172"/>
      <c r="P160" s="104"/>
      <c r="Q160" s="106"/>
      <c r="R160" s="106"/>
      <c r="S160" s="66"/>
      <c r="T160" s="106"/>
      <c r="U160" s="66"/>
      <c r="V160" s="66"/>
      <c r="W160" s="66"/>
      <c r="X160" s="106"/>
      <c r="Y160" s="66"/>
      <c r="Z160" s="66"/>
      <c r="AA160" s="81"/>
      <c r="AB160" s="81"/>
    </row>
    <row r="161">
      <c r="A161" s="81"/>
      <c r="B161" s="66"/>
      <c r="C161" s="106"/>
      <c r="D161" s="137"/>
      <c r="E161" s="66"/>
      <c r="F161" s="147"/>
      <c r="G161" s="137"/>
      <c r="H161" s="137"/>
      <c r="I161" s="137"/>
      <c r="J161" s="66"/>
      <c r="K161" s="107"/>
      <c r="L161" s="66"/>
      <c r="M161" s="66"/>
      <c r="N161" s="66"/>
      <c r="O161" s="172"/>
      <c r="P161" s="104"/>
      <c r="Q161" s="106"/>
      <c r="R161" s="106"/>
      <c r="S161" s="66"/>
      <c r="T161" s="106"/>
      <c r="U161" s="66"/>
      <c r="V161" s="66"/>
      <c r="W161" s="66"/>
      <c r="X161" s="106"/>
      <c r="Y161" s="66"/>
      <c r="Z161" s="66"/>
      <c r="AA161" s="81"/>
      <c r="AB161" s="81"/>
    </row>
    <row r="162">
      <c r="A162" s="81"/>
      <c r="B162" s="66"/>
      <c r="C162" s="106"/>
      <c r="D162" s="137"/>
      <c r="E162" s="66"/>
      <c r="F162" s="147"/>
      <c r="G162" s="137"/>
      <c r="H162" s="137"/>
      <c r="I162" s="137"/>
      <c r="J162" s="66"/>
      <c r="K162" s="107"/>
      <c r="L162" s="66"/>
      <c r="M162" s="66"/>
      <c r="N162" s="66"/>
      <c r="O162" s="172"/>
      <c r="P162" s="104"/>
      <c r="Q162" s="106"/>
      <c r="R162" s="106"/>
      <c r="S162" s="66"/>
      <c r="T162" s="106"/>
      <c r="U162" s="66"/>
      <c r="V162" s="66"/>
      <c r="W162" s="66"/>
      <c r="X162" s="106"/>
      <c r="Y162" s="66"/>
      <c r="Z162" s="66"/>
      <c r="AA162" s="81"/>
      <c r="AB162" s="81"/>
    </row>
    <row r="163">
      <c r="A163" s="81"/>
      <c r="B163" s="66"/>
      <c r="C163" s="106"/>
      <c r="D163" s="137"/>
      <c r="E163" s="66"/>
      <c r="F163" s="147"/>
      <c r="G163" s="137"/>
      <c r="H163" s="137"/>
      <c r="I163" s="137"/>
      <c r="J163" s="66"/>
      <c r="K163" s="107"/>
      <c r="L163" s="66"/>
      <c r="M163" s="66"/>
      <c r="N163" s="66"/>
      <c r="O163" s="172"/>
      <c r="P163" s="104"/>
      <c r="Q163" s="106"/>
      <c r="R163" s="106"/>
      <c r="S163" s="66"/>
      <c r="T163" s="106"/>
      <c r="U163" s="66"/>
      <c r="V163" s="66"/>
      <c r="W163" s="66"/>
      <c r="X163" s="106"/>
      <c r="Y163" s="66"/>
      <c r="Z163" s="66"/>
      <c r="AA163" s="81"/>
      <c r="AB163" s="81"/>
    </row>
    <row r="164">
      <c r="A164" s="81"/>
      <c r="B164" s="66"/>
      <c r="C164" s="106"/>
      <c r="D164" s="137"/>
      <c r="E164" s="66"/>
      <c r="F164" s="147"/>
      <c r="G164" s="137"/>
      <c r="H164" s="137"/>
      <c r="I164" s="137"/>
      <c r="J164" s="66"/>
      <c r="K164" s="107"/>
      <c r="L164" s="66"/>
      <c r="M164" s="66"/>
      <c r="N164" s="66"/>
      <c r="O164" s="172"/>
      <c r="P164" s="104"/>
      <c r="Q164" s="106"/>
      <c r="R164" s="106"/>
      <c r="S164" s="66"/>
      <c r="T164" s="106"/>
      <c r="U164" s="66"/>
      <c r="V164" s="66"/>
      <c r="W164" s="66"/>
      <c r="X164" s="106"/>
      <c r="Y164" s="66"/>
      <c r="Z164" s="66"/>
      <c r="AA164" s="81"/>
      <c r="AB164" s="81"/>
    </row>
    <row r="165">
      <c r="A165" s="81"/>
      <c r="B165" s="66"/>
      <c r="C165" s="106"/>
      <c r="D165" s="137"/>
      <c r="E165" s="66"/>
      <c r="F165" s="147"/>
      <c r="G165" s="137"/>
      <c r="H165" s="137"/>
      <c r="I165" s="137"/>
      <c r="J165" s="66"/>
      <c r="K165" s="107"/>
      <c r="L165" s="66"/>
      <c r="M165" s="66"/>
      <c r="N165" s="66"/>
      <c r="O165" s="172"/>
      <c r="P165" s="104"/>
      <c r="Q165" s="106"/>
      <c r="R165" s="106"/>
      <c r="S165" s="66"/>
      <c r="T165" s="106"/>
      <c r="U165" s="66"/>
      <c r="V165" s="66"/>
      <c r="W165" s="66"/>
      <c r="X165" s="106"/>
      <c r="Y165" s="66"/>
      <c r="Z165" s="66"/>
      <c r="AA165" s="81"/>
      <c r="AB165" s="81"/>
    </row>
    <row r="166">
      <c r="A166" s="81"/>
      <c r="B166" s="66"/>
      <c r="C166" s="106"/>
      <c r="D166" s="137"/>
      <c r="E166" s="66"/>
      <c r="F166" s="147"/>
      <c r="G166" s="137"/>
      <c r="H166" s="137"/>
      <c r="I166" s="137"/>
      <c r="J166" s="66"/>
      <c r="K166" s="107"/>
      <c r="L166" s="66"/>
      <c r="M166" s="66"/>
      <c r="N166" s="66"/>
      <c r="O166" s="172"/>
      <c r="P166" s="104"/>
      <c r="Q166" s="106"/>
      <c r="R166" s="106"/>
      <c r="S166" s="66"/>
      <c r="T166" s="106"/>
      <c r="U166" s="66"/>
      <c r="V166" s="66"/>
      <c r="W166" s="66"/>
      <c r="X166" s="106"/>
      <c r="Y166" s="66"/>
      <c r="Z166" s="66"/>
      <c r="AA166" s="81"/>
      <c r="AB166" s="81"/>
    </row>
    <row r="167">
      <c r="A167" s="81"/>
      <c r="B167" s="66"/>
      <c r="C167" s="106"/>
      <c r="D167" s="137"/>
      <c r="E167" s="66"/>
      <c r="F167" s="147"/>
      <c r="G167" s="137"/>
      <c r="H167" s="137"/>
      <c r="I167" s="137"/>
      <c r="J167" s="66"/>
      <c r="K167" s="107"/>
      <c r="L167" s="66"/>
      <c r="M167" s="66"/>
      <c r="N167" s="66"/>
      <c r="O167" s="172"/>
      <c r="P167" s="104"/>
      <c r="Q167" s="106"/>
      <c r="R167" s="106"/>
      <c r="S167" s="66"/>
      <c r="T167" s="106"/>
      <c r="U167" s="66"/>
      <c r="V167" s="66"/>
      <c r="W167" s="66"/>
      <c r="X167" s="106"/>
      <c r="Y167" s="66"/>
      <c r="Z167" s="66"/>
      <c r="AA167" s="81"/>
      <c r="AB167" s="81"/>
    </row>
    <row r="168">
      <c r="A168" s="81"/>
      <c r="B168" s="66"/>
      <c r="C168" s="106"/>
      <c r="D168" s="137"/>
      <c r="E168" s="66"/>
      <c r="F168" s="147"/>
      <c r="G168" s="137"/>
      <c r="H168" s="137"/>
      <c r="I168" s="137"/>
      <c r="J168" s="66"/>
      <c r="K168" s="107"/>
      <c r="L168" s="66"/>
      <c r="M168" s="66"/>
      <c r="N168" s="66"/>
      <c r="O168" s="172"/>
      <c r="P168" s="104"/>
      <c r="Q168" s="106"/>
      <c r="R168" s="106"/>
      <c r="S168" s="66"/>
      <c r="T168" s="106"/>
      <c r="U168" s="66"/>
      <c r="V168" s="66"/>
      <c r="W168" s="66"/>
      <c r="X168" s="106"/>
      <c r="Y168" s="66"/>
      <c r="Z168" s="66"/>
      <c r="AA168" s="81"/>
      <c r="AB168" s="81"/>
    </row>
    <row r="169">
      <c r="A169" s="81"/>
      <c r="B169" s="66"/>
      <c r="C169" s="106"/>
      <c r="D169" s="137"/>
      <c r="E169" s="66"/>
      <c r="F169" s="147"/>
      <c r="G169" s="137"/>
      <c r="H169" s="137"/>
      <c r="I169" s="137"/>
      <c r="J169" s="66"/>
      <c r="K169" s="107"/>
      <c r="L169" s="66"/>
      <c r="M169" s="66"/>
      <c r="N169" s="66"/>
      <c r="O169" s="172"/>
      <c r="P169" s="104"/>
      <c r="Q169" s="106"/>
      <c r="R169" s="106"/>
      <c r="S169" s="66"/>
      <c r="T169" s="106"/>
      <c r="U169" s="66"/>
      <c r="V169" s="66"/>
      <c r="W169" s="66"/>
      <c r="X169" s="106"/>
      <c r="Y169" s="66"/>
      <c r="Z169" s="66"/>
      <c r="AA169" s="81"/>
      <c r="AB169" s="81"/>
    </row>
    <row r="170">
      <c r="A170" s="81"/>
      <c r="B170" s="66"/>
      <c r="C170" s="106"/>
      <c r="D170" s="137"/>
      <c r="E170" s="66"/>
      <c r="F170" s="147"/>
      <c r="G170" s="137"/>
      <c r="H170" s="137"/>
      <c r="I170" s="137"/>
      <c r="J170" s="66"/>
      <c r="K170" s="107"/>
      <c r="L170" s="66"/>
      <c r="M170" s="66"/>
      <c r="N170" s="66"/>
      <c r="O170" s="172"/>
      <c r="P170" s="104"/>
      <c r="Q170" s="106"/>
      <c r="R170" s="106"/>
      <c r="S170" s="66"/>
      <c r="T170" s="106"/>
      <c r="U170" s="66"/>
      <c r="V170" s="66"/>
      <c r="W170" s="66"/>
      <c r="X170" s="106"/>
      <c r="Y170" s="66"/>
      <c r="Z170" s="66"/>
      <c r="AA170" s="81"/>
      <c r="AB170" s="81"/>
    </row>
    <row r="171">
      <c r="A171" s="81"/>
      <c r="B171" s="66"/>
      <c r="C171" s="106"/>
      <c r="D171" s="137"/>
      <c r="E171" s="66"/>
      <c r="F171" s="147"/>
      <c r="G171" s="137"/>
      <c r="H171" s="137"/>
      <c r="I171" s="137"/>
      <c r="J171" s="66"/>
      <c r="K171" s="107"/>
      <c r="L171" s="66"/>
      <c r="M171" s="66"/>
      <c r="N171" s="66"/>
      <c r="O171" s="172"/>
      <c r="P171" s="104"/>
      <c r="Q171" s="106"/>
      <c r="R171" s="106"/>
      <c r="S171" s="66"/>
      <c r="T171" s="106"/>
      <c r="U171" s="66"/>
      <c r="V171" s="66"/>
      <c r="W171" s="66"/>
      <c r="X171" s="106"/>
      <c r="Y171" s="66"/>
      <c r="Z171" s="66"/>
      <c r="AA171" s="81"/>
      <c r="AB171" s="81"/>
    </row>
    <row r="172">
      <c r="A172" s="81"/>
      <c r="B172" s="66"/>
      <c r="C172" s="106"/>
      <c r="D172" s="137"/>
      <c r="E172" s="66"/>
      <c r="F172" s="147"/>
      <c r="G172" s="137"/>
      <c r="H172" s="137"/>
      <c r="I172" s="137"/>
      <c r="J172" s="66"/>
      <c r="K172" s="107"/>
      <c r="L172" s="66"/>
      <c r="M172" s="66"/>
      <c r="N172" s="66"/>
      <c r="O172" s="172"/>
      <c r="P172" s="104"/>
      <c r="Q172" s="106"/>
      <c r="R172" s="106"/>
      <c r="S172" s="66"/>
      <c r="T172" s="106"/>
      <c r="U172" s="66"/>
      <c r="V172" s="66"/>
      <c r="W172" s="66"/>
      <c r="X172" s="106"/>
      <c r="Y172" s="66"/>
      <c r="Z172" s="66"/>
      <c r="AA172" s="81"/>
      <c r="AB172" s="81"/>
    </row>
    <row r="173">
      <c r="A173" s="81"/>
      <c r="B173" s="66"/>
      <c r="C173" s="106"/>
      <c r="D173" s="137"/>
      <c r="E173" s="66"/>
      <c r="F173" s="147"/>
      <c r="G173" s="137"/>
      <c r="H173" s="137"/>
      <c r="I173" s="137"/>
      <c r="J173" s="66"/>
      <c r="K173" s="107"/>
      <c r="L173" s="66"/>
      <c r="M173" s="66"/>
      <c r="N173" s="66"/>
      <c r="O173" s="172"/>
      <c r="P173" s="104"/>
      <c r="Q173" s="106"/>
      <c r="R173" s="106"/>
      <c r="S173" s="66"/>
      <c r="T173" s="106"/>
      <c r="U173" s="66"/>
      <c r="V173" s="66"/>
      <c r="W173" s="66"/>
      <c r="X173" s="106"/>
      <c r="Y173" s="66"/>
      <c r="Z173" s="66"/>
      <c r="AA173" s="81"/>
      <c r="AB173" s="81"/>
    </row>
    <row r="174">
      <c r="A174" s="81"/>
      <c r="B174" s="66"/>
      <c r="C174" s="106"/>
      <c r="D174" s="137"/>
      <c r="E174" s="66"/>
      <c r="F174" s="147"/>
      <c r="G174" s="137"/>
      <c r="H174" s="137"/>
      <c r="I174" s="137"/>
      <c r="J174" s="66"/>
      <c r="K174" s="107"/>
      <c r="L174" s="66"/>
      <c r="M174" s="66"/>
      <c r="N174" s="66"/>
      <c r="O174" s="172"/>
      <c r="P174" s="104"/>
      <c r="Q174" s="106"/>
      <c r="R174" s="106"/>
      <c r="S174" s="66"/>
      <c r="T174" s="106"/>
      <c r="U174" s="66"/>
      <c r="V174" s="66"/>
      <c r="W174" s="66"/>
      <c r="X174" s="106"/>
      <c r="Y174" s="66"/>
      <c r="Z174" s="66"/>
      <c r="AA174" s="81"/>
      <c r="AB174" s="81"/>
    </row>
    <row r="175">
      <c r="A175" s="81"/>
      <c r="B175" s="66"/>
      <c r="C175" s="106"/>
      <c r="D175" s="137"/>
      <c r="E175" s="66"/>
      <c r="F175" s="147"/>
      <c r="G175" s="137"/>
      <c r="H175" s="137"/>
      <c r="I175" s="137"/>
      <c r="J175" s="66"/>
      <c r="K175" s="107"/>
      <c r="L175" s="66"/>
      <c r="M175" s="66"/>
      <c r="N175" s="66"/>
      <c r="O175" s="172"/>
      <c r="P175" s="104"/>
      <c r="Q175" s="106"/>
      <c r="R175" s="106"/>
      <c r="S175" s="66"/>
      <c r="T175" s="106"/>
      <c r="U175" s="66"/>
      <c r="V175" s="66"/>
      <c r="W175" s="66"/>
      <c r="X175" s="106"/>
      <c r="Y175" s="66"/>
      <c r="Z175" s="66"/>
      <c r="AA175" s="81"/>
      <c r="AB175" s="81"/>
    </row>
    <row r="176">
      <c r="A176" s="81"/>
      <c r="B176" s="66"/>
      <c r="C176" s="106"/>
      <c r="D176" s="137"/>
      <c r="E176" s="66"/>
      <c r="F176" s="147"/>
      <c r="G176" s="137"/>
      <c r="H176" s="137"/>
      <c r="I176" s="137"/>
      <c r="J176" s="66"/>
      <c r="K176" s="107"/>
      <c r="L176" s="66"/>
      <c r="M176" s="66"/>
      <c r="N176" s="66"/>
      <c r="O176" s="172"/>
      <c r="P176" s="104"/>
      <c r="Q176" s="106"/>
      <c r="R176" s="106"/>
      <c r="S176" s="66"/>
      <c r="T176" s="106"/>
      <c r="U176" s="66"/>
      <c r="V176" s="66"/>
      <c r="W176" s="66"/>
      <c r="X176" s="106"/>
      <c r="Y176" s="66"/>
      <c r="Z176" s="66"/>
      <c r="AA176" s="81"/>
      <c r="AB176" s="81"/>
    </row>
    <row r="177">
      <c r="A177" s="81"/>
      <c r="B177" s="66"/>
      <c r="C177" s="106"/>
      <c r="D177" s="137"/>
      <c r="E177" s="66"/>
      <c r="F177" s="147"/>
      <c r="G177" s="137"/>
      <c r="H177" s="137"/>
      <c r="I177" s="137"/>
      <c r="J177" s="66"/>
      <c r="K177" s="107"/>
      <c r="L177" s="66"/>
      <c r="M177" s="66"/>
      <c r="N177" s="66"/>
      <c r="O177" s="172"/>
      <c r="P177" s="104"/>
      <c r="Q177" s="106"/>
      <c r="R177" s="106"/>
      <c r="S177" s="66"/>
      <c r="T177" s="106"/>
      <c r="U177" s="66"/>
      <c r="V177" s="66"/>
      <c r="W177" s="66"/>
      <c r="X177" s="106"/>
      <c r="Y177" s="66"/>
      <c r="Z177" s="66"/>
      <c r="AA177" s="81"/>
      <c r="AB177" s="81"/>
    </row>
    <row r="178">
      <c r="A178" s="81"/>
      <c r="B178" s="66"/>
      <c r="C178" s="106"/>
      <c r="D178" s="137"/>
      <c r="E178" s="66"/>
      <c r="F178" s="147"/>
      <c r="G178" s="137"/>
      <c r="H178" s="137"/>
      <c r="I178" s="137"/>
      <c r="J178" s="66"/>
      <c r="K178" s="107"/>
      <c r="L178" s="66"/>
      <c r="M178" s="66"/>
      <c r="N178" s="66"/>
      <c r="O178" s="172"/>
      <c r="P178" s="104"/>
      <c r="Q178" s="106"/>
      <c r="R178" s="106"/>
      <c r="S178" s="66"/>
      <c r="T178" s="106"/>
      <c r="U178" s="66"/>
      <c r="V178" s="66"/>
      <c r="W178" s="66"/>
      <c r="X178" s="106"/>
      <c r="Y178" s="66"/>
      <c r="Z178" s="66"/>
      <c r="AA178" s="81"/>
      <c r="AB178" s="81"/>
    </row>
    <row r="179">
      <c r="A179" s="81"/>
      <c r="B179" s="66"/>
      <c r="C179" s="106"/>
      <c r="D179" s="137"/>
      <c r="E179" s="66"/>
      <c r="F179" s="147"/>
      <c r="G179" s="137"/>
      <c r="H179" s="137"/>
      <c r="I179" s="137"/>
      <c r="J179" s="66"/>
      <c r="K179" s="107"/>
      <c r="L179" s="66"/>
      <c r="M179" s="66"/>
      <c r="N179" s="66"/>
      <c r="O179" s="172"/>
      <c r="P179" s="104"/>
      <c r="Q179" s="106"/>
      <c r="R179" s="106"/>
      <c r="S179" s="66"/>
      <c r="T179" s="106"/>
      <c r="U179" s="66"/>
      <c r="V179" s="66"/>
      <c r="W179" s="66"/>
      <c r="X179" s="106"/>
      <c r="Y179" s="66"/>
      <c r="Z179" s="66"/>
      <c r="AA179" s="81"/>
      <c r="AB179" s="81"/>
    </row>
    <row r="180">
      <c r="A180" s="81"/>
      <c r="B180" s="66"/>
      <c r="C180" s="106"/>
      <c r="D180" s="137"/>
      <c r="E180" s="66"/>
      <c r="F180" s="147"/>
      <c r="G180" s="137"/>
      <c r="H180" s="137"/>
      <c r="I180" s="137"/>
      <c r="J180" s="66"/>
      <c r="K180" s="107"/>
      <c r="L180" s="66"/>
      <c r="M180" s="66"/>
      <c r="N180" s="66"/>
      <c r="O180" s="172"/>
      <c r="P180" s="104"/>
      <c r="Q180" s="106"/>
      <c r="R180" s="106"/>
      <c r="S180" s="66"/>
      <c r="T180" s="106"/>
      <c r="U180" s="66"/>
      <c r="V180" s="66"/>
      <c r="W180" s="66"/>
      <c r="X180" s="106"/>
      <c r="Y180" s="66"/>
      <c r="Z180" s="66"/>
      <c r="AA180" s="81"/>
      <c r="AB180" s="81"/>
    </row>
    <row r="181">
      <c r="A181" s="81"/>
      <c r="B181" s="66"/>
      <c r="C181" s="106"/>
      <c r="D181" s="137"/>
      <c r="E181" s="66"/>
      <c r="F181" s="147"/>
      <c r="G181" s="137"/>
      <c r="H181" s="137"/>
      <c r="I181" s="137"/>
      <c r="J181" s="66"/>
      <c r="K181" s="107"/>
      <c r="L181" s="66"/>
      <c r="M181" s="66"/>
      <c r="N181" s="66"/>
      <c r="O181" s="172"/>
      <c r="P181" s="104"/>
      <c r="Q181" s="106"/>
      <c r="R181" s="106"/>
      <c r="S181" s="66"/>
      <c r="T181" s="106"/>
      <c r="U181" s="66"/>
      <c r="V181" s="66"/>
      <c r="W181" s="66"/>
      <c r="X181" s="106"/>
      <c r="Y181" s="66"/>
      <c r="Z181" s="66"/>
      <c r="AA181" s="81"/>
      <c r="AB181" s="81"/>
    </row>
    <row r="182">
      <c r="A182" s="81"/>
      <c r="B182" s="66"/>
      <c r="C182" s="106"/>
      <c r="D182" s="137"/>
      <c r="E182" s="66"/>
      <c r="F182" s="147"/>
      <c r="G182" s="137"/>
      <c r="H182" s="137"/>
      <c r="I182" s="137"/>
      <c r="J182" s="66"/>
      <c r="K182" s="107"/>
      <c r="L182" s="66"/>
      <c r="M182" s="66"/>
      <c r="N182" s="66"/>
      <c r="O182" s="172"/>
      <c r="P182" s="104"/>
      <c r="Q182" s="106"/>
      <c r="R182" s="106"/>
      <c r="S182" s="66"/>
      <c r="T182" s="106"/>
      <c r="U182" s="66"/>
      <c r="V182" s="66"/>
      <c r="W182" s="66"/>
      <c r="X182" s="106"/>
      <c r="Y182" s="66"/>
      <c r="Z182" s="66"/>
      <c r="AA182" s="81"/>
      <c r="AB182" s="81"/>
    </row>
    <row r="183">
      <c r="A183" s="81"/>
      <c r="B183" s="66"/>
      <c r="C183" s="106"/>
      <c r="D183" s="137"/>
      <c r="E183" s="66"/>
      <c r="F183" s="147"/>
      <c r="G183" s="137"/>
      <c r="H183" s="137"/>
      <c r="I183" s="137"/>
      <c r="J183" s="66"/>
      <c r="K183" s="107"/>
      <c r="L183" s="66"/>
      <c r="M183" s="66"/>
      <c r="N183" s="66"/>
      <c r="O183" s="172"/>
      <c r="P183" s="104"/>
      <c r="Q183" s="106"/>
      <c r="R183" s="106"/>
      <c r="S183" s="66"/>
      <c r="T183" s="106"/>
      <c r="U183" s="66"/>
      <c r="V183" s="66"/>
      <c r="W183" s="66"/>
      <c r="X183" s="106"/>
      <c r="Y183" s="66"/>
      <c r="Z183" s="66"/>
      <c r="AA183" s="81"/>
      <c r="AB183" s="81"/>
    </row>
    <row r="184">
      <c r="A184" s="81"/>
      <c r="B184" s="66"/>
      <c r="C184" s="106"/>
      <c r="D184" s="137"/>
      <c r="E184" s="66"/>
      <c r="F184" s="147"/>
      <c r="G184" s="137"/>
      <c r="H184" s="137"/>
      <c r="I184" s="137"/>
      <c r="J184" s="66"/>
      <c r="K184" s="107"/>
      <c r="L184" s="66"/>
      <c r="M184" s="66"/>
      <c r="N184" s="66"/>
      <c r="O184" s="172"/>
      <c r="P184" s="104"/>
      <c r="Q184" s="106"/>
      <c r="R184" s="106"/>
      <c r="S184" s="66"/>
      <c r="T184" s="106"/>
      <c r="U184" s="66"/>
      <c r="V184" s="66"/>
      <c r="W184" s="66"/>
      <c r="X184" s="106"/>
      <c r="Y184" s="66"/>
      <c r="Z184" s="66"/>
      <c r="AA184" s="81"/>
      <c r="AB184" s="81"/>
    </row>
    <row r="185">
      <c r="A185" s="81"/>
      <c r="B185" s="66"/>
      <c r="C185" s="106"/>
      <c r="D185" s="137"/>
      <c r="E185" s="66"/>
      <c r="F185" s="147"/>
      <c r="G185" s="137"/>
      <c r="H185" s="137"/>
      <c r="I185" s="137"/>
      <c r="J185" s="66"/>
      <c r="K185" s="107"/>
      <c r="L185" s="66"/>
      <c r="M185" s="66"/>
      <c r="N185" s="66"/>
      <c r="O185" s="172"/>
      <c r="P185" s="104"/>
      <c r="Q185" s="106"/>
      <c r="R185" s="106"/>
      <c r="S185" s="66"/>
      <c r="T185" s="106"/>
      <c r="U185" s="66"/>
      <c r="V185" s="66"/>
      <c r="W185" s="66"/>
      <c r="X185" s="106"/>
      <c r="Y185" s="66"/>
      <c r="Z185" s="66"/>
      <c r="AA185" s="81"/>
      <c r="AB185" s="81"/>
    </row>
    <row r="186">
      <c r="A186" s="81"/>
      <c r="B186" s="66"/>
      <c r="C186" s="106"/>
      <c r="D186" s="137"/>
      <c r="E186" s="66"/>
      <c r="F186" s="147"/>
      <c r="G186" s="137"/>
      <c r="H186" s="137"/>
      <c r="I186" s="137"/>
      <c r="J186" s="66"/>
      <c r="K186" s="107"/>
      <c r="L186" s="66"/>
      <c r="M186" s="66"/>
      <c r="N186" s="66"/>
      <c r="O186" s="172"/>
      <c r="P186" s="104"/>
      <c r="Q186" s="106"/>
      <c r="R186" s="106"/>
      <c r="S186" s="66"/>
      <c r="T186" s="106"/>
      <c r="U186" s="66"/>
      <c r="V186" s="66"/>
      <c r="W186" s="66"/>
      <c r="X186" s="106"/>
      <c r="Y186" s="66"/>
      <c r="Z186" s="66"/>
      <c r="AA186" s="81"/>
      <c r="AB186" s="81"/>
    </row>
    <row r="187">
      <c r="A187" s="81"/>
      <c r="B187" s="66"/>
      <c r="C187" s="106"/>
      <c r="D187" s="137"/>
      <c r="E187" s="66"/>
      <c r="F187" s="147"/>
      <c r="G187" s="137"/>
      <c r="H187" s="137"/>
      <c r="I187" s="137"/>
      <c r="J187" s="66"/>
      <c r="K187" s="107"/>
      <c r="L187" s="66"/>
      <c r="M187" s="66"/>
      <c r="N187" s="66"/>
      <c r="O187" s="172"/>
      <c r="P187" s="104"/>
      <c r="Q187" s="106"/>
      <c r="R187" s="106"/>
      <c r="S187" s="66"/>
      <c r="T187" s="106"/>
      <c r="U187" s="66"/>
      <c r="V187" s="66"/>
      <c r="W187" s="66"/>
      <c r="X187" s="106"/>
      <c r="Y187" s="66"/>
      <c r="Z187" s="66"/>
      <c r="AA187" s="81"/>
      <c r="AB187" s="81"/>
    </row>
    <row r="188">
      <c r="A188" s="81"/>
      <c r="B188" s="66"/>
      <c r="C188" s="106"/>
      <c r="D188" s="137"/>
      <c r="E188" s="66"/>
      <c r="F188" s="147"/>
      <c r="G188" s="137"/>
      <c r="H188" s="137"/>
      <c r="I188" s="137"/>
      <c r="J188" s="66"/>
      <c r="K188" s="107"/>
      <c r="L188" s="66"/>
      <c r="M188" s="66"/>
      <c r="N188" s="66"/>
      <c r="O188" s="172"/>
      <c r="P188" s="104"/>
      <c r="Q188" s="106"/>
      <c r="R188" s="106"/>
      <c r="S188" s="66"/>
      <c r="T188" s="106"/>
      <c r="U188" s="66"/>
      <c r="V188" s="66"/>
      <c r="W188" s="66"/>
      <c r="X188" s="106"/>
      <c r="Y188" s="66"/>
      <c r="Z188" s="66"/>
      <c r="AA188" s="81"/>
      <c r="AB188" s="81"/>
    </row>
    <row r="189">
      <c r="A189" s="81"/>
      <c r="B189" s="66"/>
      <c r="C189" s="106"/>
      <c r="D189" s="137"/>
      <c r="E189" s="66"/>
      <c r="F189" s="147"/>
      <c r="G189" s="137"/>
      <c r="H189" s="137"/>
      <c r="I189" s="137"/>
      <c r="J189" s="66"/>
      <c r="K189" s="107"/>
      <c r="L189" s="66"/>
      <c r="M189" s="66"/>
      <c r="N189" s="66"/>
      <c r="O189" s="172"/>
      <c r="P189" s="104"/>
      <c r="Q189" s="106"/>
      <c r="R189" s="106"/>
      <c r="S189" s="66"/>
      <c r="T189" s="106"/>
      <c r="U189" s="66"/>
      <c r="V189" s="66"/>
      <c r="W189" s="66"/>
      <c r="X189" s="106"/>
      <c r="Y189" s="66"/>
      <c r="Z189" s="66"/>
      <c r="AA189" s="81"/>
      <c r="AB189" s="81"/>
    </row>
    <row r="190">
      <c r="A190" s="81"/>
      <c r="B190" s="66"/>
      <c r="C190" s="106"/>
      <c r="D190" s="137"/>
      <c r="E190" s="66"/>
      <c r="F190" s="147"/>
      <c r="G190" s="137"/>
      <c r="H190" s="137"/>
      <c r="I190" s="137"/>
      <c r="J190" s="66"/>
      <c r="K190" s="107"/>
      <c r="L190" s="66"/>
      <c r="M190" s="66"/>
      <c r="N190" s="66"/>
      <c r="O190" s="172"/>
      <c r="P190" s="104"/>
      <c r="Q190" s="106"/>
      <c r="R190" s="106"/>
      <c r="S190" s="66"/>
      <c r="T190" s="106"/>
      <c r="U190" s="66"/>
      <c r="V190" s="66"/>
      <c r="W190" s="66"/>
      <c r="X190" s="106"/>
      <c r="Y190" s="66"/>
      <c r="Z190" s="66"/>
      <c r="AA190" s="81"/>
      <c r="AB190" s="81"/>
    </row>
    <row r="191">
      <c r="A191" s="81"/>
      <c r="B191" s="66"/>
      <c r="C191" s="106"/>
      <c r="D191" s="137"/>
      <c r="E191" s="66"/>
      <c r="F191" s="147"/>
      <c r="G191" s="137"/>
      <c r="H191" s="137"/>
      <c r="I191" s="137"/>
      <c r="J191" s="66"/>
      <c r="K191" s="107"/>
      <c r="L191" s="66"/>
      <c r="M191" s="66"/>
      <c r="N191" s="66"/>
      <c r="O191" s="172"/>
      <c r="P191" s="104"/>
      <c r="Q191" s="106"/>
      <c r="R191" s="106"/>
      <c r="S191" s="66"/>
      <c r="T191" s="106"/>
      <c r="U191" s="66"/>
      <c r="V191" s="66"/>
      <c r="W191" s="66"/>
      <c r="X191" s="106"/>
      <c r="Y191" s="66"/>
      <c r="Z191" s="66"/>
      <c r="AA191" s="81"/>
      <c r="AB191" s="81"/>
    </row>
    <row r="192">
      <c r="A192" s="81"/>
      <c r="B192" s="66"/>
      <c r="C192" s="106"/>
      <c r="D192" s="137"/>
      <c r="E192" s="66"/>
      <c r="F192" s="147"/>
      <c r="G192" s="137"/>
      <c r="H192" s="137"/>
      <c r="I192" s="137"/>
      <c r="J192" s="66"/>
      <c r="K192" s="107"/>
      <c r="L192" s="66"/>
      <c r="M192" s="66"/>
      <c r="N192" s="66"/>
      <c r="O192" s="172"/>
      <c r="P192" s="104"/>
      <c r="Q192" s="106"/>
      <c r="R192" s="106"/>
      <c r="S192" s="66"/>
      <c r="T192" s="106"/>
      <c r="U192" s="66"/>
      <c r="V192" s="66"/>
      <c r="W192" s="66"/>
      <c r="X192" s="106"/>
      <c r="Y192" s="66"/>
      <c r="Z192" s="66"/>
      <c r="AA192" s="81"/>
      <c r="AB192" s="81"/>
    </row>
    <row r="193">
      <c r="A193" s="81"/>
      <c r="B193" s="66"/>
      <c r="C193" s="106"/>
      <c r="D193" s="137"/>
      <c r="E193" s="66"/>
      <c r="F193" s="147"/>
      <c r="G193" s="137"/>
      <c r="H193" s="137"/>
      <c r="I193" s="137"/>
      <c r="J193" s="66"/>
      <c r="K193" s="107"/>
      <c r="L193" s="66"/>
      <c r="M193" s="66"/>
      <c r="N193" s="66"/>
      <c r="O193" s="172"/>
      <c r="P193" s="104"/>
      <c r="Q193" s="106"/>
      <c r="R193" s="106"/>
      <c r="S193" s="66"/>
      <c r="T193" s="106"/>
      <c r="U193" s="66"/>
      <c r="V193" s="66"/>
      <c r="W193" s="66"/>
      <c r="X193" s="106"/>
      <c r="Y193" s="66"/>
      <c r="Z193" s="66"/>
      <c r="AA193" s="81"/>
      <c r="AB193" s="81"/>
    </row>
    <row r="194">
      <c r="A194" s="81"/>
      <c r="B194" s="66"/>
      <c r="C194" s="106"/>
      <c r="D194" s="137"/>
      <c r="E194" s="66"/>
      <c r="F194" s="147"/>
      <c r="G194" s="137"/>
      <c r="H194" s="137"/>
      <c r="I194" s="137"/>
      <c r="J194" s="66"/>
      <c r="K194" s="107"/>
      <c r="L194" s="66"/>
      <c r="M194" s="66"/>
      <c r="N194" s="66"/>
      <c r="O194" s="172"/>
      <c r="P194" s="104"/>
      <c r="Q194" s="106"/>
      <c r="R194" s="106"/>
      <c r="S194" s="66"/>
      <c r="T194" s="106"/>
      <c r="U194" s="66"/>
      <c r="V194" s="66"/>
      <c r="W194" s="66"/>
      <c r="X194" s="106"/>
      <c r="Y194" s="66"/>
      <c r="Z194" s="66"/>
      <c r="AA194" s="81"/>
      <c r="AB194" s="81"/>
    </row>
    <row r="195">
      <c r="A195" s="81"/>
      <c r="B195" s="66"/>
      <c r="C195" s="106"/>
      <c r="D195" s="137"/>
      <c r="E195" s="66"/>
      <c r="F195" s="147"/>
      <c r="G195" s="137"/>
      <c r="H195" s="137"/>
      <c r="I195" s="137"/>
      <c r="J195" s="66"/>
      <c r="K195" s="107"/>
      <c r="L195" s="66"/>
      <c r="M195" s="66"/>
      <c r="N195" s="66"/>
      <c r="O195" s="172"/>
      <c r="P195" s="104"/>
      <c r="Q195" s="106"/>
      <c r="R195" s="106"/>
      <c r="S195" s="66"/>
      <c r="T195" s="106"/>
      <c r="U195" s="66"/>
      <c r="V195" s="66"/>
      <c r="W195" s="66"/>
      <c r="X195" s="106"/>
      <c r="Y195" s="66"/>
      <c r="Z195" s="66"/>
      <c r="AA195" s="81"/>
      <c r="AB195" s="81"/>
    </row>
    <row r="196">
      <c r="A196" s="81"/>
      <c r="B196" s="66"/>
      <c r="C196" s="106"/>
      <c r="D196" s="137"/>
      <c r="E196" s="66"/>
      <c r="F196" s="147"/>
      <c r="G196" s="137"/>
      <c r="H196" s="137"/>
      <c r="I196" s="137"/>
      <c r="J196" s="66"/>
      <c r="K196" s="107"/>
      <c r="L196" s="66"/>
      <c r="M196" s="66"/>
      <c r="N196" s="66"/>
      <c r="O196" s="172"/>
      <c r="P196" s="104"/>
      <c r="Q196" s="106"/>
      <c r="R196" s="106"/>
      <c r="S196" s="66"/>
      <c r="T196" s="106"/>
      <c r="U196" s="66"/>
      <c r="V196" s="66"/>
      <c r="W196" s="66"/>
      <c r="X196" s="106"/>
      <c r="Y196" s="66"/>
      <c r="Z196" s="66"/>
      <c r="AA196" s="81"/>
      <c r="AB196" s="81"/>
    </row>
    <row r="197">
      <c r="A197" s="81"/>
      <c r="B197" s="66"/>
      <c r="C197" s="106"/>
      <c r="D197" s="137"/>
      <c r="E197" s="66"/>
      <c r="F197" s="147"/>
      <c r="G197" s="137"/>
      <c r="H197" s="137"/>
      <c r="I197" s="137"/>
      <c r="J197" s="66"/>
      <c r="K197" s="107"/>
      <c r="L197" s="66"/>
      <c r="M197" s="66"/>
      <c r="N197" s="66"/>
      <c r="O197" s="172"/>
      <c r="P197" s="104"/>
      <c r="Q197" s="106"/>
      <c r="R197" s="106"/>
      <c r="S197" s="66"/>
      <c r="T197" s="106"/>
      <c r="U197" s="66"/>
      <c r="V197" s="66"/>
      <c r="W197" s="66"/>
      <c r="X197" s="106"/>
      <c r="Y197" s="66"/>
      <c r="Z197" s="66"/>
      <c r="AA197" s="81"/>
      <c r="AB197" s="81"/>
    </row>
    <row r="198">
      <c r="A198" s="81"/>
      <c r="B198" s="66"/>
      <c r="C198" s="106"/>
      <c r="D198" s="137"/>
      <c r="E198" s="66"/>
      <c r="F198" s="147"/>
      <c r="G198" s="137"/>
      <c r="H198" s="137"/>
      <c r="I198" s="137"/>
      <c r="J198" s="66"/>
      <c r="K198" s="107"/>
      <c r="L198" s="66"/>
      <c r="M198" s="66"/>
      <c r="N198" s="66"/>
      <c r="O198" s="172"/>
      <c r="P198" s="104"/>
      <c r="Q198" s="106"/>
      <c r="R198" s="106"/>
      <c r="S198" s="66"/>
      <c r="T198" s="106"/>
      <c r="U198" s="66"/>
      <c r="V198" s="66"/>
      <c r="W198" s="66"/>
      <c r="X198" s="106"/>
      <c r="Y198" s="66"/>
      <c r="Z198" s="66"/>
      <c r="AA198" s="81"/>
      <c r="AB198" s="81"/>
    </row>
    <row r="199">
      <c r="A199" s="81"/>
      <c r="B199" s="66"/>
      <c r="C199" s="106"/>
      <c r="D199" s="137"/>
      <c r="E199" s="66"/>
      <c r="F199" s="147"/>
      <c r="G199" s="137"/>
      <c r="H199" s="137"/>
      <c r="I199" s="137"/>
      <c r="J199" s="66"/>
      <c r="K199" s="107"/>
      <c r="L199" s="66"/>
      <c r="M199" s="66"/>
      <c r="N199" s="66"/>
      <c r="O199" s="172"/>
      <c r="P199" s="104"/>
      <c r="Q199" s="106"/>
      <c r="R199" s="106"/>
      <c r="S199" s="66"/>
      <c r="T199" s="106"/>
      <c r="U199" s="66"/>
      <c r="V199" s="66"/>
      <c r="W199" s="66"/>
      <c r="X199" s="106"/>
      <c r="Y199" s="66"/>
      <c r="Z199" s="66"/>
      <c r="AA199" s="81"/>
      <c r="AB199" s="81"/>
    </row>
    <row r="200">
      <c r="A200" s="81"/>
      <c r="B200" s="66"/>
      <c r="C200" s="106"/>
      <c r="D200" s="137"/>
      <c r="E200" s="66"/>
      <c r="F200" s="147"/>
      <c r="G200" s="137"/>
      <c r="H200" s="137"/>
      <c r="I200" s="137"/>
      <c r="J200" s="66"/>
      <c r="K200" s="107"/>
      <c r="L200" s="66"/>
      <c r="M200" s="66"/>
      <c r="N200" s="66"/>
      <c r="O200" s="172"/>
      <c r="P200" s="104"/>
      <c r="Q200" s="106"/>
      <c r="R200" s="106"/>
      <c r="S200" s="66"/>
      <c r="T200" s="106"/>
      <c r="U200" s="66"/>
      <c r="V200" s="66"/>
      <c r="W200" s="66"/>
      <c r="X200" s="106"/>
      <c r="Y200" s="66"/>
      <c r="Z200" s="66"/>
      <c r="AA200" s="81"/>
      <c r="AB200" s="81"/>
    </row>
    <row r="201">
      <c r="A201" s="81"/>
      <c r="B201" s="66"/>
      <c r="C201" s="106"/>
      <c r="D201" s="137"/>
      <c r="E201" s="66"/>
      <c r="F201" s="147"/>
      <c r="G201" s="137"/>
      <c r="H201" s="137"/>
      <c r="I201" s="137"/>
      <c r="J201" s="66"/>
      <c r="K201" s="107"/>
      <c r="L201" s="66"/>
      <c r="M201" s="66"/>
      <c r="N201" s="66"/>
      <c r="O201" s="172"/>
      <c r="P201" s="104"/>
      <c r="Q201" s="106"/>
      <c r="R201" s="106"/>
      <c r="S201" s="66"/>
      <c r="T201" s="106"/>
      <c r="U201" s="66"/>
      <c r="V201" s="66"/>
      <c r="W201" s="66"/>
      <c r="X201" s="106"/>
      <c r="Y201" s="66"/>
      <c r="Z201" s="66"/>
      <c r="AA201" s="81"/>
      <c r="AB201" s="81"/>
    </row>
    <row r="202">
      <c r="A202" s="81"/>
      <c r="B202" s="66"/>
      <c r="C202" s="106"/>
      <c r="D202" s="137"/>
      <c r="E202" s="66"/>
      <c r="F202" s="147"/>
      <c r="G202" s="137"/>
      <c r="H202" s="137"/>
      <c r="I202" s="137"/>
      <c r="J202" s="66"/>
      <c r="K202" s="107"/>
      <c r="L202" s="66"/>
      <c r="M202" s="66"/>
      <c r="N202" s="66"/>
      <c r="O202" s="172"/>
      <c r="P202" s="104"/>
      <c r="Q202" s="106"/>
      <c r="R202" s="106"/>
      <c r="S202" s="66"/>
      <c r="T202" s="106"/>
      <c r="U202" s="66"/>
      <c r="V202" s="66"/>
      <c r="W202" s="66"/>
      <c r="X202" s="106"/>
      <c r="Y202" s="66"/>
      <c r="Z202" s="66"/>
      <c r="AA202" s="81"/>
      <c r="AB202" s="81"/>
    </row>
    <row r="203">
      <c r="A203" s="81"/>
      <c r="B203" s="66"/>
      <c r="C203" s="106"/>
      <c r="D203" s="137"/>
      <c r="E203" s="66"/>
      <c r="F203" s="147"/>
      <c r="G203" s="137"/>
      <c r="H203" s="137"/>
      <c r="I203" s="137"/>
      <c r="J203" s="66"/>
      <c r="K203" s="107"/>
      <c r="L203" s="66"/>
      <c r="M203" s="66"/>
      <c r="N203" s="66"/>
      <c r="O203" s="172"/>
      <c r="P203" s="104"/>
      <c r="Q203" s="106"/>
      <c r="R203" s="106"/>
      <c r="S203" s="66"/>
      <c r="T203" s="106"/>
      <c r="U203" s="66"/>
      <c r="V203" s="66"/>
      <c r="W203" s="66"/>
      <c r="X203" s="106"/>
      <c r="Y203" s="66"/>
      <c r="Z203" s="66"/>
      <c r="AA203" s="81"/>
      <c r="AB203" s="81"/>
    </row>
    <row r="204">
      <c r="A204" s="81"/>
      <c r="B204" s="66"/>
      <c r="C204" s="106"/>
      <c r="D204" s="137"/>
      <c r="E204" s="66"/>
      <c r="F204" s="147"/>
      <c r="G204" s="137"/>
      <c r="H204" s="137"/>
      <c r="I204" s="137"/>
      <c r="J204" s="66"/>
      <c r="K204" s="107"/>
      <c r="L204" s="66"/>
      <c r="M204" s="66"/>
      <c r="N204" s="66"/>
      <c r="O204" s="172"/>
      <c r="P204" s="104"/>
      <c r="Q204" s="106"/>
      <c r="R204" s="106"/>
      <c r="S204" s="66"/>
      <c r="T204" s="106"/>
      <c r="U204" s="66"/>
      <c r="V204" s="66"/>
      <c r="W204" s="66"/>
      <c r="X204" s="106"/>
      <c r="Y204" s="66"/>
      <c r="Z204" s="66"/>
      <c r="AA204" s="81"/>
      <c r="AB204" s="81"/>
    </row>
    <row r="205">
      <c r="A205" s="81"/>
      <c r="B205" s="66"/>
      <c r="C205" s="106"/>
      <c r="D205" s="137"/>
      <c r="E205" s="66"/>
      <c r="F205" s="147"/>
      <c r="G205" s="137"/>
      <c r="H205" s="137"/>
      <c r="I205" s="137"/>
      <c r="J205" s="66"/>
      <c r="K205" s="107"/>
      <c r="L205" s="66"/>
      <c r="M205" s="66"/>
      <c r="N205" s="66"/>
      <c r="O205" s="172"/>
      <c r="P205" s="104"/>
      <c r="Q205" s="106"/>
      <c r="R205" s="106"/>
      <c r="S205" s="66"/>
      <c r="T205" s="106"/>
      <c r="U205" s="66"/>
      <c r="V205" s="66"/>
      <c r="W205" s="66"/>
      <c r="X205" s="106"/>
      <c r="Y205" s="66"/>
      <c r="Z205" s="66"/>
      <c r="AA205" s="81"/>
      <c r="AB205" s="81"/>
    </row>
    <row r="206">
      <c r="A206" s="81"/>
      <c r="B206" s="66"/>
      <c r="C206" s="106"/>
      <c r="D206" s="138"/>
      <c r="E206" s="81"/>
      <c r="F206" s="148"/>
      <c r="G206" s="138"/>
      <c r="H206" s="138"/>
      <c r="I206" s="138"/>
      <c r="J206" s="66"/>
      <c r="K206" s="107"/>
      <c r="L206" s="66"/>
      <c r="M206" s="66"/>
      <c r="N206" s="66"/>
      <c r="O206" s="172"/>
      <c r="P206" s="104"/>
      <c r="Q206" s="106"/>
      <c r="R206" s="106"/>
      <c r="S206" s="66"/>
      <c r="T206" s="106"/>
      <c r="U206" s="66"/>
      <c r="V206" s="66"/>
      <c r="W206" s="66"/>
      <c r="X206" s="106"/>
      <c r="Y206" s="66"/>
      <c r="Z206" s="66"/>
      <c r="AA206" s="81"/>
      <c r="AB206" s="81"/>
    </row>
    <row r="207">
      <c r="A207" s="81"/>
      <c r="B207" s="66"/>
      <c r="C207" s="106"/>
      <c r="D207" s="137"/>
      <c r="E207" s="66"/>
      <c r="F207" s="147"/>
      <c r="G207" s="137"/>
      <c r="H207" s="137"/>
      <c r="I207" s="137"/>
      <c r="J207" s="66"/>
      <c r="K207" s="107"/>
      <c r="L207" s="66"/>
      <c r="M207" s="66"/>
      <c r="N207" s="66"/>
      <c r="O207" s="172"/>
      <c r="P207" s="104"/>
      <c r="Q207" s="106"/>
      <c r="R207" s="106"/>
      <c r="S207" s="66"/>
      <c r="T207" s="106"/>
      <c r="U207" s="66"/>
      <c r="V207" s="66"/>
      <c r="W207" s="66"/>
      <c r="X207" s="106"/>
      <c r="Y207" s="66"/>
      <c r="Z207" s="66"/>
      <c r="AA207" s="81"/>
      <c r="AB207" s="81"/>
    </row>
    <row r="208">
      <c r="A208" s="81"/>
      <c r="B208" s="66"/>
      <c r="C208" s="106"/>
      <c r="D208" s="137"/>
      <c r="E208" s="66"/>
      <c r="F208" s="147"/>
      <c r="G208" s="137"/>
      <c r="H208" s="137"/>
      <c r="I208" s="137"/>
      <c r="J208" s="66"/>
      <c r="K208" s="107"/>
      <c r="L208" s="66"/>
      <c r="M208" s="66"/>
      <c r="N208" s="66"/>
      <c r="O208" s="172"/>
      <c r="P208" s="104"/>
      <c r="Q208" s="106"/>
      <c r="R208" s="106"/>
      <c r="S208" s="66"/>
      <c r="T208" s="106"/>
      <c r="U208" s="66"/>
      <c r="V208" s="66"/>
      <c r="W208" s="66"/>
      <c r="X208" s="106"/>
      <c r="Y208" s="66"/>
      <c r="Z208" s="66"/>
      <c r="AA208" s="81"/>
      <c r="AB208" s="81"/>
    </row>
    <row r="209">
      <c r="A209" s="81"/>
      <c r="B209" s="66"/>
      <c r="C209" s="106"/>
      <c r="D209" s="137"/>
      <c r="E209" s="66"/>
      <c r="F209" s="147"/>
      <c r="G209" s="137"/>
      <c r="H209" s="137"/>
      <c r="I209" s="137"/>
      <c r="J209" s="66"/>
      <c r="K209" s="107"/>
      <c r="L209" s="66"/>
      <c r="M209" s="66"/>
      <c r="N209" s="66"/>
      <c r="O209" s="172"/>
      <c r="P209" s="104"/>
      <c r="Q209" s="106"/>
      <c r="R209" s="106"/>
      <c r="S209" s="66"/>
      <c r="T209" s="106"/>
      <c r="U209" s="66"/>
      <c r="V209" s="66"/>
      <c r="W209" s="66"/>
      <c r="X209" s="106"/>
      <c r="Y209" s="66"/>
      <c r="Z209" s="66"/>
      <c r="AA209" s="81"/>
      <c r="AB209" s="81"/>
    </row>
    <row r="210">
      <c r="A210" s="81"/>
      <c r="B210" s="66"/>
      <c r="C210" s="106"/>
      <c r="D210" s="137"/>
      <c r="E210" s="66"/>
      <c r="F210" s="147"/>
      <c r="G210" s="137"/>
      <c r="H210" s="137"/>
      <c r="I210" s="137"/>
      <c r="J210" s="66"/>
      <c r="K210" s="107"/>
      <c r="L210" s="66"/>
      <c r="M210" s="66"/>
      <c r="N210" s="66"/>
      <c r="O210" s="172"/>
      <c r="P210" s="104"/>
      <c r="Q210" s="106"/>
      <c r="R210" s="106"/>
      <c r="S210" s="66"/>
      <c r="T210" s="106"/>
      <c r="U210" s="66"/>
      <c r="V210" s="66"/>
      <c r="W210" s="66"/>
      <c r="X210" s="106"/>
      <c r="Y210" s="66"/>
      <c r="Z210" s="66"/>
      <c r="AA210" s="81"/>
      <c r="AB210" s="81"/>
    </row>
    <row r="211">
      <c r="A211" s="81"/>
      <c r="B211" s="66"/>
      <c r="C211" s="106"/>
      <c r="D211" s="137"/>
      <c r="E211" s="66"/>
      <c r="F211" s="147"/>
      <c r="G211" s="137"/>
      <c r="H211" s="137"/>
      <c r="I211" s="137"/>
      <c r="J211" s="66"/>
      <c r="K211" s="107"/>
      <c r="L211" s="66"/>
      <c r="M211" s="66"/>
      <c r="N211" s="66"/>
      <c r="O211" s="172"/>
      <c r="P211" s="104"/>
      <c r="Q211" s="106"/>
      <c r="R211" s="106"/>
      <c r="S211" s="66"/>
      <c r="T211" s="106"/>
      <c r="U211" s="66"/>
      <c r="V211" s="66"/>
      <c r="W211" s="66"/>
      <c r="X211" s="106"/>
      <c r="Y211" s="66"/>
      <c r="Z211" s="66"/>
      <c r="AA211" s="81"/>
      <c r="AB211" s="81"/>
    </row>
    <row r="212">
      <c r="A212" s="81"/>
      <c r="B212" s="66"/>
      <c r="C212" s="106"/>
      <c r="D212" s="137"/>
      <c r="E212" s="66"/>
      <c r="F212" s="147"/>
      <c r="G212" s="137"/>
      <c r="H212" s="137"/>
      <c r="I212" s="137"/>
      <c r="J212" s="66"/>
      <c r="K212" s="107"/>
      <c r="L212" s="66"/>
      <c r="M212" s="66"/>
      <c r="N212" s="66"/>
      <c r="O212" s="172"/>
      <c r="P212" s="104"/>
      <c r="Q212" s="106"/>
      <c r="R212" s="106"/>
      <c r="S212" s="66"/>
      <c r="T212" s="106"/>
      <c r="U212" s="66"/>
      <c r="V212" s="66"/>
      <c r="W212" s="66"/>
      <c r="X212" s="106"/>
      <c r="Y212" s="66"/>
      <c r="Z212" s="66"/>
      <c r="AA212" s="81"/>
      <c r="AB212" s="81"/>
    </row>
    <row r="213">
      <c r="A213" s="81"/>
      <c r="B213" s="66"/>
      <c r="C213" s="106"/>
      <c r="D213" s="137"/>
      <c r="E213" s="66"/>
      <c r="F213" s="147"/>
      <c r="G213" s="137"/>
      <c r="H213" s="137"/>
      <c r="I213" s="137"/>
      <c r="J213" s="66"/>
      <c r="K213" s="107"/>
      <c r="L213" s="66"/>
      <c r="M213" s="66"/>
      <c r="N213" s="66"/>
      <c r="O213" s="172"/>
      <c r="P213" s="104"/>
      <c r="Q213" s="106"/>
      <c r="R213" s="106"/>
      <c r="S213" s="66"/>
      <c r="T213" s="106"/>
      <c r="U213" s="66"/>
      <c r="V213" s="66"/>
      <c r="W213" s="66"/>
      <c r="X213" s="106"/>
      <c r="Y213" s="66"/>
      <c r="Z213" s="66"/>
      <c r="AA213" s="81"/>
      <c r="AB213" s="81"/>
    </row>
    <row r="214">
      <c r="A214" s="81"/>
      <c r="B214" s="66"/>
      <c r="C214" s="106"/>
      <c r="D214" s="137"/>
      <c r="E214" s="66"/>
      <c r="F214" s="147"/>
      <c r="G214" s="137"/>
      <c r="H214" s="137"/>
      <c r="I214" s="137"/>
      <c r="J214" s="66"/>
      <c r="K214" s="107"/>
      <c r="L214" s="66"/>
      <c r="M214" s="66"/>
      <c r="N214" s="66"/>
      <c r="O214" s="172"/>
      <c r="P214" s="104"/>
      <c r="Q214" s="106"/>
      <c r="R214" s="106"/>
      <c r="S214" s="66"/>
      <c r="T214" s="106"/>
      <c r="U214" s="66"/>
      <c r="V214" s="66"/>
      <c r="W214" s="66"/>
      <c r="X214" s="106"/>
      <c r="Y214" s="66"/>
      <c r="Z214" s="66"/>
      <c r="AA214" s="81"/>
      <c r="AB214" s="81"/>
    </row>
    <row r="215">
      <c r="A215" s="81"/>
      <c r="B215" s="66"/>
      <c r="C215" s="106"/>
      <c r="D215" s="137"/>
      <c r="E215" s="66"/>
      <c r="F215" s="147"/>
      <c r="G215" s="137"/>
      <c r="H215" s="137"/>
      <c r="I215" s="137"/>
      <c r="J215" s="66"/>
      <c r="K215" s="107"/>
      <c r="L215" s="66"/>
      <c r="M215" s="66"/>
      <c r="N215" s="66"/>
      <c r="O215" s="172"/>
      <c r="P215" s="104"/>
      <c r="Q215" s="106"/>
      <c r="R215" s="106"/>
      <c r="S215" s="66"/>
      <c r="T215" s="106"/>
      <c r="U215" s="66"/>
      <c r="V215" s="66"/>
      <c r="W215" s="66"/>
      <c r="X215" s="106"/>
      <c r="Y215" s="66"/>
      <c r="Z215" s="66"/>
      <c r="AA215" s="81"/>
      <c r="AB215" s="81"/>
    </row>
    <row r="216">
      <c r="A216" s="81"/>
      <c r="B216" s="66"/>
      <c r="C216" s="106"/>
      <c r="D216" s="137"/>
      <c r="E216" s="66"/>
      <c r="F216" s="147"/>
      <c r="G216" s="137"/>
      <c r="H216" s="137"/>
      <c r="I216" s="137"/>
      <c r="J216" s="66"/>
      <c r="K216" s="107"/>
      <c r="L216" s="66"/>
      <c r="M216" s="66"/>
      <c r="N216" s="66"/>
      <c r="O216" s="172"/>
      <c r="P216" s="104"/>
      <c r="Q216" s="106"/>
      <c r="R216" s="106"/>
      <c r="S216" s="66"/>
      <c r="T216" s="106"/>
      <c r="U216" s="66"/>
      <c r="V216" s="66"/>
      <c r="W216" s="66"/>
      <c r="X216" s="106"/>
      <c r="Y216" s="66"/>
      <c r="Z216" s="66"/>
      <c r="AA216" s="81"/>
      <c r="AB216" s="81"/>
    </row>
    <row r="217">
      <c r="A217" s="81"/>
      <c r="B217" s="66"/>
      <c r="C217" s="106"/>
      <c r="D217" s="137"/>
      <c r="E217" s="66"/>
      <c r="F217" s="147"/>
      <c r="G217" s="137"/>
      <c r="H217" s="137"/>
      <c r="I217" s="137"/>
      <c r="J217" s="66"/>
      <c r="K217" s="107"/>
      <c r="L217" s="66"/>
      <c r="M217" s="66"/>
      <c r="N217" s="66"/>
      <c r="O217" s="172"/>
      <c r="P217" s="104"/>
      <c r="Q217" s="106"/>
      <c r="R217" s="106"/>
      <c r="S217" s="66"/>
      <c r="T217" s="106"/>
      <c r="U217" s="66"/>
      <c r="V217" s="66"/>
      <c r="W217" s="66"/>
      <c r="X217" s="106"/>
      <c r="Y217" s="66"/>
      <c r="Z217" s="66"/>
      <c r="AA217" s="81"/>
      <c r="AB217" s="81"/>
    </row>
    <row r="218">
      <c r="A218" s="81"/>
      <c r="B218" s="66"/>
      <c r="C218" s="106"/>
      <c r="D218" s="137"/>
      <c r="E218" s="66"/>
      <c r="F218" s="147"/>
      <c r="G218" s="137"/>
      <c r="H218" s="137"/>
      <c r="I218" s="137"/>
      <c r="J218" s="66"/>
      <c r="K218" s="107"/>
      <c r="L218" s="66"/>
      <c r="M218" s="66"/>
      <c r="N218" s="66"/>
      <c r="O218" s="172"/>
      <c r="P218" s="104"/>
      <c r="Q218" s="106"/>
      <c r="R218" s="106"/>
      <c r="S218" s="66"/>
      <c r="T218" s="106"/>
      <c r="U218" s="66"/>
      <c r="V218" s="66"/>
      <c r="W218" s="66"/>
      <c r="X218" s="106"/>
      <c r="Y218" s="66"/>
      <c r="Z218" s="66"/>
      <c r="AA218" s="81"/>
      <c r="AB218" s="81"/>
    </row>
    <row r="219">
      <c r="A219" s="81"/>
      <c r="B219" s="66"/>
      <c r="C219" s="106"/>
      <c r="D219" s="137"/>
      <c r="E219" s="66"/>
      <c r="F219" s="147"/>
      <c r="G219" s="137"/>
      <c r="H219" s="137"/>
      <c r="I219" s="137"/>
      <c r="J219" s="66"/>
      <c r="K219" s="107"/>
      <c r="L219" s="66"/>
      <c r="M219" s="66"/>
      <c r="N219" s="66"/>
      <c r="O219" s="172"/>
      <c r="P219" s="104"/>
      <c r="Q219" s="106"/>
      <c r="R219" s="106"/>
      <c r="S219" s="66"/>
      <c r="T219" s="106"/>
      <c r="U219" s="66"/>
      <c r="V219" s="66"/>
      <c r="W219" s="66"/>
      <c r="X219" s="106"/>
      <c r="Y219" s="66"/>
      <c r="Z219" s="66"/>
      <c r="AA219" s="81"/>
      <c r="AB219" s="81"/>
    </row>
    <row r="220">
      <c r="A220" s="81"/>
      <c r="B220" s="66"/>
      <c r="C220" s="106"/>
      <c r="D220" s="137"/>
      <c r="E220" s="66"/>
      <c r="F220" s="147"/>
      <c r="G220" s="137"/>
      <c r="H220" s="137"/>
      <c r="I220" s="137"/>
      <c r="J220" s="66"/>
      <c r="K220" s="107"/>
      <c r="L220" s="66"/>
      <c r="M220" s="66"/>
      <c r="N220" s="66"/>
      <c r="O220" s="172"/>
      <c r="P220" s="104"/>
      <c r="Q220" s="106"/>
      <c r="R220" s="106"/>
      <c r="S220" s="66"/>
      <c r="T220" s="106"/>
      <c r="U220" s="66"/>
      <c r="V220" s="66"/>
      <c r="W220" s="66"/>
      <c r="X220" s="106"/>
      <c r="Y220" s="66"/>
      <c r="Z220" s="66"/>
      <c r="AA220" s="81"/>
      <c r="AB220" s="81"/>
    </row>
    <row r="221">
      <c r="A221" s="81"/>
      <c r="B221" s="66"/>
      <c r="C221" s="106"/>
      <c r="D221" s="137"/>
      <c r="E221" s="66"/>
      <c r="F221" s="147"/>
      <c r="G221" s="137"/>
      <c r="H221" s="137"/>
      <c r="I221" s="137"/>
      <c r="J221" s="66"/>
      <c r="K221" s="107"/>
      <c r="L221" s="66"/>
      <c r="M221" s="66"/>
      <c r="N221" s="66"/>
      <c r="O221" s="172"/>
      <c r="P221" s="104"/>
      <c r="Q221" s="106"/>
      <c r="R221" s="106"/>
      <c r="S221" s="66"/>
      <c r="T221" s="106"/>
      <c r="U221" s="66"/>
      <c r="V221" s="66"/>
      <c r="W221" s="66"/>
      <c r="X221" s="106"/>
      <c r="Y221" s="66"/>
      <c r="Z221" s="66"/>
      <c r="AA221" s="81"/>
      <c r="AB221" s="81"/>
    </row>
    <row r="222">
      <c r="A222" s="81"/>
      <c r="B222" s="66"/>
      <c r="C222" s="106"/>
      <c r="D222" s="137"/>
      <c r="E222" s="66"/>
      <c r="F222" s="147"/>
      <c r="G222" s="137"/>
      <c r="H222" s="137"/>
      <c r="I222" s="137"/>
      <c r="J222" s="66"/>
      <c r="K222" s="107"/>
      <c r="L222" s="66"/>
      <c r="M222" s="66"/>
      <c r="N222" s="66"/>
      <c r="O222" s="172"/>
      <c r="P222" s="104"/>
      <c r="Q222" s="106"/>
      <c r="R222" s="106"/>
      <c r="S222" s="66"/>
      <c r="T222" s="106"/>
      <c r="U222" s="66"/>
      <c r="V222" s="66"/>
      <c r="W222" s="66"/>
      <c r="X222" s="106"/>
      <c r="Y222" s="66"/>
      <c r="Z222" s="66"/>
      <c r="AA222" s="81"/>
      <c r="AB222" s="81"/>
    </row>
    <row r="223">
      <c r="A223" s="81"/>
      <c r="B223" s="66"/>
      <c r="C223" s="106"/>
      <c r="D223" s="137"/>
      <c r="E223" s="66"/>
      <c r="F223" s="147"/>
      <c r="G223" s="137"/>
      <c r="H223" s="137"/>
      <c r="I223" s="137"/>
      <c r="J223" s="66"/>
      <c r="K223" s="107"/>
      <c r="L223" s="66"/>
      <c r="M223" s="66"/>
      <c r="N223" s="66"/>
      <c r="O223" s="172"/>
      <c r="P223" s="104"/>
      <c r="Q223" s="106"/>
      <c r="R223" s="106"/>
      <c r="S223" s="66"/>
      <c r="T223" s="106"/>
      <c r="U223" s="66"/>
      <c r="V223" s="66"/>
      <c r="W223" s="66"/>
      <c r="X223" s="106"/>
      <c r="Y223" s="66"/>
      <c r="Z223" s="66"/>
      <c r="AA223" s="81"/>
      <c r="AB223" s="81"/>
    </row>
    <row r="224">
      <c r="A224" s="81"/>
      <c r="B224" s="66"/>
      <c r="C224" s="106"/>
      <c r="D224" s="137"/>
      <c r="E224" s="66"/>
      <c r="F224" s="147"/>
      <c r="G224" s="137"/>
      <c r="H224" s="137"/>
      <c r="I224" s="137"/>
      <c r="J224" s="66"/>
      <c r="K224" s="107"/>
      <c r="L224" s="66"/>
      <c r="M224" s="66"/>
      <c r="N224" s="66"/>
      <c r="O224" s="172"/>
      <c r="P224" s="104"/>
      <c r="Q224" s="106"/>
      <c r="R224" s="106"/>
      <c r="S224" s="66"/>
      <c r="T224" s="106"/>
      <c r="U224" s="66"/>
      <c r="V224" s="66"/>
      <c r="W224" s="66"/>
      <c r="X224" s="106"/>
      <c r="Y224" s="66"/>
      <c r="Z224" s="66"/>
      <c r="AA224" s="81"/>
      <c r="AB224" s="81"/>
    </row>
    <row r="225">
      <c r="A225" s="81"/>
      <c r="B225" s="66"/>
      <c r="C225" s="106"/>
      <c r="D225" s="137"/>
      <c r="E225" s="66"/>
      <c r="F225" s="147"/>
      <c r="G225" s="137"/>
      <c r="H225" s="137"/>
      <c r="I225" s="137"/>
      <c r="J225" s="66"/>
      <c r="K225" s="107"/>
      <c r="L225" s="66"/>
      <c r="M225" s="66"/>
      <c r="N225" s="66"/>
      <c r="O225" s="172"/>
      <c r="P225" s="104"/>
      <c r="Q225" s="106"/>
      <c r="R225" s="106"/>
      <c r="S225" s="66"/>
      <c r="T225" s="106"/>
      <c r="U225" s="66"/>
      <c r="V225" s="66"/>
      <c r="W225" s="66"/>
      <c r="X225" s="106"/>
      <c r="Y225" s="66"/>
      <c r="Z225" s="66"/>
      <c r="AA225" s="81"/>
      <c r="AB225" s="81"/>
    </row>
    <row r="226">
      <c r="A226" s="81"/>
      <c r="B226" s="66"/>
      <c r="C226" s="106"/>
      <c r="D226" s="137"/>
      <c r="E226" s="66"/>
      <c r="F226" s="147"/>
      <c r="G226" s="137"/>
      <c r="H226" s="137"/>
      <c r="I226" s="137"/>
      <c r="J226" s="66"/>
      <c r="K226" s="107"/>
      <c r="L226" s="66"/>
      <c r="M226" s="66"/>
      <c r="N226" s="66"/>
      <c r="O226" s="172"/>
      <c r="P226" s="104"/>
      <c r="Q226" s="106"/>
      <c r="R226" s="106"/>
      <c r="S226" s="66"/>
      <c r="T226" s="106"/>
      <c r="U226" s="66"/>
      <c r="V226" s="66"/>
      <c r="W226" s="66"/>
      <c r="X226" s="106"/>
      <c r="Y226" s="66"/>
      <c r="Z226" s="66"/>
      <c r="AA226" s="81"/>
      <c r="AB226" s="81"/>
    </row>
    <row r="227">
      <c r="A227" s="81"/>
      <c r="B227" s="66"/>
      <c r="C227" s="106"/>
      <c r="D227" s="137"/>
      <c r="E227" s="66"/>
      <c r="F227" s="147"/>
      <c r="G227" s="137"/>
      <c r="H227" s="137"/>
      <c r="I227" s="137"/>
      <c r="J227" s="66"/>
      <c r="K227" s="107"/>
      <c r="L227" s="66"/>
      <c r="M227" s="66"/>
      <c r="N227" s="66"/>
      <c r="O227" s="172"/>
      <c r="P227" s="104"/>
      <c r="Q227" s="106"/>
      <c r="R227" s="106"/>
      <c r="S227" s="66"/>
      <c r="T227" s="106"/>
      <c r="U227" s="66"/>
      <c r="V227" s="66"/>
      <c r="W227" s="66"/>
      <c r="X227" s="106"/>
      <c r="Y227" s="66"/>
      <c r="Z227" s="66"/>
      <c r="AA227" s="81"/>
      <c r="AB227" s="81"/>
    </row>
    <row r="228">
      <c r="A228" s="81"/>
      <c r="B228" s="66"/>
      <c r="C228" s="106"/>
      <c r="D228" s="137"/>
      <c r="E228" s="66"/>
      <c r="F228" s="147"/>
      <c r="G228" s="137"/>
      <c r="H228" s="137"/>
      <c r="I228" s="137"/>
      <c r="J228" s="66"/>
      <c r="K228" s="107"/>
      <c r="L228" s="66"/>
      <c r="M228" s="66"/>
      <c r="N228" s="66"/>
      <c r="O228" s="172"/>
      <c r="P228" s="104"/>
      <c r="Q228" s="106"/>
      <c r="R228" s="106"/>
      <c r="S228" s="66"/>
      <c r="T228" s="106"/>
      <c r="U228" s="66"/>
      <c r="V228" s="66"/>
      <c r="W228" s="66"/>
      <c r="X228" s="106"/>
      <c r="Y228" s="66"/>
      <c r="Z228" s="66"/>
      <c r="AA228" s="81"/>
      <c r="AB228" s="81"/>
    </row>
    <row r="229">
      <c r="A229" s="81"/>
      <c r="B229" s="66"/>
      <c r="C229" s="106"/>
      <c r="D229" s="137"/>
      <c r="E229" s="66"/>
      <c r="F229" s="147"/>
      <c r="G229" s="137"/>
      <c r="H229" s="137"/>
      <c r="I229" s="137"/>
      <c r="J229" s="66"/>
      <c r="K229" s="107"/>
      <c r="L229" s="66"/>
      <c r="M229" s="66"/>
      <c r="N229" s="66"/>
      <c r="O229" s="172"/>
      <c r="P229" s="104"/>
      <c r="Q229" s="106"/>
      <c r="R229" s="106"/>
      <c r="S229" s="66"/>
      <c r="T229" s="106"/>
      <c r="U229" s="66"/>
      <c r="V229" s="66"/>
      <c r="W229" s="66"/>
      <c r="X229" s="106"/>
      <c r="Y229" s="66"/>
      <c r="Z229" s="66"/>
      <c r="AA229" s="81"/>
      <c r="AB229" s="81"/>
    </row>
    <row r="230">
      <c r="A230" s="81"/>
      <c r="B230" s="66"/>
      <c r="C230" s="106"/>
      <c r="D230" s="137"/>
      <c r="E230" s="66"/>
      <c r="F230" s="147"/>
      <c r="G230" s="137"/>
      <c r="H230" s="137"/>
      <c r="I230" s="137"/>
      <c r="J230" s="66"/>
      <c r="K230" s="107"/>
      <c r="L230" s="66"/>
      <c r="M230" s="66"/>
      <c r="N230" s="66"/>
      <c r="O230" s="172"/>
      <c r="P230" s="104"/>
      <c r="Q230" s="106"/>
      <c r="R230" s="106"/>
      <c r="S230" s="66"/>
      <c r="T230" s="106"/>
      <c r="U230" s="66"/>
      <c r="V230" s="66"/>
      <c r="W230" s="66"/>
      <c r="X230" s="106"/>
      <c r="Y230" s="66"/>
      <c r="Z230" s="66"/>
      <c r="AA230" s="81"/>
      <c r="AB230" s="81"/>
    </row>
    <row r="231">
      <c r="A231" s="81"/>
      <c r="B231" s="66"/>
      <c r="C231" s="106"/>
      <c r="D231" s="137"/>
      <c r="E231" s="66"/>
      <c r="F231" s="147"/>
      <c r="G231" s="137"/>
      <c r="H231" s="137"/>
      <c r="I231" s="137"/>
      <c r="J231" s="66"/>
      <c r="K231" s="107"/>
      <c r="L231" s="66"/>
      <c r="M231" s="66"/>
      <c r="N231" s="66"/>
      <c r="O231" s="172"/>
      <c r="P231" s="104"/>
      <c r="Q231" s="106"/>
      <c r="R231" s="106"/>
      <c r="S231" s="66"/>
      <c r="T231" s="106"/>
      <c r="U231" s="66"/>
      <c r="V231" s="66"/>
      <c r="W231" s="66"/>
      <c r="X231" s="106"/>
      <c r="Y231" s="66"/>
      <c r="Z231" s="66"/>
      <c r="AA231" s="81"/>
      <c r="AB231" s="81"/>
    </row>
    <row r="232">
      <c r="A232" s="81"/>
      <c r="B232" s="66"/>
      <c r="C232" s="106"/>
      <c r="D232" s="137"/>
      <c r="E232" s="66"/>
      <c r="F232" s="147"/>
      <c r="G232" s="137"/>
      <c r="H232" s="137"/>
      <c r="I232" s="137"/>
      <c r="J232" s="66"/>
      <c r="K232" s="107"/>
      <c r="L232" s="66"/>
      <c r="M232" s="66"/>
      <c r="N232" s="66"/>
      <c r="O232" s="172"/>
      <c r="P232" s="104"/>
      <c r="Q232" s="106"/>
      <c r="R232" s="106"/>
      <c r="S232" s="66"/>
      <c r="T232" s="106"/>
      <c r="U232" s="66"/>
      <c r="V232" s="66"/>
      <c r="W232" s="66"/>
      <c r="X232" s="106"/>
      <c r="Y232" s="66"/>
      <c r="Z232" s="66"/>
      <c r="AA232" s="81"/>
      <c r="AB232" s="81"/>
    </row>
    <row r="233">
      <c r="A233" s="81"/>
      <c r="B233" s="66"/>
      <c r="C233" s="106"/>
      <c r="D233" s="137"/>
      <c r="E233" s="66"/>
      <c r="F233" s="147"/>
      <c r="G233" s="137"/>
      <c r="H233" s="137"/>
      <c r="I233" s="137"/>
      <c r="J233" s="66"/>
      <c r="K233" s="107"/>
      <c r="L233" s="66"/>
      <c r="M233" s="66"/>
      <c r="N233" s="66"/>
      <c r="O233" s="172"/>
      <c r="P233" s="104"/>
      <c r="Q233" s="106"/>
      <c r="R233" s="106"/>
      <c r="S233" s="66"/>
      <c r="T233" s="106"/>
      <c r="U233" s="66"/>
      <c r="V233" s="66"/>
      <c r="W233" s="66"/>
      <c r="X233" s="106"/>
      <c r="Y233" s="66"/>
      <c r="Z233" s="66"/>
      <c r="AA233" s="81"/>
      <c r="AB233" s="81"/>
    </row>
    <row r="234">
      <c r="A234" s="81"/>
      <c r="B234" s="66"/>
      <c r="C234" s="106"/>
      <c r="D234" s="137"/>
      <c r="E234" s="66"/>
      <c r="F234" s="147"/>
      <c r="G234" s="137"/>
      <c r="H234" s="137"/>
      <c r="I234" s="137"/>
      <c r="J234" s="66"/>
      <c r="K234" s="107"/>
      <c r="L234" s="66"/>
      <c r="M234" s="66"/>
      <c r="N234" s="66"/>
      <c r="O234" s="172"/>
      <c r="P234" s="104"/>
      <c r="Q234" s="106"/>
      <c r="R234" s="106"/>
      <c r="S234" s="66"/>
      <c r="T234" s="106"/>
      <c r="U234" s="66"/>
      <c r="V234" s="66"/>
      <c r="W234" s="66"/>
      <c r="X234" s="106"/>
      <c r="Y234" s="66"/>
      <c r="Z234" s="66"/>
      <c r="AA234" s="81"/>
      <c r="AB234" s="81"/>
    </row>
    <row r="235">
      <c r="A235" s="81"/>
      <c r="B235" s="66"/>
      <c r="C235" s="106"/>
      <c r="D235" s="137"/>
      <c r="E235" s="66"/>
      <c r="F235" s="147"/>
      <c r="G235" s="137"/>
      <c r="H235" s="137"/>
      <c r="I235" s="137"/>
      <c r="J235" s="66"/>
      <c r="K235" s="107"/>
      <c r="L235" s="66"/>
      <c r="M235" s="66"/>
      <c r="N235" s="66"/>
      <c r="O235" s="172"/>
      <c r="P235" s="104"/>
      <c r="Q235" s="106"/>
      <c r="R235" s="106"/>
      <c r="S235" s="66"/>
      <c r="T235" s="106"/>
      <c r="U235" s="66"/>
      <c r="V235" s="66"/>
      <c r="W235" s="66"/>
      <c r="X235" s="106"/>
      <c r="Y235" s="66"/>
      <c r="Z235" s="66"/>
      <c r="AA235" s="81"/>
      <c r="AB235" s="81"/>
    </row>
    <row r="236">
      <c r="A236" s="81"/>
      <c r="B236" s="66"/>
      <c r="C236" s="106"/>
      <c r="D236" s="137"/>
      <c r="E236" s="66"/>
      <c r="F236" s="147"/>
      <c r="G236" s="137"/>
      <c r="H236" s="137"/>
      <c r="I236" s="137"/>
      <c r="J236" s="66"/>
      <c r="K236" s="107"/>
      <c r="L236" s="66"/>
      <c r="M236" s="66"/>
      <c r="N236" s="66"/>
      <c r="O236" s="172"/>
      <c r="P236" s="104"/>
      <c r="Q236" s="106"/>
      <c r="R236" s="106"/>
      <c r="S236" s="66"/>
      <c r="T236" s="106"/>
      <c r="U236" s="66"/>
      <c r="V236" s="66"/>
      <c r="W236" s="66"/>
      <c r="X236" s="106"/>
      <c r="Y236" s="66"/>
      <c r="Z236" s="66"/>
      <c r="AA236" s="81"/>
      <c r="AB236" s="81"/>
    </row>
    <row r="237">
      <c r="A237" s="81"/>
      <c r="B237" s="66"/>
      <c r="C237" s="106"/>
      <c r="D237" s="137"/>
      <c r="E237" s="66"/>
      <c r="F237" s="147"/>
      <c r="G237" s="137"/>
      <c r="H237" s="137"/>
      <c r="I237" s="137"/>
      <c r="J237" s="66"/>
      <c r="K237" s="107"/>
      <c r="L237" s="66"/>
      <c r="M237" s="66"/>
      <c r="N237" s="66"/>
      <c r="O237" s="172"/>
      <c r="P237" s="104"/>
      <c r="Q237" s="106"/>
      <c r="R237" s="106"/>
      <c r="S237" s="66"/>
      <c r="T237" s="106"/>
      <c r="U237" s="66"/>
      <c r="V237" s="66"/>
      <c r="W237" s="66"/>
      <c r="X237" s="106"/>
      <c r="Y237" s="66"/>
      <c r="Z237" s="66"/>
      <c r="AA237" s="81"/>
      <c r="AB237" s="81"/>
    </row>
    <row r="238">
      <c r="A238" s="81"/>
      <c r="B238" s="66"/>
      <c r="C238" s="106"/>
      <c r="D238" s="137"/>
      <c r="E238" s="66"/>
      <c r="F238" s="147"/>
      <c r="G238" s="137"/>
      <c r="H238" s="137"/>
      <c r="I238" s="137"/>
      <c r="J238" s="66"/>
      <c r="K238" s="107"/>
      <c r="L238" s="66"/>
      <c r="M238" s="66"/>
      <c r="N238" s="66"/>
      <c r="O238" s="172"/>
      <c r="P238" s="104"/>
      <c r="Q238" s="106"/>
      <c r="R238" s="106"/>
      <c r="S238" s="66"/>
      <c r="T238" s="106"/>
      <c r="U238" s="66"/>
      <c r="V238" s="66"/>
      <c r="W238" s="66"/>
      <c r="X238" s="106"/>
      <c r="Y238" s="66"/>
      <c r="Z238" s="66"/>
      <c r="AA238" s="81"/>
      <c r="AB238" s="81"/>
    </row>
    <row r="239">
      <c r="A239" s="81"/>
      <c r="B239" s="66"/>
      <c r="C239" s="106"/>
      <c r="D239" s="137"/>
      <c r="E239" s="66"/>
      <c r="F239" s="147"/>
      <c r="G239" s="137"/>
      <c r="H239" s="137"/>
      <c r="I239" s="137"/>
      <c r="J239" s="66"/>
      <c r="K239" s="107"/>
      <c r="L239" s="66"/>
      <c r="M239" s="66"/>
      <c r="N239" s="66"/>
      <c r="O239" s="172"/>
      <c r="P239" s="104"/>
      <c r="Q239" s="106"/>
      <c r="R239" s="106"/>
      <c r="S239" s="66"/>
      <c r="T239" s="106"/>
      <c r="U239" s="66"/>
      <c r="V239" s="66"/>
      <c r="W239" s="66"/>
      <c r="X239" s="106"/>
      <c r="Y239" s="66"/>
      <c r="Z239" s="66"/>
      <c r="AA239" s="81"/>
      <c r="AB239" s="81"/>
    </row>
    <row r="240">
      <c r="A240" s="81"/>
      <c r="B240" s="66"/>
      <c r="C240" s="106"/>
      <c r="D240" s="137"/>
      <c r="E240" s="66"/>
      <c r="F240" s="147"/>
      <c r="G240" s="137"/>
      <c r="H240" s="137"/>
      <c r="I240" s="137"/>
      <c r="J240" s="66"/>
      <c r="K240" s="107"/>
      <c r="L240" s="66"/>
      <c r="M240" s="66"/>
      <c r="N240" s="66"/>
      <c r="O240" s="172"/>
      <c r="P240" s="104"/>
      <c r="Q240" s="106"/>
      <c r="R240" s="106"/>
      <c r="S240" s="66"/>
      <c r="T240" s="106"/>
      <c r="U240" s="66"/>
      <c r="V240" s="66"/>
      <c r="W240" s="66"/>
      <c r="X240" s="106"/>
      <c r="Y240" s="66"/>
      <c r="Z240" s="66"/>
      <c r="AA240" s="81"/>
      <c r="AB240" s="81"/>
    </row>
    <row r="241">
      <c r="A241" s="81"/>
      <c r="B241" s="66"/>
      <c r="C241" s="106"/>
      <c r="D241" s="137"/>
      <c r="E241" s="66"/>
      <c r="F241" s="147"/>
      <c r="G241" s="137"/>
      <c r="H241" s="137"/>
      <c r="I241" s="137"/>
      <c r="J241" s="66"/>
      <c r="K241" s="107"/>
      <c r="L241" s="66"/>
      <c r="M241" s="66"/>
      <c r="N241" s="66"/>
      <c r="O241" s="172"/>
      <c r="P241" s="104"/>
      <c r="Q241" s="106"/>
      <c r="R241" s="106"/>
      <c r="S241" s="66"/>
      <c r="T241" s="106"/>
      <c r="U241" s="66"/>
      <c r="V241" s="66"/>
      <c r="W241" s="66"/>
      <c r="X241" s="106"/>
      <c r="Y241" s="66"/>
      <c r="Z241" s="66"/>
      <c r="AA241" s="81"/>
      <c r="AB241" s="81"/>
    </row>
    <row r="242">
      <c r="A242" s="81"/>
      <c r="B242" s="66"/>
      <c r="C242" s="106"/>
      <c r="D242" s="137"/>
      <c r="E242" s="66"/>
      <c r="F242" s="147"/>
      <c r="G242" s="137"/>
      <c r="H242" s="137"/>
      <c r="I242" s="137"/>
      <c r="J242" s="66"/>
      <c r="K242" s="107"/>
      <c r="L242" s="66"/>
      <c r="M242" s="66"/>
      <c r="N242" s="66"/>
      <c r="O242" s="172"/>
      <c r="P242" s="104"/>
      <c r="Q242" s="106"/>
      <c r="R242" s="106"/>
      <c r="S242" s="66"/>
      <c r="T242" s="106"/>
      <c r="U242" s="66"/>
      <c r="V242" s="66"/>
      <c r="W242" s="66"/>
      <c r="X242" s="106"/>
      <c r="Y242" s="66"/>
      <c r="Z242" s="66"/>
      <c r="AA242" s="81"/>
      <c r="AB242" s="81"/>
    </row>
    <row r="243">
      <c r="A243" s="81"/>
      <c r="B243" s="66"/>
      <c r="C243" s="106"/>
      <c r="D243" s="137"/>
      <c r="E243" s="66"/>
      <c r="F243" s="147"/>
      <c r="G243" s="137"/>
      <c r="H243" s="137"/>
      <c r="I243" s="137"/>
      <c r="J243" s="66"/>
      <c r="K243" s="107"/>
      <c r="L243" s="66"/>
      <c r="M243" s="66"/>
      <c r="N243" s="66"/>
      <c r="O243" s="172"/>
      <c r="P243" s="104"/>
      <c r="Q243" s="106"/>
      <c r="R243" s="106"/>
      <c r="S243" s="66"/>
      <c r="T243" s="106"/>
      <c r="U243" s="66"/>
      <c r="V243" s="66"/>
      <c r="W243" s="66"/>
      <c r="X243" s="106"/>
      <c r="Y243" s="66"/>
      <c r="Z243" s="66"/>
      <c r="AA243" s="81"/>
      <c r="AB243" s="81"/>
    </row>
    <row r="244">
      <c r="A244" s="81"/>
      <c r="B244" s="66"/>
      <c r="C244" s="106"/>
      <c r="D244" s="137"/>
      <c r="E244" s="66"/>
      <c r="F244" s="147"/>
      <c r="G244" s="137"/>
      <c r="H244" s="137"/>
      <c r="I244" s="137"/>
      <c r="J244" s="66"/>
      <c r="K244" s="107"/>
      <c r="L244" s="66"/>
      <c r="M244" s="66"/>
      <c r="N244" s="66"/>
      <c r="O244" s="172"/>
      <c r="P244" s="104"/>
      <c r="Q244" s="106"/>
      <c r="R244" s="106"/>
      <c r="S244" s="66"/>
      <c r="T244" s="106"/>
      <c r="U244" s="66"/>
      <c r="V244" s="66"/>
      <c r="W244" s="66"/>
      <c r="X244" s="106"/>
      <c r="Y244" s="66"/>
      <c r="Z244" s="66"/>
      <c r="AA244" s="81"/>
      <c r="AB244" s="81"/>
    </row>
    <row r="245">
      <c r="A245" s="81"/>
      <c r="B245" s="66"/>
      <c r="C245" s="106"/>
      <c r="D245" s="137"/>
      <c r="E245" s="66"/>
      <c r="F245" s="147"/>
      <c r="G245" s="137"/>
      <c r="H245" s="137"/>
      <c r="I245" s="137"/>
      <c r="J245" s="66"/>
      <c r="K245" s="107"/>
      <c r="L245" s="66"/>
      <c r="M245" s="66"/>
      <c r="N245" s="66"/>
      <c r="O245" s="172"/>
      <c r="P245" s="104"/>
      <c r="Q245" s="106"/>
      <c r="R245" s="106"/>
      <c r="S245" s="66"/>
      <c r="T245" s="106"/>
      <c r="U245" s="66"/>
      <c r="V245" s="66"/>
      <c r="W245" s="66"/>
      <c r="X245" s="106"/>
      <c r="Y245" s="66"/>
      <c r="Z245" s="66"/>
      <c r="AA245" s="81"/>
      <c r="AB245" s="81"/>
    </row>
    <row r="246">
      <c r="A246" s="81"/>
      <c r="B246" s="66"/>
      <c r="C246" s="106"/>
      <c r="D246" s="137"/>
      <c r="E246" s="66"/>
      <c r="F246" s="147"/>
      <c r="G246" s="137"/>
      <c r="H246" s="137"/>
      <c r="I246" s="137"/>
      <c r="J246" s="66"/>
      <c r="K246" s="107"/>
      <c r="L246" s="66"/>
      <c r="M246" s="66"/>
      <c r="N246" s="66"/>
      <c r="O246" s="172"/>
      <c r="P246" s="104"/>
      <c r="Q246" s="106"/>
      <c r="R246" s="106"/>
      <c r="S246" s="66"/>
      <c r="T246" s="106"/>
      <c r="U246" s="66"/>
      <c r="V246" s="66"/>
      <c r="W246" s="66"/>
      <c r="X246" s="106"/>
      <c r="Y246" s="66"/>
      <c r="Z246" s="66"/>
      <c r="AA246" s="81"/>
      <c r="AB246" s="81"/>
    </row>
    <row r="247">
      <c r="A247" s="81"/>
      <c r="B247" s="66"/>
      <c r="C247" s="106"/>
      <c r="D247" s="137"/>
      <c r="E247" s="66"/>
      <c r="F247" s="147"/>
      <c r="G247" s="137"/>
      <c r="H247" s="137"/>
      <c r="I247" s="137"/>
      <c r="J247" s="66"/>
      <c r="K247" s="107"/>
      <c r="L247" s="66"/>
      <c r="M247" s="66"/>
      <c r="N247" s="66"/>
      <c r="O247" s="172"/>
      <c r="P247" s="104"/>
      <c r="Q247" s="106"/>
      <c r="R247" s="106"/>
      <c r="S247" s="66"/>
      <c r="T247" s="106"/>
      <c r="U247" s="66"/>
      <c r="V247" s="66"/>
      <c r="W247" s="66"/>
      <c r="X247" s="106"/>
      <c r="Y247" s="66"/>
      <c r="Z247" s="66"/>
      <c r="AA247" s="81"/>
      <c r="AB247" s="81"/>
    </row>
    <row r="248">
      <c r="A248" s="81"/>
      <c r="B248" s="66"/>
      <c r="C248" s="106"/>
      <c r="D248" s="137"/>
      <c r="E248" s="66"/>
      <c r="F248" s="147"/>
      <c r="G248" s="137"/>
      <c r="H248" s="137"/>
      <c r="I248" s="137"/>
      <c r="J248" s="66"/>
      <c r="K248" s="107"/>
      <c r="L248" s="66"/>
      <c r="M248" s="66"/>
      <c r="N248" s="66"/>
      <c r="O248" s="172"/>
      <c r="P248" s="104"/>
      <c r="Q248" s="106"/>
      <c r="R248" s="106"/>
      <c r="S248" s="66"/>
      <c r="T248" s="106"/>
      <c r="U248" s="66"/>
      <c r="V248" s="66"/>
      <c r="W248" s="66"/>
      <c r="X248" s="106"/>
      <c r="Y248" s="66"/>
      <c r="Z248" s="66"/>
      <c r="AA248" s="81"/>
      <c r="AB248" s="81"/>
    </row>
    <row r="249">
      <c r="A249" s="81"/>
      <c r="B249" s="66"/>
      <c r="C249" s="106"/>
      <c r="D249" s="137"/>
      <c r="E249" s="66"/>
      <c r="F249" s="147"/>
      <c r="G249" s="137"/>
      <c r="H249" s="137"/>
      <c r="I249" s="137"/>
      <c r="J249" s="66"/>
      <c r="K249" s="107"/>
      <c r="L249" s="66"/>
      <c r="M249" s="66"/>
      <c r="N249" s="66"/>
      <c r="O249" s="172"/>
      <c r="P249" s="104"/>
      <c r="Q249" s="106"/>
      <c r="R249" s="106"/>
      <c r="S249" s="66"/>
      <c r="T249" s="106"/>
      <c r="U249" s="66"/>
      <c r="V249" s="66"/>
      <c r="W249" s="66"/>
      <c r="X249" s="106"/>
      <c r="Y249" s="66"/>
      <c r="Z249" s="66"/>
      <c r="AA249" s="81"/>
      <c r="AB249" s="81"/>
    </row>
    <row r="250">
      <c r="A250" s="81"/>
      <c r="B250" s="66"/>
      <c r="C250" s="106"/>
      <c r="D250" s="137"/>
      <c r="E250" s="66"/>
      <c r="F250" s="147"/>
      <c r="G250" s="137"/>
      <c r="H250" s="137"/>
      <c r="I250" s="137"/>
      <c r="J250" s="66"/>
      <c r="K250" s="107"/>
      <c r="L250" s="66"/>
      <c r="M250" s="66"/>
      <c r="N250" s="66"/>
      <c r="O250" s="172"/>
      <c r="P250" s="104"/>
      <c r="Q250" s="106"/>
      <c r="R250" s="106"/>
      <c r="S250" s="66"/>
      <c r="T250" s="106"/>
      <c r="U250" s="66"/>
      <c r="V250" s="66"/>
      <c r="W250" s="66"/>
      <c r="X250" s="106"/>
      <c r="Y250" s="66"/>
      <c r="Z250" s="66"/>
      <c r="AA250" s="81"/>
      <c r="AB250" s="81"/>
    </row>
    <row r="251">
      <c r="A251" s="81"/>
      <c r="B251" s="66"/>
      <c r="C251" s="106"/>
      <c r="D251" s="137"/>
      <c r="E251" s="66"/>
      <c r="F251" s="147"/>
      <c r="G251" s="137"/>
      <c r="H251" s="137"/>
      <c r="I251" s="137"/>
      <c r="J251" s="66"/>
      <c r="K251" s="107"/>
      <c r="L251" s="66"/>
      <c r="M251" s="66"/>
      <c r="N251" s="66"/>
      <c r="O251" s="172"/>
      <c r="P251" s="104"/>
      <c r="Q251" s="106"/>
      <c r="R251" s="106"/>
      <c r="S251" s="66"/>
      <c r="T251" s="106"/>
      <c r="U251" s="66"/>
      <c r="V251" s="66"/>
      <c r="W251" s="66"/>
      <c r="X251" s="106"/>
      <c r="Y251" s="66"/>
      <c r="Z251" s="66"/>
      <c r="AA251" s="81"/>
      <c r="AB251" s="81"/>
    </row>
    <row r="252">
      <c r="A252" s="81"/>
      <c r="B252" s="66"/>
      <c r="C252" s="106"/>
      <c r="D252" s="137"/>
      <c r="E252" s="66"/>
      <c r="F252" s="147"/>
      <c r="G252" s="137"/>
      <c r="H252" s="137"/>
      <c r="I252" s="137"/>
      <c r="J252" s="66"/>
      <c r="K252" s="107"/>
      <c r="L252" s="66"/>
      <c r="M252" s="66"/>
      <c r="N252" s="66"/>
      <c r="O252" s="172"/>
      <c r="P252" s="104"/>
      <c r="Q252" s="106"/>
      <c r="R252" s="106"/>
      <c r="S252" s="66"/>
      <c r="T252" s="106"/>
      <c r="U252" s="66"/>
      <c r="V252" s="66"/>
      <c r="W252" s="66"/>
      <c r="X252" s="106"/>
      <c r="Y252" s="66"/>
      <c r="Z252" s="66"/>
      <c r="AA252" s="81"/>
      <c r="AB252" s="81"/>
    </row>
    <row r="253">
      <c r="A253" s="81"/>
      <c r="B253" s="66"/>
      <c r="C253" s="106"/>
      <c r="D253" s="137"/>
      <c r="E253" s="66"/>
      <c r="F253" s="147"/>
      <c r="G253" s="137"/>
      <c r="H253" s="137"/>
      <c r="I253" s="137"/>
      <c r="J253" s="66"/>
      <c r="K253" s="107"/>
      <c r="L253" s="66"/>
      <c r="M253" s="66"/>
      <c r="N253" s="66"/>
      <c r="O253" s="172"/>
      <c r="P253" s="104"/>
      <c r="Q253" s="106"/>
      <c r="R253" s="106"/>
      <c r="S253" s="66"/>
      <c r="T253" s="106"/>
      <c r="U253" s="66"/>
      <c r="V253" s="66"/>
      <c r="W253" s="66"/>
      <c r="X253" s="106"/>
      <c r="Y253" s="66"/>
      <c r="Z253" s="66"/>
      <c r="AA253" s="81"/>
      <c r="AB253" s="81"/>
    </row>
    <row r="254">
      <c r="A254" s="81"/>
      <c r="B254" s="66"/>
      <c r="C254" s="106"/>
      <c r="D254" s="137"/>
      <c r="E254" s="66"/>
      <c r="F254" s="147"/>
      <c r="G254" s="137"/>
      <c r="H254" s="137"/>
      <c r="I254" s="137"/>
      <c r="J254" s="66"/>
      <c r="K254" s="107"/>
      <c r="L254" s="66"/>
      <c r="M254" s="66"/>
      <c r="N254" s="66"/>
      <c r="O254" s="172"/>
      <c r="P254" s="104"/>
      <c r="Q254" s="106"/>
      <c r="R254" s="106"/>
      <c r="S254" s="66"/>
      <c r="T254" s="106"/>
      <c r="U254" s="66"/>
      <c r="V254" s="66"/>
      <c r="W254" s="66"/>
      <c r="X254" s="106"/>
      <c r="Y254" s="66"/>
      <c r="Z254" s="66"/>
      <c r="AA254" s="81"/>
      <c r="AB254" s="81"/>
    </row>
    <row r="255">
      <c r="A255" s="81"/>
      <c r="B255" s="66"/>
      <c r="C255" s="106"/>
      <c r="D255" s="137"/>
      <c r="E255" s="66"/>
      <c r="F255" s="147"/>
      <c r="G255" s="137"/>
      <c r="H255" s="137"/>
      <c r="I255" s="137"/>
      <c r="J255" s="66"/>
      <c r="K255" s="107"/>
      <c r="L255" s="66"/>
      <c r="M255" s="66"/>
      <c r="N255" s="66"/>
      <c r="O255" s="172"/>
      <c r="P255" s="104"/>
      <c r="Q255" s="106"/>
      <c r="R255" s="106"/>
      <c r="S255" s="66"/>
      <c r="T255" s="106"/>
      <c r="U255" s="66"/>
      <c r="V255" s="66"/>
      <c r="W255" s="66"/>
      <c r="X255" s="106"/>
      <c r="Y255" s="66"/>
      <c r="Z255" s="66"/>
      <c r="AA255" s="81"/>
      <c r="AB255" s="81"/>
    </row>
    <row r="256">
      <c r="A256" s="81"/>
      <c r="B256" s="66"/>
      <c r="C256" s="106"/>
      <c r="D256" s="137"/>
      <c r="E256" s="66"/>
      <c r="F256" s="147"/>
      <c r="G256" s="137"/>
      <c r="H256" s="137"/>
      <c r="I256" s="137"/>
      <c r="J256" s="66"/>
      <c r="K256" s="107"/>
      <c r="L256" s="66"/>
      <c r="M256" s="66"/>
      <c r="N256" s="66"/>
      <c r="O256" s="172"/>
      <c r="P256" s="104"/>
      <c r="Q256" s="106"/>
      <c r="R256" s="106"/>
      <c r="S256" s="66"/>
      <c r="T256" s="106"/>
      <c r="U256" s="66"/>
      <c r="V256" s="66"/>
      <c r="W256" s="66"/>
      <c r="X256" s="106"/>
      <c r="Y256" s="66"/>
      <c r="Z256" s="66"/>
      <c r="AA256" s="81"/>
      <c r="AB256" s="81"/>
    </row>
    <row r="257">
      <c r="A257" s="81"/>
      <c r="B257" s="66"/>
      <c r="C257" s="106"/>
      <c r="D257" s="137"/>
      <c r="E257" s="66"/>
      <c r="F257" s="147"/>
      <c r="G257" s="137"/>
      <c r="H257" s="137"/>
      <c r="I257" s="137"/>
      <c r="J257" s="66"/>
      <c r="K257" s="107"/>
      <c r="L257" s="66"/>
      <c r="M257" s="66"/>
      <c r="N257" s="66"/>
      <c r="O257" s="172"/>
      <c r="P257" s="104"/>
      <c r="Q257" s="106"/>
      <c r="R257" s="106"/>
      <c r="S257" s="66"/>
      <c r="T257" s="106"/>
      <c r="U257" s="66"/>
      <c r="V257" s="66"/>
      <c r="W257" s="66"/>
      <c r="X257" s="106"/>
      <c r="Y257" s="66"/>
      <c r="Z257" s="66"/>
      <c r="AA257" s="81"/>
      <c r="AB257" s="81"/>
    </row>
    <row r="258">
      <c r="A258" s="81"/>
      <c r="B258" s="66"/>
      <c r="C258" s="106"/>
      <c r="D258" s="137"/>
      <c r="E258" s="66"/>
      <c r="F258" s="147"/>
      <c r="G258" s="137"/>
      <c r="H258" s="137"/>
      <c r="I258" s="137"/>
      <c r="J258" s="66"/>
      <c r="K258" s="107"/>
      <c r="L258" s="66"/>
      <c r="M258" s="66"/>
      <c r="N258" s="66"/>
      <c r="O258" s="172"/>
      <c r="P258" s="104"/>
      <c r="Q258" s="106"/>
      <c r="R258" s="106"/>
      <c r="S258" s="66"/>
      <c r="T258" s="106"/>
      <c r="U258" s="66"/>
      <c r="V258" s="66"/>
      <c r="W258" s="66"/>
      <c r="X258" s="106"/>
      <c r="Y258" s="66"/>
      <c r="Z258" s="66"/>
      <c r="AA258" s="81"/>
      <c r="AB258" s="81"/>
    </row>
    <row r="259">
      <c r="A259" s="81"/>
      <c r="B259" s="66"/>
      <c r="C259" s="106"/>
      <c r="D259" s="137"/>
      <c r="E259" s="66"/>
      <c r="F259" s="147"/>
      <c r="G259" s="137"/>
      <c r="H259" s="137"/>
      <c r="I259" s="137"/>
      <c r="J259" s="66"/>
      <c r="K259" s="107"/>
      <c r="L259" s="66"/>
      <c r="M259" s="66"/>
      <c r="N259" s="66"/>
      <c r="O259" s="172"/>
      <c r="P259" s="104"/>
      <c r="Q259" s="106"/>
      <c r="R259" s="106"/>
      <c r="S259" s="66"/>
      <c r="T259" s="106"/>
      <c r="U259" s="66"/>
      <c r="V259" s="66"/>
      <c r="W259" s="66"/>
      <c r="X259" s="106"/>
      <c r="Y259" s="66"/>
      <c r="Z259" s="66"/>
      <c r="AA259" s="81"/>
      <c r="AB259" s="81"/>
    </row>
    <row r="260">
      <c r="A260" s="81"/>
      <c r="B260" s="66"/>
      <c r="C260" s="106"/>
      <c r="D260" s="137"/>
      <c r="E260" s="66"/>
      <c r="F260" s="147"/>
      <c r="G260" s="137"/>
      <c r="H260" s="137"/>
      <c r="I260" s="137"/>
      <c r="J260" s="66"/>
      <c r="K260" s="107"/>
      <c r="L260" s="66"/>
      <c r="M260" s="66"/>
      <c r="N260" s="66"/>
      <c r="O260" s="172"/>
      <c r="P260" s="104"/>
      <c r="Q260" s="106"/>
      <c r="R260" s="106"/>
      <c r="S260" s="66"/>
      <c r="T260" s="106"/>
      <c r="U260" s="66"/>
      <c r="V260" s="66"/>
      <c r="W260" s="66"/>
      <c r="X260" s="106"/>
      <c r="Y260" s="66"/>
      <c r="Z260" s="66"/>
      <c r="AA260" s="81"/>
      <c r="AB260" s="81"/>
    </row>
    <row r="261">
      <c r="A261" s="81"/>
      <c r="B261" s="66"/>
      <c r="C261" s="106"/>
      <c r="D261" s="137"/>
      <c r="E261" s="66"/>
      <c r="F261" s="147"/>
      <c r="G261" s="137"/>
      <c r="H261" s="137"/>
      <c r="I261" s="137"/>
      <c r="J261" s="66"/>
      <c r="K261" s="107"/>
      <c r="L261" s="66"/>
      <c r="M261" s="66"/>
      <c r="N261" s="66"/>
      <c r="O261" s="172"/>
      <c r="P261" s="104"/>
      <c r="Q261" s="106"/>
      <c r="R261" s="106"/>
      <c r="S261" s="66"/>
      <c r="T261" s="106"/>
      <c r="U261" s="66"/>
      <c r="V261" s="66"/>
      <c r="W261" s="66"/>
      <c r="X261" s="106"/>
      <c r="Y261" s="66"/>
      <c r="Z261" s="66"/>
      <c r="AA261" s="81"/>
      <c r="AB261" s="81"/>
    </row>
    <row r="262">
      <c r="A262" s="81"/>
      <c r="B262" s="66"/>
      <c r="C262" s="106"/>
      <c r="D262" s="137"/>
      <c r="E262" s="66"/>
      <c r="F262" s="147"/>
      <c r="G262" s="137"/>
      <c r="H262" s="137"/>
      <c r="I262" s="137"/>
      <c r="J262" s="66"/>
      <c r="K262" s="107"/>
      <c r="L262" s="66"/>
      <c r="M262" s="66"/>
      <c r="N262" s="66"/>
      <c r="O262" s="172"/>
      <c r="P262" s="104"/>
      <c r="Q262" s="106"/>
      <c r="R262" s="106"/>
      <c r="S262" s="66"/>
      <c r="T262" s="106"/>
      <c r="U262" s="66"/>
      <c r="V262" s="66"/>
      <c r="W262" s="66"/>
      <c r="X262" s="106"/>
      <c r="Y262" s="66"/>
      <c r="Z262" s="66"/>
      <c r="AA262" s="81"/>
      <c r="AB262" s="81"/>
    </row>
    <row r="263">
      <c r="A263" s="81"/>
      <c r="B263" s="66"/>
      <c r="C263" s="106"/>
      <c r="D263" s="137"/>
      <c r="E263" s="66"/>
      <c r="F263" s="147"/>
      <c r="G263" s="137"/>
      <c r="H263" s="137"/>
      <c r="I263" s="137"/>
      <c r="J263" s="66"/>
      <c r="K263" s="107"/>
      <c r="L263" s="66"/>
      <c r="M263" s="66"/>
      <c r="N263" s="66"/>
      <c r="O263" s="172"/>
      <c r="P263" s="104"/>
      <c r="Q263" s="106"/>
      <c r="R263" s="106"/>
      <c r="S263" s="66"/>
      <c r="T263" s="106"/>
      <c r="U263" s="66"/>
      <c r="V263" s="66"/>
      <c r="W263" s="66"/>
      <c r="X263" s="106"/>
      <c r="Y263" s="66"/>
      <c r="Z263" s="66"/>
      <c r="AA263" s="81"/>
      <c r="AB263" s="81"/>
    </row>
    <row r="264">
      <c r="A264" s="81"/>
      <c r="B264" s="66"/>
      <c r="C264" s="106"/>
      <c r="D264" s="137"/>
      <c r="E264" s="66"/>
      <c r="F264" s="147"/>
      <c r="G264" s="137"/>
      <c r="H264" s="137"/>
      <c r="I264" s="137"/>
      <c r="J264" s="66"/>
      <c r="K264" s="107"/>
      <c r="L264" s="66"/>
      <c r="M264" s="66"/>
      <c r="N264" s="66"/>
      <c r="O264" s="172"/>
      <c r="P264" s="104"/>
      <c r="Q264" s="106"/>
      <c r="R264" s="106"/>
      <c r="S264" s="66"/>
      <c r="T264" s="106"/>
      <c r="U264" s="66"/>
      <c r="V264" s="66"/>
      <c r="W264" s="66"/>
      <c r="X264" s="106"/>
      <c r="Y264" s="66"/>
      <c r="Z264" s="66"/>
      <c r="AA264" s="81"/>
      <c r="AB264" s="81"/>
    </row>
    <row r="265">
      <c r="A265" s="81"/>
      <c r="B265" s="66"/>
      <c r="C265" s="106"/>
      <c r="D265" s="137"/>
      <c r="E265" s="66"/>
      <c r="F265" s="147"/>
      <c r="G265" s="137"/>
      <c r="H265" s="137"/>
      <c r="I265" s="137"/>
      <c r="J265" s="66"/>
      <c r="K265" s="107"/>
      <c r="L265" s="66"/>
      <c r="M265" s="66"/>
      <c r="N265" s="66"/>
      <c r="O265" s="172"/>
      <c r="P265" s="104"/>
      <c r="Q265" s="106"/>
      <c r="R265" s="106"/>
      <c r="S265" s="66"/>
      <c r="T265" s="106"/>
      <c r="U265" s="66"/>
      <c r="V265" s="66"/>
      <c r="W265" s="66"/>
      <c r="X265" s="106"/>
      <c r="Y265" s="66"/>
      <c r="Z265" s="66"/>
      <c r="AA265" s="81"/>
      <c r="AB265" s="81"/>
    </row>
    <row r="266">
      <c r="A266" s="81"/>
      <c r="B266" s="66"/>
      <c r="C266" s="106"/>
      <c r="D266" s="137"/>
      <c r="E266" s="66"/>
      <c r="F266" s="147"/>
      <c r="G266" s="137"/>
      <c r="H266" s="137"/>
      <c r="I266" s="137"/>
      <c r="J266" s="66"/>
      <c r="K266" s="107"/>
      <c r="L266" s="66"/>
      <c r="M266" s="66"/>
      <c r="N266" s="66"/>
      <c r="O266" s="172"/>
      <c r="P266" s="104"/>
      <c r="Q266" s="106"/>
      <c r="R266" s="106"/>
      <c r="S266" s="66"/>
      <c r="T266" s="106"/>
      <c r="U266" s="66"/>
      <c r="V266" s="66"/>
      <c r="W266" s="66"/>
      <c r="X266" s="106"/>
      <c r="Y266" s="66"/>
      <c r="Z266" s="66"/>
      <c r="AA266" s="81"/>
      <c r="AB266" s="81"/>
    </row>
    <row r="267">
      <c r="A267" s="81"/>
      <c r="B267" s="66"/>
      <c r="C267" s="106"/>
      <c r="D267" s="137"/>
      <c r="E267" s="66"/>
      <c r="F267" s="147"/>
      <c r="G267" s="137"/>
      <c r="H267" s="137"/>
      <c r="I267" s="137"/>
      <c r="J267" s="66"/>
      <c r="K267" s="107"/>
      <c r="L267" s="66"/>
      <c r="M267" s="66"/>
      <c r="N267" s="66"/>
      <c r="O267" s="172"/>
      <c r="P267" s="104"/>
      <c r="Q267" s="106"/>
      <c r="R267" s="106"/>
      <c r="S267" s="66"/>
      <c r="T267" s="106"/>
      <c r="U267" s="66"/>
      <c r="V267" s="66"/>
      <c r="W267" s="66"/>
      <c r="X267" s="106"/>
      <c r="Y267" s="66"/>
      <c r="Z267" s="66"/>
      <c r="AA267" s="81"/>
      <c r="AB267" s="81"/>
    </row>
    <row r="268">
      <c r="A268" s="81"/>
      <c r="B268" s="66"/>
      <c r="C268" s="106"/>
      <c r="D268" s="137"/>
      <c r="E268" s="66"/>
      <c r="F268" s="147"/>
      <c r="G268" s="137"/>
      <c r="H268" s="137"/>
      <c r="I268" s="137"/>
      <c r="J268" s="66"/>
      <c r="K268" s="107"/>
      <c r="L268" s="66"/>
      <c r="M268" s="66"/>
      <c r="N268" s="66"/>
      <c r="O268" s="172"/>
      <c r="P268" s="104"/>
      <c r="Q268" s="106"/>
      <c r="R268" s="106"/>
      <c r="S268" s="66"/>
      <c r="T268" s="106"/>
      <c r="U268" s="66"/>
      <c r="V268" s="66"/>
      <c r="W268" s="66"/>
      <c r="X268" s="106"/>
      <c r="Y268" s="66"/>
      <c r="Z268" s="66"/>
      <c r="AA268" s="81"/>
      <c r="AB268" s="81"/>
    </row>
    <row r="269">
      <c r="A269" s="81"/>
      <c r="B269" s="66"/>
      <c r="C269" s="106"/>
      <c r="D269" s="137"/>
      <c r="E269" s="66"/>
      <c r="F269" s="147"/>
      <c r="G269" s="137"/>
      <c r="H269" s="137"/>
      <c r="I269" s="137"/>
      <c r="J269" s="66"/>
      <c r="K269" s="107"/>
      <c r="L269" s="66"/>
      <c r="M269" s="66"/>
      <c r="N269" s="66"/>
      <c r="O269" s="172"/>
      <c r="P269" s="104"/>
      <c r="Q269" s="106"/>
      <c r="R269" s="106"/>
      <c r="S269" s="66"/>
      <c r="T269" s="106"/>
      <c r="U269" s="66"/>
      <c r="V269" s="66"/>
      <c r="W269" s="66"/>
      <c r="X269" s="106"/>
      <c r="Y269" s="66"/>
      <c r="Z269" s="66"/>
      <c r="AA269" s="81"/>
      <c r="AB269" s="81"/>
    </row>
    <row r="270">
      <c r="A270" s="81"/>
      <c r="B270" s="66"/>
      <c r="C270" s="106"/>
      <c r="D270" s="137"/>
      <c r="E270" s="66"/>
      <c r="F270" s="147"/>
      <c r="G270" s="137"/>
      <c r="H270" s="137"/>
      <c r="I270" s="137"/>
      <c r="J270" s="66"/>
      <c r="K270" s="107"/>
      <c r="L270" s="66"/>
      <c r="M270" s="66"/>
      <c r="N270" s="66"/>
      <c r="O270" s="172"/>
      <c r="P270" s="104"/>
      <c r="Q270" s="106"/>
      <c r="R270" s="106"/>
      <c r="S270" s="66"/>
      <c r="T270" s="106"/>
      <c r="U270" s="66"/>
      <c r="V270" s="66"/>
      <c r="W270" s="66"/>
      <c r="X270" s="106"/>
      <c r="Y270" s="66"/>
      <c r="Z270" s="66"/>
      <c r="AA270" s="81"/>
      <c r="AB270" s="81"/>
    </row>
    <row r="271">
      <c r="A271" s="81"/>
      <c r="B271" s="66"/>
      <c r="C271" s="106"/>
      <c r="D271" s="137"/>
      <c r="E271" s="66"/>
      <c r="F271" s="147"/>
      <c r="G271" s="137"/>
      <c r="H271" s="137"/>
      <c r="I271" s="137"/>
      <c r="J271" s="66"/>
      <c r="K271" s="107"/>
      <c r="L271" s="66"/>
      <c r="M271" s="66"/>
      <c r="N271" s="66"/>
      <c r="O271" s="172"/>
      <c r="P271" s="104"/>
      <c r="Q271" s="106"/>
      <c r="R271" s="106"/>
      <c r="S271" s="66"/>
      <c r="T271" s="106"/>
      <c r="U271" s="66"/>
      <c r="V271" s="66"/>
      <c r="W271" s="66"/>
      <c r="X271" s="106"/>
      <c r="Y271" s="66"/>
      <c r="Z271" s="66"/>
      <c r="AA271" s="81"/>
      <c r="AB271" s="81"/>
    </row>
    <row r="272">
      <c r="A272" s="81"/>
      <c r="B272" s="66"/>
      <c r="C272" s="106"/>
      <c r="D272" s="137"/>
      <c r="E272" s="66"/>
      <c r="F272" s="147"/>
      <c r="G272" s="137"/>
      <c r="H272" s="137"/>
      <c r="I272" s="137"/>
      <c r="J272" s="66"/>
      <c r="K272" s="107"/>
      <c r="L272" s="66"/>
      <c r="M272" s="66"/>
      <c r="N272" s="66"/>
      <c r="O272" s="172"/>
      <c r="P272" s="104"/>
      <c r="Q272" s="106"/>
      <c r="R272" s="106"/>
      <c r="S272" s="66"/>
      <c r="T272" s="106"/>
      <c r="U272" s="66"/>
      <c r="V272" s="66"/>
      <c r="W272" s="66"/>
      <c r="X272" s="106"/>
      <c r="Y272" s="66"/>
      <c r="Z272" s="66"/>
      <c r="AA272" s="81"/>
      <c r="AB272" s="81"/>
    </row>
    <row r="273">
      <c r="A273" s="81"/>
      <c r="B273" s="66"/>
      <c r="C273" s="106"/>
      <c r="D273" s="137"/>
      <c r="E273" s="66"/>
      <c r="F273" s="147"/>
      <c r="G273" s="137"/>
      <c r="H273" s="137"/>
      <c r="I273" s="137"/>
      <c r="J273" s="66"/>
      <c r="K273" s="107"/>
      <c r="L273" s="66"/>
      <c r="M273" s="66"/>
      <c r="N273" s="66"/>
      <c r="O273" s="172"/>
      <c r="P273" s="104"/>
      <c r="Q273" s="106"/>
      <c r="R273" s="106"/>
      <c r="S273" s="66"/>
      <c r="T273" s="106"/>
      <c r="U273" s="66"/>
      <c r="V273" s="66"/>
      <c r="W273" s="66"/>
      <c r="X273" s="106"/>
      <c r="Y273" s="66"/>
      <c r="Z273" s="66"/>
      <c r="AA273" s="81"/>
      <c r="AB273" s="81"/>
    </row>
    <row r="274">
      <c r="A274" s="81"/>
      <c r="B274" s="66"/>
      <c r="C274" s="106"/>
      <c r="D274" s="137"/>
      <c r="E274" s="66"/>
      <c r="F274" s="147"/>
      <c r="G274" s="137"/>
      <c r="H274" s="137"/>
      <c r="I274" s="137"/>
      <c r="J274" s="66"/>
      <c r="K274" s="107"/>
      <c r="L274" s="66"/>
      <c r="M274" s="66"/>
      <c r="N274" s="66"/>
      <c r="O274" s="172"/>
      <c r="P274" s="104"/>
      <c r="Q274" s="106"/>
      <c r="R274" s="106"/>
      <c r="S274" s="66"/>
      <c r="T274" s="106"/>
      <c r="U274" s="66"/>
      <c r="V274" s="66"/>
      <c r="W274" s="66"/>
      <c r="X274" s="106"/>
      <c r="Y274" s="66"/>
      <c r="Z274" s="66"/>
      <c r="AA274" s="81"/>
      <c r="AB274" s="81"/>
    </row>
    <row r="275">
      <c r="A275" s="81"/>
      <c r="B275" s="66"/>
      <c r="C275" s="106"/>
      <c r="D275" s="137"/>
      <c r="E275" s="66"/>
      <c r="F275" s="147"/>
      <c r="G275" s="137"/>
      <c r="H275" s="137"/>
      <c r="I275" s="137"/>
      <c r="J275" s="66"/>
      <c r="K275" s="107"/>
      <c r="L275" s="66"/>
      <c r="M275" s="66"/>
      <c r="N275" s="66"/>
      <c r="O275" s="172"/>
      <c r="P275" s="104"/>
      <c r="Q275" s="106"/>
      <c r="R275" s="106"/>
      <c r="S275" s="66"/>
      <c r="T275" s="106"/>
      <c r="U275" s="66"/>
      <c r="V275" s="66"/>
      <c r="W275" s="66"/>
      <c r="X275" s="106"/>
      <c r="Y275" s="66"/>
      <c r="Z275" s="66"/>
      <c r="AA275" s="81"/>
      <c r="AB275" s="81"/>
    </row>
    <row r="276">
      <c r="A276" s="81"/>
      <c r="B276" s="66"/>
      <c r="C276" s="106"/>
      <c r="D276" s="137"/>
      <c r="E276" s="66"/>
      <c r="F276" s="147"/>
      <c r="G276" s="137"/>
      <c r="H276" s="137"/>
      <c r="I276" s="137"/>
      <c r="J276" s="66"/>
      <c r="K276" s="107"/>
      <c r="L276" s="66"/>
      <c r="M276" s="66"/>
      <c r="N276" s="66"/>
      <c r="O276" s="172"/>
      <c r="P276" s="104"/>
      <c r="Q276" s="106"/>
      <c r="R276" s="106"/>
      <c r="S276" s="66"/>
      <c r="T276" s="106"/>
      <c r="U276" s="66"/>
      <c r="V276" s="66"/>
      <c r="W276" s="66"/>
      <c r="X276" s="106"/>
      <c r="Y276" s="66"/>
      <c r="Z276" s="66"/>
      <c r="AA276" s="81"/>
      <c r="AB276" s="81"/>
    </row>
    <row r="277">
      <c r="A277" s="81"/>
      <c r="B277" s="66"/>
      <c r="C277" s="106"/>
      <c r="D277" s="137"/>
      <c r="E277" s="66"/>
      <c r="F277" s="147"/>
      <c r="G277" s="137"/>
      <c r="H277" s="137"/>
      <c r="I277" s="137"/>
      <c r="J277" s="66"/>
      <c r="K277" s="107"/>
      <c r="L277" s="66"/>
      <c r="M277" s="66"/>
      <c r="N277" s="66"/>
      <c r="O277" s="172"/>
      <c r="P277" s="104"/>
      <c r="Q277" s="106"/>
      <c r="R277" s="106"/>
      <c r="S277" s="66"/>
      <c r="T277" s="106"/>
      <c r="U277" s="66"/>
      <c r="V277" s="66"/>
      <c r="W277" s="66"/>
      <c r="X277" s="106"/>
      <c r="Y277" s="66"/>
      <c r="Z277" s="66"/>
      <c r="AA277" s="81"/>
      <c r="AB277" s="81"/>
    </row>
    <row r="278">
      <c r="A278" s="81"/>
      <c r="B278" s="66"/>
      <c r="C278" s="106"/>
      <c r="D278" s="137"/>
      <c r="E278" s="66"/>
      <c r="F278" s="147"/>
      <c r="G278" s="137"/>
      <c r="H278" s="137"/>
      <c r="I278" s="137"/>
      <c r="J278" s="66"/>
      <c r="K278" s="107"/>
      <c r="L278" s="66"/>
      <c r="M278" s="66"/>
      <c r="N278" s="66"/>
      <c r="O278" s="172"/>
      <c r="P278" s="104"/>
      <c r="Q278" s="106"/>
      <c r="R278" s="106"/>
      <c r="S278" s="66"/>
      <c r="T278" s="106"/>
      <c r="U278" s="66"/>
      <c r="V278" s="66"/>
      <c r="W278" s="66"/>
      <c r="X278" s="106"/>
      <c r="Y278" s="66"/>
      <c r="Z278" s="66"/>
      <c r="AA278" s="81"/>
      <c r="AB278" s="81"/>
    </row>
    <row r="279">
      <c r="A279" s="81"/>
      <c r="B279" s="66"/>
      <c r="C279" s="106"/>
      <c r="D279" s="137"/>
      <c r="E279" s="66"/>
      <c r="F279" s="147"/>
      <c r="G279" s="137"/>
      <c r="H279" s="137"/>
      <c r="I279" s="137"/>
      <c r="J279" s="66"/>
      <c r="K279" s="107"/>
      <c r="L279" s="66"/>
      <c r="M279" s="66"/>
      <c r="N279" s="66"/>
      <c r="O279" s="172"/>
      <c r="P279" s="104"/>
      <c r="Q279" s="106"/>
      <c r="R279" s="106"/>
      <c r="S279" s="66"/>
      <c r="T279" s="106"/>
      <c r="U279" s="66"/>
      <c r="V279" s="66"/>
      <c r="W279" s="66"/>
      <c r="X279" s="106"/>
      <c r="Y279" s="66"/>
      <c r="Z279" s="66"/>
      <c r="AA279" s="81"/>
      <c r="AB279" s="81"/>
    </row>
    <row r="280">
      <c r="A280" s="81"/>
      <c r="B280" s="66"/>
      <c r="C280" s="106"/>
      <c r="D280" s="137"/>
      <c r="E280" s="66"/>
      <c r="F280" s="147"/>
      <c r="G280" s="137"/>
      <c r="H280" s="137"/>
      <c r="I280" s="137"/>
      <c r="J280" s="66"/>
      <c r="K280" s="107"/>
      <c r="L280" s="66"/>
      <c r="M280" s="66"/>
      <c r="N280" s="66"/>
      <c r="O280" s="172"/>
      <c r="P280" s="104"/>
      <c r="Q280" s="106"/>
      <c r="R280" s="106"/>
      <c r="S280" s="66"/>
      <c r="T280" s="106"/>
      <c r="U280" s="66"/>
      <c r="V280" s="66"/>
      <c r="W280" s="66"/>
      <c r="X280" s="106"/>
      <c r="Y280" s="66"/>
      <c r="Z280" s="66"/>
      <c r="AA280" s="81"/>
      <c r="AB280" s="81"/>
    </row>
    <row r="281">
      <c r="A281" s="81"/>
      <c r="B281" s="66"/>
      <c r="C281" s="106"/>
      <c r="D281" s="137"/>
      <c r="E281" s="66"/>
      <c r="F281" s="147"/>
      <c r="G281" s="137"/>
      <c r="H281" s="137"/>
      <c r="I281" s="137"/>
      <c r="J281" s="66"/>
      <c r="K281" s="107"/>
      <c r="L281" s="66"/>
      <c r="M281" s="66"/>
      <c r="N281" s="66"/>
      <c r="O281" s="172"/>
      <c r="P281" s="104"/>
      <c r="Q281" s="106"/>
      <c r="R281" s="106"/>
      <c r="S281" s="66"/>
      <c r="T281" s="106"/>
      <c r="U281" s="66"/>
      <c r="V281" s="66"/>
      <c r="W281" s="66"/>
      <c r="X281" s="106"/>
      <c r="Y281" s="66"/>
      <c r="Z281" s="66"/>
      <c r="AA281" s="81"/>
      <c r="AB281" s="81"/>
    </row>
    <row r="282">
      <c r="A282" s="81"/>
      <c r="B282" s="66"/>
      <c r="C282" s="106"/>
      <c r="D282" s="137"/>
      <c r="E282" s="66"/>
      <c r="F282" s="147"/>
      <c r="G282" s="137"/>
      <c r="H282" s="137"/>
      <c r="I282" s="137"/>
      <c r="J282" s="66"/>
      <c r="K282" s="107"/>
      <c r="L282" s="66"/>
      <c r="M282" s="66"/>
      <c r="N282" s="66"/>
      <c r="O282" s="172"/>
      <c r="P282" s="104"/>
      <c r="Q282" s="106"/>
      <c r="R282" s="106"/>
      <c r="S282" s="66"/>
      <c r="T282" s="106"/>
      <c r="U282" s="66"/>
      <c r="V282" s="66"/>
      <c r="W282" s="66"/>
      <c r="X282" s="106"/>
      <c r="Y282" s="66"/>
      <c r="Z282" s="66"/>
      <c r="AA282" s="81"/>
      <c r="AB282" s="81"/>
    </row>
    <row r="283">
      <c r="A283" s="81"/>
      <c r="B283" s="66"/>
      <c r="C283" s="106"/>
      <c r="D283" s="137"/>
      <c r="E283" s="66"/>
      <c r="F283" s="147"/>
      <c r="G283" s="137"/>
      <c r="H283" s="137"/>
      <c r="I283" s="137"/>
      <c r="J283" s="66"/>
      <c r="K283" s="107"/>
      <c r="L283" s="66"/>
      <c r="M283" s="66"/>
      <c r="N283" s="66"/>
      <c r="O283" s="172"/>
      <c r="P283" s="104"/>
      <c r="Q283" s="106"/>
      <c r="R283" s="106"/>
      <c r="S283" s="66"/>
      <c r="T283" s="106"/>
      <c r="U283" s="66"/>
      <c r="V283" s="66"/>
      <c r="W283" s="66"/>
      <c r="X283" s="106"/>
      <c r="Y283" s="66"/>
      <c r="Z283" s="66"/>
      <c r="AA283" s="81"/>
      <c r="AB283" s="81"/>
    </row>
    <row r="284">
      <c r="A284" s="81"/>
      <c r="B284" s="66"/>
      <c r="C284" s="106"/>
      <c r="D284" s="137"/>
      <c r="E284" s="66"/>
      <c r="F284" s="147"/>
      <c r="G284" s="137"/>
      <c r="H284" s="137"/>
      <c r="I284" s="137"/>
      <c r="J284" s="66"/>
      <c r="K284" s="107"/>
      <c r="L284" s="66"/>
      <c r="M284" s="66"/>
      <c r="N284" s="66"/>
      <c r="O284" s="172"/>
      <c r="P284" s="104"/>
      <c r="Q284" s="106"/>
      <c r="R284" s="106"/>
      <c r="S284" s="66"/>
      <c r="T284" s="106"/>
      <c r="U284" s="66"/>
      <c r="V284" s="66"/>
      <c r="W284" s="66"/>
      <c r="X284" s="106"/>
      <c r="Y284" s="66"/>
      <c r="Z284" s="66"/>
      <c r="AA284" s="81"/>
      <c r="AB284" s="81"/>
    </row>
    <row r="285">
      <c r="A285" s="81"/>
      <c r="B285" s="66"/>
      <c r="C285" s="106"/>
      <c r="D285" s="137"/>
      <c r="E285" s="66"/>
      <c r="F285" s="147"/>
      <c r="G285" s="137"/>
      <c r="H285" s="137"/>
      <c r="I285" s="137"/>
      <c r="J285" s="66"/>
      <c r="K285" s="107"/>
      <c r="L285" s="66"/>
      <c r="M285" s="66"/>
      <c r="N285" s="66"/>
      <c r="O285" s="172"/>
      <c r="P285" s="104"/>
      <c r="Q285" s="106"/>
      <c r="R285" s="106"/>
      <c r="S285" s="66"/>
      <c r="T285" s="106"/>
      <c r="U285" s="66"/>
      <c r="V285" s="66"/>
      <c r="W285" s="66"/>
      <c r="X285" s="106"/>
      <c r="Y285" s="66"/>
      <c r="Z285" s="66"/>
      <c r="AA285" s="81"/>
      <c r="AB285" s="81"/>
    </row>
    <row r="286">
      <c r="A286" s="81"/>
      <c r="B286" s="66"/>
      <c r="C286" s="106"/>
      <c r="D286" s="137"/>
      <c r="E286" s="66"/>
      <c r="F286" s="147"/>
      <c r="G286" s="137"/>
      <c r="H286" s="137"/>
      <c r="I286" s="137"/>
      <c r="J286" s="66"/>
      <c r="K286" s="107"/>
      <c r="L286" s="66"/>
      <c r="M286" s="66"/>
      <c r="N286" s="66"/>
      <c r="O286" s="172"/>
      <c r="P286" s="104"/>
      <c r="Q286" s="106"/>
      <c r="R286" s="106"/>
      <c r="S286" s="66"/>
      <c r="T286" s="106"/>
      <c r="U286" s="66"/>
      <c r="V286" s="66"/>
      <c r="W286" s="66"/>
      <c r="X286" s="106"/>
      <c r="Y286" s="66"/>
      <c r="Z286" s="66"/>
      <c r="AA286" s="81"/>
      <c r="AB286" s="81"/>
    </row>
    <row r="287">
      <c r="A287" s="81"/>
      <c r="B287" s="66"/>
      <c r="C287" s="106"/>
      <c r="D287" s="137"/>
      <c r="E287" s="66"/>
      <c r="F287" s="147"/>
      <c r="G287" s="137"/>
      <c r="H287" s="137"/>
      <c r="I287" s="137"/>
      <c r="J287" s="66"/>
      <c r="K287" s="107"/>
      <c r="L287" s="66"/>
      <c r="M287" s="66"/>
      <c r="N287" s="66"/>
      <c r="O287" s="172"/>
      <c r="P287" s="104"/>
      <c r="Q287" s="106"/>
      <c r="R287" s="106"/>
      <c r="S287" s="66"/>
      <c r="T287" s="106"/>
      <c r="U287" s="66"/>
      <c r="V287" s="66"/>
      <c r="W287" s="66"/>
      <c r="X287" s="106"/>
      <c r="Y287" s="66"/>
      <c r="Z287" s="66"/>
      <c r="AA287" s="81"/>
      <c r="AB287" s="81"/>
    </row>
    <row r="288">
      <c r="A288" s="81"/>
      <c r="B288" s="66"/>
      <c r="C288" s="106"/>
      <c r="D288" s="137"/>
      <c r="E288" s="66"/>
      <c r="F288" s="147"/>
      <c r="G288" s="137"/>
      <c r="H288" s="137"/>
      <c r="I288" s="137"/>
      <c r="J288" s="66"/>
      <c r="K288" s="107"/>
      <c r="L288" s="66"/>
      <c r="M288" s="66"/>
      <c r="N288" s="66"/>
      <c r="O288" s="172"/>
      <c r="P288" s="104"/>
      <c r="Q288" s="106"/>
      <c r="R288" s="106"/>
      <c r="S288" s="66"/>
      <c r="T288" s="106"/>
      <c r="U288" s="66"/>
      <c r="V288" s="66"/>
      <c r="W288" s="66"/>
      <c r="X288" s="106"/>
      <c r="Y288" s="66"/>
      <c r="Z288" s="66"/>
      <c r="AA288" s="81"/>
      <c r="AB288" s="81"/>
    </row>
    <row r="289">
      <c r="A289" s="81"/>
      <c r="B289" s="66"/>
      <c r="C289" s="106"/>
      <c r="D289" s="137"/>
      <c r="E289" s="66"/>
      <c r="F289" s="147"/>
      <c r="G289" s="137"/>
      <c r="H289" s="137"/>
      <c r="I289" s="137"/>
      <c r="J289" s="66"/>
      <c r="K289" s="107"/>
      <c r="L289" s="66"/>
      <c r="M289" s="66"/>
      <c r="N289" s="66"/>
      <c r="O289" s="172"/>
      <c r="P289" s="104"/>
      <c r="Q289" s="106"/>
      <c r="R289" s="106"/>
      <c r="S289" s="66"/>
      <c r="T289" s="106"/>
      <c r="U289" s="66"/>
      <c r="V289" s="66"/>
      <c r="W289" s="66"/>
      <c r="X289" s="106"/>
      <c r="Y289" s="66"/>
      <c r="Z289" s="66"/>
      <c r="AA289" s="81"/>
      <c r="AB289" s="81"/>
    </row>
    <row r="290">
      <c r="A290" s="81"/>
      <c r="B290" s="66"/>
      <c r="C290" s="106"/>
      <c r="D290" s="137"/>
      <c r="E290" s="66"/>
      <c r="F290" s="147"/>
      <c r="G290" s="137"/>
      <c r="H290" s="137"/>
      <c r="I290" s="137"/>
      <c r="J290" s="66"/>
      <c r="K290" s="107"/>
      <c r="L290" s="66"/>
      <c r="M290" s="66"/>
      <c r="N290" s="66"/>
      <c r="O290" s="172"/>
      <c r="P290" s="104"/>
      <c r="Q290" s="106"/>
      <c r="R290" s="106"/>
      <c r="S290" s="66"/>
      <c r="T290" s="106"/>
      <c r="U290" s="66"/>
      <c r="V290" s="66"/>
      <c r="W290" s="66"/>
      <c r="X290" s="106"/>
      <c r="Y290" s="66"/>
      <c r="Z290" s="66"/>
      <c r="AA290" s="81"/>
      <c r="AB290" s="81"/>
    </row>
    <row r="291">
      <c r="A291" s="81"/>
      <c r="B291" s="66"/>
      <c r="C291" s="106"/>
      <c r="D291" s="137"/>
      <c r="E291" s="66"/>
      <c r="F291" s="147"/>
      <c r="G291" s="137"/>
      <c r="H291" s="137"/>
      <c r="I291" s="137"/>
      <c r="J291" s="66"/>
      <c r="K291" s="107"/>
      <c r="L291" s="66"/>
      <c r="M291" s="66"/>
      <c r="N291" s="66"/>
      <c r="O291" s="172"/>
      <c r="P291" s="104"/>
      <c r="Q291" s="106"/>
      <c r="R291" s="106"/>
      <c r="S291" s="66"/>
      <c r="T291" s="106"/>
      <c r="U291" s="66"/>
      <c r="V291" s="66"/>
      <c r="W291" s="66"/>
      <c r="X291" s="106"/>
      <c r="Y291" s="66"/>
      <c r="Z291" s="66"/>
      <c r="AA291" s="81"/>
      <c r="AB291" s="81"/>
    </row>
    <row r="292">
      <c r="A292" s="81"/>
      <c r="B292" s="66"/>
      <c r="C292" s="106"/>
      <c r="D292" s="137"/>
      <c r="E292" s="66"/>
      <c r="F292" s="147"/>
      <c r="G292" s="137"/>
      <c r="H292" s="137"/>
      <c r="I292" s="137"/>
      <c r="J292" s="66"/>
      <c r="K292" s="107"/>
      <c r="L292" s="66"/>
      <c r="M292" s="66"/>
      <c r="N292" s="66"/>
      <c r="O292" s="172"/>
      <c r="P292" s="104"/>
      <c r="Q292" s="106"/>
      <c r="R292" s="106"/>
      <c r="S292" s="66"/>
      <c r="T292" s="106"/>
      <c r="U292" s="66"/>
      <c r="V292" s="66"/>
      <c r="W292" s="66"/>
      <c r="X292" s="106"/>
      <c r="Y292" s="66"/>
      <c r="Z292" s="66"/>
      <c r="AA292" s="81"/>
      <c r="AB292" s="81"/>
    </row>
    <row r="293">
      <c r="A293" s="81"/>
      <c r="B293" s="66"/>
      <c r="C293" s="106"/>
      <c r="D293" s="137"/>
      <c r="E293" s="66"/>
      <c r="F293" s="147"/>
      <c r="G293" s="137"/>
      <c r="H293" s="137"/>
      <c r="I293" s="137"/>
      <c r="J293" s="66"/>
      <c r="K293" s="107"/>
      <c r="L293" s="66"/>
      <c r="M293" s="66"/>
      <c r="N293" s="66"/>
      <c r="O293" s="172"/>
      <c r="P293" s="104"/>
      <c r="Q293" s="106"/>
      <c r="R293" s="106"/>
      <c r="S293" s="66"/>
      <c r="T293" s="106"/>
      <c r="U293" s="66"/>
      <c r="V293" s="66"/>
      <c r="W293" s="66"/>
      <c r="X293" s="106"/>
      <c r="Y293" s="66"/>
      <c r="Z293" s="66"/>
      <c r="AA293" s="81"/>
      <c r="AB293" s="81"/>
    </row>
    <row r="294">
      <c r="A294" s="81"/>
      <c r="B294" s="66"/>
      <c r="C294" s="106"/>
      <c r="D294" s="137"/>
      <c r="E294" s="66"/>
      <c r="F294" s="147"/>
      <c r="G294" s="137"/>
      <c r="H294" s="137"/>
      <c r="I294" s="137"/>
      <c r="J294" s="66"/>
      <c r="K294" s="107"/>
      <c r="L294" s="66"/>
      <c r="M294" s="66"/>
      <c r="N294" s="66"/>
      <c r="O294" s="172"/>
      <c r="P294" s="104"/>
      <c r="Q294" s="106"/>
      <c r="R294" s="106"/>
      <c r="S294" s="66"/>
      <c r="T294" s="106"/>
      <c r="U294" s="66"/>
      <c r="V294" s="66"/>
      <c r="W294" s="66"/>
      <c r="X294" s="106"/>
      <c r="Y294" s="66"/>
      <c r="Z294" s="66"/>
      <c r="AA294" s="81"/>
      <c r="AB294" s="81"/>
    </row>
    <row r="295">
      <c r="A295" s="81"/>
      <c r="B295" s="66"/>
      <c r="C295" s="106"/>
      <c r="D295" s="137"/>
      <c r="E295" s="66"/>
      <c r="F295" s="147"/>
      <c r="G295" s="137"/>
      <c r="H295" s="137"/>
      <c r="I295" s="137"/>
      <c r="J295" s="66"/>
      <c r="K295" s="107"/>
      <c r="L295" s="66"/>
      <c r="M295" s="66"/>
      <c r="N295" s="66"/>
      <c r="O295" s="172"/>
      <c r="P295" s="104"/>
      <c r="Q295" s="106"/>
      <c r="R295" s="106"/>
      <c r="S295" s="66"/>
      <c r="T295" s="106"/>
      <c r="U295" s="66"/>
      <c r="V295" s="66"/>
      <c r="W295" s="66"/>
      <c r="X295" s="106"/>
      <c r="Y295" s="66"/>
      <c r="Z295" s="66"/>
      <c r="AA295" s="81"/>
      <c r="AB295" s="81"/>
    </row>
    <row r="296">
      <c r="A296" s="81"/>
      <c r="B296" s="66"/>
      <c r="C296" s="106"/>
      <c r="D296" s="137"/>
      <c r="E296" s="66"/>
      <c r="F296" s="147"/>
      <c r="G296" s="137"/>
      <c r="H296" s="137"/>
      <c r="I296" s="137"/>
      <c r="J296" s="66"/>
      <c r="K296" s="107"/>
      <c r="L296" s="66"/>
      <c r="M296" s="66"/>
      <c r="N296" s="66"/>
      <c r="O296" s="172"/>
      <c r="P296" s="104"/>
      <c r="Q296" s="106"/>
      <c r="R296" s="106"/>
      <c r="S296" s="66"/>
      <c r="T296" s="106"/>
      <c r="U296" s="66"/>
      <c r="V296" s="66"/>
      <c r="W296" s="66"/>
      <c r="X296" s="106"/>
      <c r="Y296" s="66"/>
      <c r="Z296" s="66"/>
      <c r="AA296" s="81"/>
      <c r="AB296" s="81"/>
    </row>
    <row r="297">
      <c r="A297" s="81"/>
      <c r="B297" s="66"/>
      <c r="C297" s="106"/>
      <c r="D297" s="137"/>
      <c r="E297" s="66"/>
      <c r="F297" s="147"/>
      <c r="G297" s="137"/>
      <c r="H297" s="137"/>
      <c r="I297" s="137"/>
      <c r="J297" s="66"/>
      <c r="K297" s="107"/>
      <c r="L297" s="66"/>
      <c r="M297" s="66"/>
      <c r="N297" s="66"/>
      <c r="O297" s="172"/>
      <c r="P297" s="104"/>
      <c r="Q297" s="106"/>
      <c r="R297" s="106"/>
      <c r="S297" s="66"/>
      <c r="T297" s="106"/>
      <c r="U297" s="66"/>
      <c r="V297" s="66"/>
      <c r="W297" s="66"/>
      <c r="X297" s="106"/>
      <c r="Y297" s="66"/>
      <c r="Z297" s="66"/>
      <c r="AA297" s="81"/>
      <c r="AB297" s="81"/>
    </row>
    <row r="298">
      <c r="A298" s="81"/>
      <c r="B298" s="66"/>
      <c r="C298" s="106"/>
      <c r="D298" s="137"/>
      <c r="E298" s="66"/>
      <c r="F298" s="147"/>
      <c r="G298" s="137"/>
      <c r="H298" s="137"/>
      <c r="I298" s="137"/>
      <c r="J298" s="66"/>
      <c r="K298" s="107"/>
      <c r="L298" s="66"/>
      <c r="M298" s="66"/>
      <c r="N298" s="66"/>
      <c r="O298" s="172"/>
      <c r="P298" s="104"/>
      <c r="Q298" s="106"/>
      <c r="R298" s="106"/>
      <c r="S298" s="66"/>
      <c r="T298" s="106"/>
      <c r="U298" s="66"/>
      <c r="V298" s="66"/>
      <c r="W298" s="66"/>
      <c r="X298" s="106"/>
      <c r="Y298" s="66"/>
      <c r="Z298" s="66"/>
      <c r="AA298" s="81"/>
      <c r="AB298" s="81"/>
    </row>
    <row r="299">
      <c r="A299" s="81"/>
      <c r="B299" s="66"/>
      <c r="C299" s="106"/>
      <c r="D299" s="137"/>
      <c r="E299" s="66"/>
      <c r="F299" s="147"/>
      <c r="G299" s="137"/>
      <c r="H299" s="137"/>
      <c r="I299" s="137"/>
      <c r="J299" s="66"/>
      <c r="K299" s="107"/>
      <c r="L299" s="66"/>
      <c r="M299" s="66"/>
      <c r="N299" s="66"/>
      <c r="O299" s="172"/>
      <c r="P299" s="104"/>
      <c r="Q299" s="106"/>
      <c r="R299" s="106"/>
      <c r="S299" s="66"/>
      <c r="T299" s="106"/>
      <c r="U299" s="66"/>
      <c r="V299" s="66"/>
      <c r="W299" s="66"/>
      <c r="X299" s="106"/>
      <c r="Y299" s="66"/>
      <c r="Z299" s="66"/>
      <c r="AA299" s="81"/>
      <c r="AB299" s="81"/>
    </row>
    <row r="300">
      <c r="A300" s="81"/>
      <c r="B300" s="66"/>
      <c r="C300" s="106"/>
      <c r="D300" s="137"/>
      <c r="E300" s="66"/>
      <c r="F300" s="147"/>
      <c r="G300" s="137"/>
      <c r="H300" s="137"/>
      <c r="I300" s="137"/>
      <c r="J300" s="66"/>
      <c r="K300" s="107"/>
      <c r="L300" s="66"/>
      <c r="M300" s="66"/>
      <c r="N300" s="66"/>
      <c r="O300" s="172"/>
      <c r="P300" s="104"/>
      <c r="Q300" s="106"/>
      <c r="R300" s="106"/>
      <c r="S300" s="66"/>
      <c r="T300" s="106"/>
      <c r="U300" s="66"/>
      <c r="V300" s="66"/>
      <c r="W300" s="66"/>
      <c r="X300" s="106"/>
      <c r="Y300" s="66"/>
      <c r="Z300" s="66"/>
      <c r="AA300" s="81"/>
      <c r="AB300" s="81"/>
    </row>
    <row r="301">
      <c r="A301" s="81"/>
      <c r="B301" s="66"/>
      <c r="C301" s="106"/>
      <c r="D301" s="137"/>
      <c r="E301" s="66"/>
      <c r="F301" s="147"/>
      <c r="G301" s="137"/>
      <c r="H301" s="137"/>
      <c r="I301" s="137"/>
      <c r="J301" s="66"/>
      <c r="K301" s="107"/>
      <c r="L301" s="66"/>
      <c r="M301" s="66"/>
      <c r="N301" s="66"/>
      <c r="O301" s="172"/>
      <c r="P301" s="104"/>
      <c r="Q301" s="106"/>
      <c r="R301" s="106"/>
      <c r="S301" s="66"/>
      <c r="T301" s="106"/>
      <c r="U301" s="66"/>
      <c r="V301" s="66"/>
      <c r="W301" s="66"/>
      <c r="X301" s="106"/>
      <c r="Y301" s="66"/>
      <c r="Z301" s="66"/>
      <c r="AA301" s="81"/>
      <c r="AB301" s="81"/>
    </row>
    <row r="302">
      <c r="A302" s="81"/>
      <c r="B302" s="66"/>
      <c r="C302" s="106"/>
      <c r="D302" s="137"/>
      <c r="E302" s="66"/>
      <c r="F302" s="147"/>
      <c r="G302" s="137"/>
      <c r="H302" s="137"/>
      <c r="I302" s="137"/>
      <c r="J302" s="66"/>
      <c r="K302" s="107"/>
      <c r="L302" s="66"/>
      <c r="M302" s="66"/>
      <c r="N302" s="66"/>
      <c r="O302" s="172"/>
      <c r="P302" s="104"/>
      <c r="Q302" s="106"/>
      <c r="R302" s="106"/>
      <c r="S302" s="66"/>
      <c r="T302" s="106"/>
      <c r="U302" s="66"/>
      <c r="V302" s="66"/>
      <c r="W302" s="66"/>
      <c r="X302" s="106"/>
      <c r="Y302" s="66"/>
      <c r="Z302" s="66"/>
      <c r="AA302" s="81"/>
      <c r="AB302" s="81"/>
    </row>
    <row r="303">
      <c r="A303" s="81"/>
      <c r="B303" s="66"/>
      <c r="C303" s="106"/>
      <c r="D303" s="137"/>
      <c r="E303" s="66"/>
      <c r="F303" s="147"/>
      <c r="G303" s="137"/>
      <c r="H303" s="137"/>
      <c r="I303" s="137"/>
      <c r="J303" s="66"/>
      <c r="K303" s="107"/>
      <c r="L303" s="66"/>
      <c r="M303" s="66"/>
      <c r="N303" s="66"/>
      <c r="O303" s="172"/>
      <c r="P303" s="104"/>
      <c r="Q303" s="106"/>
      <c r="R303" s="106"/>
      <c r="S303" s="66"/>
      <c r="T303" s="106"/>
      <c r="U303" s="66"/>
      <c r="V303" s="66"/>
      <c r="W303" s="66"/>
      <c r="X303" s="106"/>
      <c r="Y303" s="66"/>
      <c r="Z303" s="66"/>
      <c r="AA303" s="81"/>
      <c r="AB303" s="81"/>
    </row>
    <row r="304">
      <c r="A304" s="81"/>
      <c r="B304" s="66"/>
      <c r="C304" s="106"/>
      <c r="D304" s="137"/>
      <c r="E304" s="66"/>
      <c r="F304" s="147"/>
      <c r="G304" s="137"/>
      <c r="H304" s="137"/>
      <c r="I304" s="137"/>
      <c r="J304" s="66"/>
      <c r="K304" s="107"/>
      <c r="L304" s="66"/>
      <c r="M304" s="66"/>
      <c r="N304" s="66"/>
      <c r="O304" s="172"/>
      <c r="P304" s="104"/>
      <c r="Q304" s="106"/>
      <c r="R304" s="106"/>
      <c r="S304" s="66"/>
      <c r="T304" s="106"/>
      <c r="U304" s="66"/>
      <c r="V304" s="66"/>
      <c r="W304" s="66"/>
      <c r="X304" s="106"/>
      <c r="Y304" s="66"/>
      <c r="Z304" s="66"/>
      <c r="AA304" s="81"/>
      <c r="AB304" s="81"/>
    </row>
    <row r="305">
      <c r="A305" s="81"/>
      <c r="B305" s="66"/>
      <c r="C305" s="106"/>
      <c r="D305" s="137"/>
      <c r="E305" s="66"/>
      <c r="F305" s="147"/>
      <c r="G305" s="137"/>
      <c r="H305" s="137"/>
      <c r="I305" s="137"/>
      <c r="J305" s="66"/>
      <c r="K305" s="107"/>
      <c r="L305" s="66"/>
      <c r="M305" s="66"/>
      <c r="N305" s="66"/>
      <c r="O305" s="172"/>
      <c r="P305" s="104"/>
      <c r="Q305" s="106"/>
      <c r="R305" s="106"/>
      <c r="S305" s="66"/>
      <c r="T305" s="106"/>
      <c r="U305" s="66"/>
      <c r="V305" s="66"/>
      <c r="W305" s="66"/>
      <c r="X305" s="106"/>
      <c r="Y305" s="66"/>
      <c r="Z305" s="66"/>
      <c r="AA305" s="81"/>
      <c r="AB305" s="81"/>
    </row>
    <row r="306">
      <c r="A306" s="81"/>
      <c r="B306" s="66"/>
      <c r="C306" s="106"/>
      <c r="D306" s="137"/>
      <c r="E306" s="66"/>
      <c r="F306" s="147"/>
      <c r="G306" s="137"/>
      <c r="H306" s="137"/>
      <c r="I306" s="137"/>
      <c r="J306" s="66"/>
      <c r="K306" s="107"/>
      <c r="L306" s="66"/>
      <c r="M306" s="66"/>
      <c r="N306" s="66"/>
      <c r="O306" s="172"/>
      <c r="P306" s="104"/>
      <c r="Q306" s="106"/>
      <c r="R306" s="106"/>
      <c r="S306" s="66"/>
      <c r="T306" s="106"/>
      <c r="U306" s="66"/>
      <c r="V306" s="66"/>
      <c r="W306" s="66"/>
      <c r="X306" s="106"/>
      <c r="Y306" s="66"/>
      <c r="Z306" s="66"/>
      <c r="AA306" s="81"/>
      <c r="AB306" s="81"/>
    </row>
    <row r="307">
      <c r="A307" s="81"/>
      <c r="B307" s="66"/>
      <c r="C307" s="106"/>
      <c r="D307" s="137"/>
      <c r="E307" s="66"/>
      <c r="F307" s="147"/>
      <c r="G307" s="137"/>
      <c r="H307" s="137"/>
      <c r="I307" s="137"/>
      <c r="J307" s="66"/>
      <c r="K307" s="107"/>
      <c r="L307" s="66"/>
      <c r="M307" s="66"/>
      <c r="N307" s="66"/>
      <c r="O307" s="172"/>
      <c r="P307" s="104"/>
      <c r="Q307" s="106"/>
      <c r="R307" s="106"/>
      <c r="S307" s="66"/>
      <c r="T307" s="106"/>
      <c r="U307" s="66"/>
      <c r="V307" s="66"/>
      <c r="W307" s="66"/>
      <c r="X307" s="106"/>
      <c r="Y307" s="66"/>
      <c r="Z307" s="66"/>
      <c r="AA307" s="81"/>
      <c r="AB307" s="81"/>
    </row>
    <row r="308">
      <c r="A308" s="81"/>
      <c r="B308" s="66"/>
      <c r="C308" s="106"/>
      <c r="D308" s="137"/>
      <c r="E308" s="66"/>
      <c r="F308" s="147"/>
      <c r="G308" s="137"/>
      <c r="H308" s="137"/>
      <c r="I308" s="137"/>
      <c r="J308" s="66"/>
      <c r="K308" s="107"/>
      <c r="L308" s="66"/>
      <c r="M308" s="66"/>
      <c r="N308" s="66"/>
      <c r="O308" s="172"/>
      <c r="P308" s="104"/>
      <c r="Q308" s="106"/>
      <c r="R308" s="106"/>
      <c r="S308" s="66"/>
      <c r="T308" s="106"/>
      <c r="U308" s="66"/>
      <c r="V308" s="66"/>
      <c r="W308" s="66"/>
      <c r="X308" s="106"/>
      <c r="Y308" s="66"/>
      <c r="Z308" s="66"/>
      <c r="AA308" s="81"/>
      <c r="AB308" s="81"/>
    </row>
    <row r="309">
      <c r="A309" s="81"/>
      <c r="B309" s="66"/>
      <c r="C309" s="106"/>
      <c r="D309" s="137"/>
      <c r="E309" s="66"/>
      <c r="F309" s="147"/>
      <c r="G309" s="137"/>
      <c r="H309" s="137"/>
      <c r="I309" s="137"/>
      <c r="J309" s="66"/>
      <c r="K309" s="107"/>
      <c r="L309" s="66"/>
      <c r="M309" s="66"/>
      <c r="N309" s="66"/>
      <c r="O309" s="172"/>
      <c r="P309" s="104"/>
      <c r="Q309" s="106"/>
      <c r="R309" s="106"/>
      <c r="S309" s="66"/>
      <c r="T309" s="106"/>
      <c r="U309" s="66"/>
      <c r="V309" s="66"/>
      <c r="W309" s="66"/>
      <c r="X309" s="106"/>
      <c r="Y309" s="66"/>
      <c r="Z309" s="66"/>
      <c r="AA309" s="81"/>
      <c r="AB309" s="81"/>
    </row>
    <row r="310">
      <c r="A310" s="81"/>
      <c r="B310" s="66"/>
      <c r="C310" s="106"/>
      <c r="D310" s="137"/>
      <c r="E310" s="66"/>
      <c r="F310" s="147"/>
      <c r="G310" s="137"/>
      <c r="H310" s="137"/>
      <c r="I310" s="137"/>
      <c r="J310" s="66"/>
      <c r="K310" s="107"/>
      <c r="L310" s="66"/>
      <c r="M310" s="66"/>
      <c r="N310" s="66"/>
      <c r="O310" s="172"/>
      <c r="P310" s="104"/>
      <c r="Q310" s="106"/>
      <c r="R310" s="106"/>
      <c r="S310" s="66"/>
      <c r="T310" s="106"/>
      <c r="U310" s="66"/>
      <c r="V310" s="66"/>
      <c r="W310" s="66"/>
      <c r="X310" s="106"/>
      <c r="Y310" s="66"/>
      <c r="Z310" s="66"/>
      <c r="AA310" s="81"/>
      <c r="AB310" s="81"/>
    </row>
    <row r="311">
      <c r="A311" s="81"/>
      <c r="B311" s="66"/>
      <c r="C311" s="106"/>
      <c r="D311" s="137"/>
      <c r="E311" s="66"/>
      <c r="F311" s="147"/>
      <c r="G311" s="137"/>
      <c r="H311" s="137"/>
      <c r="I311" s="137"/>
      <c r="J311" s="66"/>
      <c r="K311" s="107"/>
      <c r="L311" s="66"/>
      <c r="M311" s="66"/>
      <c r="N311" s="66"/>
      <c r="O311" s="172"/>
      <c r="P311" s="104"/>
      <c r="Q311" s="106"/>
      <c r="R311" s="106"/>
      <c r="S311" s="66"/>
      <c r="T311" s="106"/>
      <c r="U311" s="66"/>
      <c r="V311" s="66"/>
      <c r="W311" s="66"/>
      <c r="X311" s="106"/>
      <c r="Y311" s="66"/>
      <c r="Z311" s="66"/>
      <c r="AA311" s="81"/>
      <c r="AB311" s="81"/>
    </row>
    <row r="312">
      <c r="A312" s="81"/>
      <c r="B312" s="66"/>
      <c r="C312" s="106"/>
      <c r="D312" s="137"/>
      <c r="E312" s="66"/>
      <c r="F312" s="147"/>
      <c r="G312" s="137"/>
      <c r="H312" s="137"/>
      <c r="I312" s="137"/>
      <c r="J312" s="66"/>
      <c r="K312" s="107"/>
      <c r="L312" s="66"/>
      <c r="M312" s="66"/>
      <c r="N312" s="66"/>
      <c r="O312" s="172"/>
      <c r="P312" s="104"/>
      <c r="Q312" s="106"/>
      <c r="R312" s="106"/>
      <c r="S312" s="66"/>
      <c r="T312" s="106"/>
      <c r="U312" s="66"/>
      <c r="V312" s="66"/>
      <c r="W312" s="66"/>
      <c r="X312" s="106"/>
      <c r="Y312" s="66"/>
      <c r="Z312" s="66"/>
      <c r="AA312" s="81"/>
      <c r="AB312" s="81"/>
    </row>
    <row r="313">
      <c r="A313" s="81"/>
      <c r="B313" s="66"/>
      <c r="C313" s="106"/>
      <c r="D313" s="137"/>
      <c r="E313" s="66"/>
      <c r="F313" s="147"/>
      <c r="G313" s="137"/>
      <c r="H313" s="137"/>
      <c r="I313" s="137"/>
      <c r="J313" s="66"/>
      <c r="K313" s="107"/>
      <c r="L313" s="66"/>
      <c r="M313" s="66"/>
      <c r="N313" s="66"/>
      <c r="O313" s="172"/>
      <c r="P313" s="104"/>
      <c r="Q313" s="106"/>
      <c r="R313" s="106"/>
      <c r="S313" s="66"/>
      <c r="T313" s="106"/>
      <c r="U313" s="66"/>
      <c r="V313" s="66"/>
      <c r="W313" s="66"/>
      <c r="X313" s="106"/>
      <c r="Y313" s="66"/>
      <c r="Z313" s="66"/>
      <c r="AA313" s="81"/>
      <c r="AB313" s="81"/>
    </row>
    <row r="314">
      <c r="A314" s="81"/>
      <c r="B314" s="66"/>
      <c r="C314" s="106"/>
      <c r="D314" s="137"/>
      <c r="E314" s="66"/>
      <c r="F314" s="147"/>
      <c r="G314" s="137"/>
      <c r="H314" s="137"/>
      <c r="I314" s="137"/>
      <c r="J314" s="66"/>
      <c r="K314" s="107"/>
      <c r="L314" s="66"/>
      <c r="M314" s="66"/>
      <c r="N314" s="66"/>
      <c r="O314" s="172"/>
      <c r="P314" s="104"/>
      <c r="Q314" s="106"/>
      <c r="R314" s="106"/>
      <c r="S314" s="66"/>
      <c r="T314" s="106"/>
      <c r="U314" s="66"/>
      <c r="V314" s="66"/>
      <c r="W314" s="66"/>
      <c r="X314" s="106"/>
      <c r="Y314" s="66"/>
      <c r="Z314" s="66"/>
      <c r="AA314" s="81"/>
      <c r="AB314" s="81"/>
    </row>
    <row r="315">
      <c r="A315" s="81"/>
      <c r="B315" s="66"/>
      <c r="C315" s="106"/>
      <c r="D315" s="137"/>
      <c r="E315" s="66"/>
      <c r="F315" s="147"/>
      <c r="G315" s="137"/>
      <c r="H315" s="137"/>
      <c r="I315" s="137"/>
      <c r="J315" s="66"/>
      <c r="K315" s="107"/>
      <c r="L315" s="66"/>
      <c r="M315" s="66"/>
      <c r="N315" s="66"/>
      <c r="O315" s="172"/>
      <c r="P315" s="104"/>
      <c r="Q315" s="106"/>
      <c r="R315" s="106"/>
      <c r="S315" s="66"/>
      <c r="T315" s="106"/>
      <c r="U315" s="66"/>
      <c r="V315" s="66"/>
      <c r="W315" s="66"/>
      <c r="X315" s="106"/>
      <c r="Y315" s="66"/>
      <c r="Z315" s="66"/>
      <c r="AA315" s="81"/>
      <c r="AB315" s="81"/>
    </row>
    <row r="316">
      <c r="A316" s="81"/>
      <c r="B316" s="66"/>
      <c r="C316" s="106"/>
      <c r="D316" s="137"/>
      <c r="E316" s="66"/>
      <c r="F316" s="147"/>
      <c r="G316" s="137"/>
      <c r="H316" s="137"/>
      <c r="I316" s="137"/>
      <c r="J316" s="66"/>
      <c r="K316" s="107"/>
      <c r="L316" s="66"/>
      <c r="M316" s="66"/>
      <c r="N316" s="66"/>
      <c r="O316" s="172"/>
      <c r="P316" s="104"/>
      <c r="Q316" s="106"/>
      <c r="R316" s="106"/>
      <c r="S316" s="66"/>
      <c r="T316" s="106"/>
      <c r="U316" s="66"/>
      <c r="V316" s="66"/>
      <c r="W316" s="66"/>
      <c r="X316" s="106"/>
      <c r="Y316" s="66"/>
      <c r="Z316" s="66"/>
      <c r="AA316" s="81"/>
      <c r="AB316" s="81"/>
    </row>
    <row r="317">
      <c r="A317" s="81"/>
      <c r="B317" s="66"/>
      <c r="C317" s="106"/>
      <c r="D317" s="137"/>
      <c r="E317" s="66"/>
      <c r="F317" s="147"/>
      <c r="G317" s="137"/>
      <c r="H317" s="137"/>
      <c r="I317" s="137"/>
      <c r="J317" s="66"/>
      <c r="K317" s="107"/>
      <c r="L317" s="66"/>
      <c r="M317" s="66"/>
      <c r="N317" s="66"/>
      <c r="O317" s="172"/>
      <c r="P317" s="104"/>
      <c r="Q317" s="106"/>
      <c r="R317" s="106"/>
      <c r="S317" s="66"/>
      <c r="T317" s="106"/>
      <c r="U317" s="66"/>
      <c r="V317" s="66"/>
      <c r="W317" s="66"/>
      <c r="X317" s="106"/>
      <c r="Y317" s="66"/>
      <c r="Z317" s="66"/>
      <c r="AA317" s="81"/>
      <c r="AB317" s="81"/>
    </row>
    <row r="318">
      <c r="A318" s="81"/>
      <c r="B318" s="66"/>
      <c r="C318" s="106"/>
      <c r="D318" s="137"/>
      <c r="E318" s="66"/>
      <c r="F318" s="147"/>
      <c r="G318" s="137"/>
      <c r="H318" s="137"/>
      <c r="I318" s="137"/>
      <c r="J318" s="66"/>
      <c r="K318" s="107"/>
      <c r="L318" s="66"/>
      <c r="M318" s="66"/>
      <c r="N318" s="66"/>
      <c r="O318" s="172"/>
      <c r="P318" s="104"/>
      <c r="Q318" s="106"/>
      <c r="R318" s="106"/>
      <c r="S318" s="66"/>
      <c r="T318" s="106"/>
      <c r="U318" s="66"/>
      <c r="V318" s="66"/>
      <c r="W318" s="66"/>
      <c r="X318" s="106"/>
      <c r="Y318" s="66"/>
      <c r="Z318" s="66"/>
      <c r="AA318" s="81"/>
      <c r="AB318" s="81"/>
    </row>
    <row r="319">
      <c r="A319" s="81"/>
      <c r="B319" s="66"/>
      <c r="C319" s="106"/>
      <c r="D319" s="137"/>
      <c r="E319" s="66"/>
      <c r="F319" s="147"/>
      <c r="G319" s="137"/>
      <c r="H319" s="137"/>
      <c r="I319" s="137"/>
      <c r="J319" s="66"/>
      <c r="K319" s="107"/>
      <c r="L319" s="66"/>
      <c r="M319" s="66"/>
      <c r="N319" s="66"/>
      <c r="O319" s="172"/>
      <c r="P319" s="104"/>
      <c r="Q319" s="106"/>
      <c r="R319" s="106"/>
      <c r="S319" s="66"/>
      <c r="T319" s="106"/>
      <c r="U319" s="66"/>
      <c r="V319" s="66"/>
      <c r="W319" s="66"/>
      <c r="X319" s="106"/>
      <c r="Y319" s="66"/>
      <c r="Z319" s="66"/>
      <c r="AA319" s="81"/>
      <c r="AB319" s="81"/>
    </row>
    <row r="320">
      <c r="A320" s="81"/>
      <c r="B320" s="66"/>
      <c r="C320" s="106"/>
      <c r="D320" s="137"/>
      <c r="E320" s="66"/>
      <c r="F320" s="147"/>
      <c r="G320" s="137"/>
      <c r="H320" s="137"/>
      <c r="I320" s="137"/>
      <c r="J320" s="66"/>
      <c r="K320" s="107"/>
      <c r="L320" s="66"/>
      <c r="M320" s="66"/>
      <c r="N320" s="66"/>
      <c r="O320" s="172"/>
      <c r="P320" s="104"/>
      <c r="Q320" s="106"/>
      <c r="R320" s="106"/>
      <c r="S320" s="66"/>
      <c r="T320" s="106"/>
      <c r="U320" s="66"/>
      <c r="V320" s="66"/>
      <c r="W320" s="66"/>
      <c r="X320" s="106"/>
      <c r="Y320" s="66"/>
      <c r="Z320" s="66"/>
      <c r="AA320" s="81"/>
      <c r="AB320" s="81"/>
    </row>
    <row r="321">
      <c r="A321" s="81"/>
      <c r="B321" s="66"/>
      <c r="C321" s="106"/>
      <c r="D321" s="137"/>
      <c r="E321" s="66"/>
      <c r="F321" s="147"/>
      <c r="G321" s="137"/>
      <c r="H321" s="137"/>
      <c r="I321" s="137"/>
      <c r="J321" s="66"/>
      <c r="K321" s="107"/>
      <c r="L321" s="66"/>
      <c r="M321" s="66"/>
      <c r="N321" s="66"/>
      <c r="O321" s="172"/>
      <c r="P321" s="104"/>
      <c r="Q321" s="106"/>
      <c r="R321" s="106"/>
      <c r="S321" s="66"/>
      <c r="T321" s="106"/>
      <c r="U321" s="66"/>
      <c r="V321" s="66"/>
      <c r="W321" s="66"/>
      <c r="X321" s="106"/>
      <c r="Y321" s="66"/>
      <c r="Z321" s="66"/>
      <c r="AA321" s="81"/>
      <c r="AB321" s="81"/>
    </row>
    <row r="322">
      <c r="A322" s="81"/>
      <c r="B322" s="66"/>
      <c r="C322" s="106"/>
      <c r="D322" s="137"/>
      <c r="E322" s="66"/>
      <c r="F322" s="147"/>
      <c r="G322" s="137"/>
      <c r="H322" s="137"/>
      <c r="I322" s="137"/>
      <c r="J322" s="66"/>
      <c r="K322" s="107"/>
      <c r="L322" s="66"/>
      <c r="M322" s="66"/>
      <c r="N322" s="66"/>
      <c r="O322" s="172"/>
      <c r="P322" s="104"/>
      <c r="Q322" s="106"/>
      <c r="R322" s="106"/>
      <c r="S322" s="66"/>
      <c r="T322" s="106"/>
      <c r="U322" s="66"/>
      <c r="V322" s="66"/>
      <c r="W322" s="66"/>
      <c r="X322" s="106"/>
      <c r="Y322" s="66"/>
      <c r="Z322" s="66"/>
      <c r="AA322" s="81"/>
      <c r="AB322" s="81"/>
    </row>
    <row r="323">
      <c r="A323" s="81"/>
      <c r="B323" s="66"/>
      <c r="C323" s="106"/>
      <c r="D323" s="137"/>
      <c r="E323" s="66"/>
      <c r="F323" s="147"/>
      <c r="G323" s="137"/>
      <c r="H323" s="137"/>
      <c r="I323" s="137"/>
      <c r="J323" s="66"/>
      <c r="K323" s="107"/>
      <c r="L323" s="66"/>
      <c r="M323" s="66"/>
      <c r="N323" s="66"/>
      <c r="O323" s="172"/>
      <c r="P323" s="104"/>
      <c r="Q323" s="106"/>
      <c r="R323" s="106"/>
      <c r="S323" s="66"/>
      <c r="T323" s="106"/>
      <c r="U323" s="66"/>
      <c r="V323" s="66"/>
      <c r="W323" s="66"/>
      <c r="X323" s="106"/>
      <c r="Y323" s="66"/>
      <c r="Z323" s="66"/>
      <c r="AA323" s="81"/>
      <c r="AB323" s="81"/>
    </row>
    <row r="324">
      <c r="A324" s="81"/>
      <c r="B324" s="66"/>
      <c r="C324" s="106"/>
      <c r="D324" s="137"/>
      <c r="E324" s="66"/>
      <c r="F324" s="147"/>
      <c r="G324" s="137"/>
      <c r="H324" s="137"/>
      <c r="I324" s="137"/>
      <c r="J324" s="66"/>
      <c r="K324" s="107"/>
      <c r="L324" s="66"/>
      <c r="M324" s="66"/>
      <c r="N324" s="66"/>
      <c r="O324" s="172"/>
      <c r="P324" s="104"/>
      <c r="Q324" s="106"/>
      <c r="R324" s="106"/>
      <c r="S324" s="66"/>
      <c r="T324" s="106"/>
      <c r="U324" s="66"/>
      <c r="V324" s="66"/>
      <c r="W324" s="66"/>
      <c r="X324" s="106"/>
      <c r="Y324" s="66"/>
      <c r="Z324" s="66"/>
      <c r="AA324" s="81"/>
      <c r="AB324" s="81"/>
    </row>
    <row r="325">
      <c r="A325" s="81"/>
      <c r="B325" s="66"/>
      <c r="C325" s="106"/>
      <c r="D325" s="137"/>
      <c r="E325" s="66"/>
      <c r="F325" s="147"/>
      <c r="G325" s="137"/>
      <c r="H325" s="137"/>
      <c r="I325" s="137"/>
      <c r="J325" s="66"/>
      <c r="K325" s="107"/>
      <c r="L325" s="66"/>
      <c r="M325" s="66"/>
      <c r="N325" s="66"/>
      <c r="O325" s="172"/>
      <c r="P325" s="104"/>
      <c r="Q325" s="106"/>
      <c r="R325" s="106"/>
      <c r="S325" s="66"/>
      <c r="T325" s="106"/>
      <c r="U325" s="66"/>
      <c r="V325" s="66"/>
      <c r="W325" s="66"/>
      <c r="X325" s="106"/>
      <c r="Y325" s="66"/>
      <c r="Z325" s="66"/>
      <c r="AA325" s="81"/>
      <c r="AB325" s="81"/>
    </row>
    <row r="326">
      <c r="A326" s="81"/>
      <c r="B326" s="66"/>
      <c r="C326" s="106"/>
      <c r="D326" s="137"/>
      <c r="E326" s="66"/>
      <c r="F326" s="147"/>
      <c r="G326" s="137"/>
      <c r="H326" s="137"/>
      <c r="I326" s="137"/>
      <c r="J326" s="66"/>
      <c r="K326" s="107"/>
      <c r="L326" s="66"/>
      <c r="M326" s="66"/>
      <c r="N326" s="66"/>
      <c r="O326" s="172"/>
      <c r="P326" s="104"/>
      <c r="Q326" s="106"/>
      <c r="R326" s="106"/>
      <c r="S326" s="66"/>
      <c r="T326" s="106"/>
      <c r="U326" s="66"/>
      <c r="V326" s="66"/>
      <c r="W326" s="66"/>
      <c r="X326" s="106"/>
      <c r="Y326" s="66"/>
      <c r="Z326" s="66"/>
      <c r="AA326" s="81"/>
      <c r="AB326" s="81"/>
    </row>
    <row r="327">
      <c r="A327" s="81"/>
      <c r="B327" s="66"/>
      <c r="C327" s="106"/>
      <c r="D327" s="137"/>
      <c r="E327" s="66"/>
      <c r="F327" s="147"/>
      <c r="G327" s="137"/>
      <c r="H327" s="137"/>
      <c r="I327" s="137"/>
      <c r="J327" s="66"/>
      <c r="K327" s="107"/>
      <c r="L327" s="66"/>
      <c r="M327" s="66"/>
      <c r="N327" s="66"/>
      <c r="O327" s="172"/>
      <c r="P327" s="104"/>
      <c r="Q327" s="106"/>
      <c r="R327" s="106"/>
      <c r="S327" s="66"/>
      <c r="T327" s="106"/>
      <c r="U327" s="66"/>
      <c r="V327" s="66"/>
      <c r="W327" s="66"/>
      <c r="X327" s="106"/>
      <c r="Y327" s="66"/>
      <c r="Z327" s="66"/>
      <c r="AA327" s="81"/>
      <c r="AB327" s="81"/>
    </row>
    <row r="328">
      <c r="A328" s="81"/>
      <c r="B328" s="66"/>
      <c r="C328" s="106"/>
      <c r="D328" s="137"/>
      <c r="E328" s="66"/>
      <c r="F328" s="147"/>
      <c r="G328" s="137"/>
      <c r="H328" s="137"/>
      <c r="I328" s="137"/>
      <c r="J328" s="66"/>
      <c r="K328" s="107"/>
      <c r="L328" s="66"/>
      <c r="M328" s="66"/>
      <c r="N328" s="66"/>
      <c r="O328" s="172"/>
      <c r="P328" s="104"/>
      <c r="Q328" s="106"/>
      <c r="R328" s="106"/>
      <c r="S328" s="66"/>
      <c r="T328" s="106"/>
      <c r="U328" s="66"/>
      <c r="V328" s="66"/>
      <c r="W328" s="66"/>
      <c r="X328" s="106"/>
      <c r="Y328" s="66"/>
      <c r="Z328" s="66"/>
      <c r="AA328" s="81"/>
      <c r="AB328" s="81"/>
    </row>
    <row r="329">
      <c r="A329" s="81"/>
      <c r="B329" s="66"/>
      <c r="C329" s="106"/>
      <c r="D329" s="137"/>
      <c r="E329" s="66"/>
      <c r="F329" s="147"/>
      <c r="G329" s="137"/>
      <c r="H329" s="137"/>
      <c r="I329" s="137"/>
      <c r="J329" s="66"/>
      <c r="K329" s="107"/>
      <c r="L329" s="66"/>
      <c r="M329" s="66"/>
      <c r="N329" s="66"/>
      <c r="O329" s="172"/>
      <c r="P329" s="104"/>
      <c r="Q329" s="106"/>
      <c r="R329" s="106"/>
      <c r="S329" s="66"/>
      <c r="T329" s="106"/>
      <c r="U329" s="66"/>
      <c r="V329" s="66"/>
      <c r="W329" s="66"/>
      <c r="X329" s="106"/>
      <c r="Y329" s="66"/>
      <c r="Z329" s="66"/>
      <c r="AA329" s="81"/>
      <c r="AB329" s="81"/>
    </row>
    <row r="330">
      <c r="A330" s="81"/>
      <c r="B330" s="66"/>
      <c r="C330" s="106"/>
      <c r="D330" s="137"/>
      <c r="E330" s="66"/>
      <c r="F330" s="147"/>
      <c r="G330" s="137"/>
      <c r="H330" s="137"/>
      <c r="I330" s="137"/>
      <c r="J330" s="66"/>
      <c r="K330" s="107"/>
      <c r="L330" s="66"/>
      <c r="M330" s="66"/>
      <c r="N330" s="66"/>
      <c r="O330" s="172"/>
      <c r="P330" s="104"/>
      <c r="Q330" s="106"/>
      <c r="R330" s="106"/>
      <c r="S330" s="66"/>
      <c r="T330" s="106"/>
      <c r="U330" s="66"/>
      <c r="V330" s="66"/>
      <c r="W330" s="66"/>
      <c r="X330" s="106"/>
      <c r="Y330" s="66"/>
      <c r="Z330" s="66"/>
      <c r="AA330" s="81"/>
      <c r="AB330" s="81"/>
    </row>
    <row r="331">
      <c r="A331" s="81"/>
      <c r="B331" s="66"/>
      <c r="C331" s="106"/>
      <c r="D331" s="137"/>
      <c r="E331" s="66"/>
      <c r="F331" s="147"/>
      <c r="G331" s="137"/>
      <c r="H331" s="137"/>
      <c r="I331" s="137"/>
      <c r="J331" s="66"/>
      <c r="K331" s="107"/>
      <c r="L331" s="66"/>
      <c r="M331" s="66"/>
      <c r="N331" s="66"/>
      <c r="O331" s="172"/>
      <c r="P331" s="104"/>
      <c r="Q331" s="106"/>
      <c r="R331" s="106"/>
      <c r="S331" s="66"/>
      <c r="T331" s="106"/>
      <c r="U331" s="66"/>
      <c r="V331" s="66"/>
      <c r="W331" s="66"/>
      <c r="X331" s="106"/>
      <c r="Y331" s="66"/>
      <c r="Z331" s="66"/>
      <c r="AA331" s="81"/>
      <c r="AB331" s="81"/>
    </row>
    <row r="332">
      <c r="A332" s="81"/>
      <c r="B332" s="66"/>
      <c r="C332" s="106"/>
      <c r="D332" s="137"/>
      <c r="E332" s="66"/>
      <c r="F332" s="147"/>
      <c r="G332" s="137"/>
      <c r="H332" s="137"/>
      <c r="I332" s="137"/>
      <c r="J332" s="66"/>
      <c r="K332" s="107"/>
      <c r="L332" s="66"/>
      <c r="M332" s="66"/>
      <c r="N332" s="66"/>
      <c r="O332" s="172"/>
      <c r="P332" s="104"/>
      <c r="Q332" s="106"/>
      <c r="R332" s="106"/>
      <c r="S332" s="66"/>
      <c r="T332" s="106"/>
      <c r="U332" s="66"/>
      <c r="V332" s="66"/>
      <c r="W332" s="66"/>
      <c r="X332" s="106"/>
      <c r="Y332" s="66"/>
      <c r="Z332" s="66"/>
      <c r="AA332" s="81"/>
      <c r="AB332" s="81"/>
    </row>
    <row r="333">
      <c r="A333" s="81"/>
      <c r="B333" s="66"/>
      <c r="C333" s="106"/>
      <c r="D333" s="137"/>
      <c r="E333" s="66"/>
      <c r="F333" s="147"/>
      <c r="G333" s="137"/>
      <c r="H333" s="137"/>
      <c r="I333" s="137"/>
      <c r="J333" s="66"/>
      <c r="K333" s="107"/>
      <c r="L333" s="66"/>
      <c r="M333" s="66"/>
      <c r="N333" s="66"/>
      <c r="O333" s="172"/>
      <c r="P333" s="104"/>
      <c r="Q333" s="106"/>
      <c r="R333" s="106"/>
      <c r="S333" s="66"/>
      <c r="T333" s="106"/>
      <c r="U333" s="66"/>
      <c r="V333" s="66"/>
      <c r="W333" s="66"/>
      <c r="X333" s="106"/>
      <c r="Y333" s="66"/>
      <c r="Z333" s="66"/>
      <c r="AA333" s="81"/>
      <c r="AB333" s="81"/>
    </row>
    <row r="334">
      <c r="A334" s="81"/>
      <c r="B334" s="66"/>
      <c r="C334" s="106"/>
      <c r="D334" s="137"/>
      <c r="E334" s="66"/>
      <c r="F334" s="147"/>
      <c r="G334" s="137"/>
      <c r="H334" s="137"/>
      <c r="I334" s="137"/>
      <c r="J334" s="66"/>
      <c r="K334" s="107"/>
      <c r="L334" s="66"/>
      <c r="M334" s="66"/>
      <c r="N334" s="66"/>
      <c r="O334" s="172"/>
      <c r="P334" s="104"/>
      <c r="Q334" s="106"/>
      <c r="R334" s="106"/>
      <c r="S334" s="66"/>
      <c r="T334" s="106"/>
      <c r="U334" s="66"/>
      <c r="V334" s="66"/>
      <c r="W334" s="66"/>
      <c r="X334" s="106"/>
      <c r="Y334" s="66"/>
      <c r="Z334" s="66"/>
      <c r="AA334" s="81"/>
      <c r="AB334" s="81"/>
    </row>
    <row r="335">
      <c r="A335" s="81"/>
      <c r="B335" s="66"/>
      <c r="C335" s="106"/>
      <c r="D335" s="137"/>
      <c r="E335" s="66"/>
      <c r="F335" s="147"/>
      <c r="G335" s="137"/>
      <c r="H335" s="137"/>
      <c r="I335" s="137"/>
      <c r="J335" s="66"/>
      <c r="K335" s="107"/>
      <c r="L335" s="66"/>
      <c r="M335" s="66"/>
      <c r="N335" s="66"/>
      <c r="O335" s="172"/>
      <c r="P335" s="104"/>
      <c r="Q335" s="106"/>
      <c r="R335" s="106"/>
      <c r="S335" s="66"/>
      <c r="T335" s="106"/>
      <c r="U335" s="66"/>
      <c r="V335" s="66"/>
      <c r="W335" s="66"/>
      <c r="X335" s="106"/>
      <c r="Y335" s="66"/>
      <c r="Z335" s="66"/>
      <c r="AA335" s="81"/>
      <c r="AB335" s="81"/>
    </row>
    <row r="336">
      <c r="A336" s="81"/>
      <c r="B336" s="66"/>
      <c r="C336" s="106"/>
      <c r="D336" s="137"/>
      <c r="E336" s="66"/>
      <c r="F336" s="147"/>
      <c r="G336" s="137"/>
      <c r="H336" s="137"/>
      <c r="I336" s="137"/>
      <c r="J336" s="66"/>
      <c r="K336" s="107"/>
      <c r="L336" s="66"/>
      <c r="M336" s="66"/>
      <c r="N336" s="66"/>
      <c r="O336" s="172"/>
      <c r="P336" s="104"/>
      <c r="Q336" s="106"/>
      <c r="R336" s="106"/>
      <c r="S336" s="66"/>
      <c r="T336" s="106"/>
      <c r="U336" s="66"/>
      <c r="V336" s="66"/>
      <c r="W336" s="66"/>
      <c r="X336" s="106"/>
      <c r="Y336" s="66"/>
      <c r="Z336" s="66"/>
      <c r="AA336" s="81"/>
      <c r="AB336" s="81"/>
    </row>
    <row r="337">
      <c r="A337" s="81"/>
      <c r="B337" s="66"/>
      <c r="C337" s="106"/>
      <c r="D337" s="137"/>
      <c r="E337" s="66"/>
      <c r="F337" s="147"/>
      <c r="G337" s="137"/>
      <c r="H337" s="137"/>
      <c r="I337" s="137"/>
      <c r="J337" s="66"/>
      <c r="K337" s="107"/>
      <c r="L337" s="66"/>
      <c r="M337" s="66"/>
      <c r="N337" s="66"/>
      <c r="O337" s="172"/>
      <c r="P337" s="104"/>
      <c r="Q337" s="106"/>
      <c r="R337" s="106"/>
      <c r="S337" s="66"/>
      <c r="T337" s="106"/>
      <c r="U337" s="66"/>
      <c r="V337" s="66"/>
      <c r="W337" s="66"/>
      <c r="X337" s="106"/>
      <c r="Y337" s="66"/>
      <c r="Z337" s="66"/>
      <c r="AA337" s="81"/>
      <c r="AB337" s="81"/>
    </row>
    <row r="338">
      <c r="A338" s="81"/>
      <c r="B338" s="66"/>
      <c r="C338" s="106"/>
      <c r="D338" s="137"/>
      <c r="E338" s="66"/>
      <c r="F338" s="147"/>
      <c r="G338" s="137"/>
      <c r="H338" s="137"/>
      <c r="I338" s="137"/>
      <c r="J338" s="66"/>
      <c r="K338" s="107"/>
      <c r="L338" s="66"/>
      <c r="M338" s="66"/>
      <c r="N338" s="66"/>
      <c r="O338" s="172"/>
      <c r="P338" s="104"/>
      <c r="Q338" s="106"/>
      <c r="R338" s="106"/>
      <c r="S338" s="66"/>
      <c r="T338" s="106"/>
      <c r="U338" s="66"/>
      <c r="V338" s="66"/>
      <c r="W338" s="66"/>
      <c r="X338" s="106"/>
      <c r="Y338" s="66"/>
      <c r="Z338" s="66"/>
      <c r="AA338" s="81"/>
      <c r="AB338" s="81"/>
    </row>
    <row r="339">
      <c r="A339" s="81"/>
      <c r="B339" s="66"/>
      <c r="C339" s="106"/>
      <c r="D339" s="137"/>
      <c r="E339" s="66"/>
      <c r="F339" s="147"/>
      <c r="G339" s="137"/>
      <c r="H339" s="137"/>
      <c r="I339" s="137"/>
      <c r="J339" s="66"/>
      <c r="K339" s="107"/>
      <c r="L339" s="66"/>
      <c r="M339" s="66"/>
      <c r="N339" s="66"/>
      <c r="O339" s="172"/>
      <c r="P339" s="104"/>
      <c r="Q339" s="106"/>
      <c r="R339" s="106"/>
      <c r="S339" s="66"/>
      <c r="T339" s="106"/>
      <c r="U339" s="66"/>
      <c r="V339" s="66"/>
      <c r="W339" s="66"/>
      <c r="X339" s="106"/>
      <c r="Y339" s="66"/>
      <c r="Z339" s="66"/>
      <c r="AA339" s="81"/>
      <c r="AB339" s="81"/>
    </row>
    <row r="340">
      <c r="A340" s="81"/>
      <c r="B340" s="66"/>
      <c r="C340" s="106"/>
      <c r="D340" s="137"/>
      <c r="E340" s="66"/>
      <c r="F340" s="147"/>
      <c r="G340" s="137"/>
      <c r="H340" s="137"/>
      <c r="I340" s="137"/>
      <c r="J340" s="66"/>
      <c r="K340" s="107"/>
      <c r="L340" s="66"/>
      <c r="M340" s="66"/>
      <c r="N340" s="66"/>
      <c r="O340" s="172"/>
      <c r="P340" s="104"/>
      <c r="Q340" s="106"/>
      <c r="R340" s="106"/>
      <c r="S340" s="66"/>
      <c r="T340" s="106"/>
      <c r="U340" s="66"/>
      <c r="V340" s="66"/>
      <c r="W340" s="66"/>
      <c r="X340" s="106"/>
      <c r="Y340" s="66"/>
      <c r="Z340" s="66"/>
      <c r="AA340" s="81"/>
      <c r="AB340" s="81"/>
    </row>
    <row r="341">
      <c r="A341" s="81"/>
      <c r="B341" s="66"/>
      <c r="C341" s="106"/>
      <c r="D341" s="137"/>
      <c r="E341" s="66"/>
      <c r="F341" s="147"/>
      <c r="G341" s="137"/>
      <c r="H341" s="137"/>
      <c r="I341" s="137"/>
      <c r="J341" s="66"/>
      <c r="K341" s="107"/>
      <c r="L341" s="66"/>
      <c r="M341" s="66"/>
      <c r="N341" s="66"/>
      <c r="O341" s="172"/>
      <c r="P341" s="104"/>
      <c r="Q341" s="106"/>
      <c r="R341" s="106"/>
      <c r="S341" s="66"/>
      <c r="T341" s="106"/>
      <c r="U341" s="66"/>
      <c r="V341" s="66"/>
      <c r="W341" s="66"/>
      <c r="X341" s="106"/>
      <c r="Y341" s="66"/>
      <c r="Z341" s="66"/>
      <c r="AA341" s="81"/>
      <c r="AB341" s="81"/>
    </row>
    <row r="342">
      <c r="A342" s="81"/>
      <c r="B342" s="66"/>
      <c r="C342" s="106"/>
      <c r="D342" s="137"/>
      <c r="E342" s="66"/>
      <c r="F342" s="147"/>
      <c r="G342" s="137"/>
      <c r="H342" s="137"/>
      <c r="I342" s="137"/>
      <c r="J342" s="66"/>
      <c r="K342" s="107"/>
      <c r="L342" s="66"/>
      <c r="M342" s="66"/>
      <c r="N342" s="66"/>
      <c r="O342" s="172"/>
      <c r="P342" s="104"/>
      <c r="Q342" s="106"/>
      <c r="R342" s="106"/>
      <c r="S342" s="66"/>
      <c r="T342" s="106"/>
      <c r="U342" s="66"/>
      <c r="V342" s="66"/>
      <c r="W342" s="66"/>
      <c r="X342" s="106"/>
      <c r="Y342" s="66"/>
      <c r="Z342" s="66"/>
      <c r="AA342" s="81"/>
      <c r="AB342" s="81"/>
    </row>
    <row r="343">
      <c r="A343" s="81"/>
      <c r="B343" s="66"/>
      <c r="C343" s="106"/>
      <c r="D343" s="137"/>
      <c r="E343" s="66"/>
      <c r="F343" s="147"/>
      <c r="G343" s="137"/>
      <c r="H343" s="137"/>
      <c r="I343" s="137"/>
      <c r="J343" s="66"/>
      <c r="K343" s="107"/>
      <c r="L343" s="66"/>
      <c r="M343" s="66"/>
      <c r="N343" s="66"/>
      <c r="O343" s="172"/>
      <c r="P343" s="104"/>
      <c r="Q343" s="106"/>
      <c r="R343" s="106"/>
      <c r="S343" s="66"/>
      <c r="T343" s="106"/>
      <c r="U343" s="66"/>
      <c r="V343" s="66"/>
      <c r="W343" s="66"/>
      <c r="X343" s="106"/>
      <c r="Y343" s="66"/>
      <c r="Z343" s="66"/>
      <c r="AA343" s="81"/>
      <c r="AB343" s="81"/>
    </row>
    <row r="344">
      <c r="A344" s="81"/>
      <c r="B344" s="66"/>
      <c r="C344" s="106"/>
      <c r="D344" s="137"/>
      <c r="E344" s="66"/>
      <c r="F344" s="147"/>
      <c r="G344" s="137"/>
      <c r="H344" s="137"/>
      <c r="I344" s="137"/>
      <c r="J344" s="66"/>
      <c r="K344" s="107"/>
      <c r="L344" s="66"/>
      <c r="M344" s="66"/>
      <c r="N344" s="66"/>
      <c r="O344" s="172"/>
      <c r="P344" s="104"/>
      <c r="Q344" s="106"/>
      <c r="R344" s="106"/>
      <c r="S344" s="66"/>
      <c r="T344" s="106"/>
      <c r="U344" s="66"/>
      <c r="V344" s="66"/>
      <c r="W344" s="66"/>
      <c r="X344" s="106"/>
      <c r="Y344" s="66"/>
      <c r="Z344" s="66"/>
      <c r="AA344" s="81"/>
      <c r="AB344" s="81"/>
    </row>
    <row r="345">
      <c r="A345" s="81"/>
      <c r="B345" s="66"/>
      <c r="C345" s="106"/>
      <c r="D345" s="137"/>
      <c r="E345" s="66"/>
      <c r="F345" s="147"/>
      <c r="G345" s="137"/>
      <c r="H345" s="137"/>
      <c r="I345" s="137"/>
      <c r="J345" s="66"/>
      <c r="K345" s="107"/>
      <c r="L345" s="66"/>
      <c r="M345" s="66"/>
      <c r="N345" s="66"/>
      <c r="O345" s="172"/>
      <c r="P345" s="104"/>
      <c r="Q345" s="106"/>
      <c r="R345" s="106"/>
      <c r="S345" s="66"/>
      <c r="T345" s="106"/>
      <c r="U345" s="66"/>
      <c r="V345" s="66"/>
      <c r="W345" s="66"/>
      <c r="X345" s="106"/>
      <c r="Y345" s="66"/>
      <c r="Z345" s="66"/>
      <c r="AA345" s="81"/>
      <c r="AB345" s="81"/>
    </row>
    <row r="346">
      <c r="A346" s="81"/>
      <c r="B346" s="66"/>
      <c r="C346" s="106"/>
      <c r="D346" s="137"/>
      <c r="E346" s="66"/>
      <c r="F346" s="147"/>
      <c r="G346" s="137"/>
      <c r="H346" s="137"/>
      <c r="I346" s="137"/>
      <c r="J346" s="66"/>
      <c r="K346" s="107"/>
      <c r="L346" s="66"/>
      <c r="M346" s="66"/>
      <c r="N346" s="66"/>
      <c r="O346" s="172"/>
      <c r="P346" s="104"/>
      <c r="Q346" s="106"/>
      <c r="R346" s="106"/>
      <c r="S346" s="66"/>
      <c r="T346" s="106"/>
      <c r="U346" s="66"/>
      <c r="V346" s="66"/>
      <c r="W346" s="66"/>
      <c r="X346" s="106"/>
      <c r="Y346" s="66"/>
      <c r="Z346" s="66"/>
      <c r="AA346" s="81"/>
      <c r="AB346" s="81"/>
    </row>
    <row r="347">
      <c r="A347" s="81"/>
      <c r="B347" s="66"/>
      <c r="C347" s="106"/>
      <c r="D347" s="137"/>
      <c r="E347" s="66"/>
      <c r="F347" s="147"/>
      <c r="G347" s="137"/>
      <c r="H347" s="137"/>
      <c r="I347" s="137"/>
      <c r="J347" s="66"/>
      <c r="K347" s="107"/>
      <c r="L347" s="66"/>
      <c r="M347" s="66"/>
      <c r="N347" s="66"/>
      <c r="O347" s="172"/>
      <c r="P347" s="104"/>
      <c r="Q347" s="106"/>
      <c r="R347" s="106"/>
      <c r="S347" s="66"/>
      <c r="T347" s="106"/>
      <c r="U347" s="66"/>
      <c r="V347" s="66"/>
      <c r="W347" s="66"/>
      <c r="X347" s="106"/>
      <c r="Y347" s="66"/>
      <c r="Z347" s="66"/>
      <c r="AA347" s="81"/>
      <c r="AB347" s="81"/>
    </row>
    <row r="348">
      <c r="A348" s="81"/>
      <c r="B348" s="66"/>
      <c r="C348" s="106"/>
      <c r="D348" s="137"/>
      <c r="E348" s="66"/>
      <c r="F348" s="147"/>
      <c r="G348" s="137"/>
      <c r="H348" s="137"/>
      <c r="I348" s="137"/>
      <c r="J348" s="66"/>
      <c r="K348" s="107"/>
      <c r="L348" s="66"/>
      <c r="M348" s="66"/>
      <c r="N348" s="66"/>
      <c r="O348" s="172"/>
      <c r="P348" s="104"/>
      <c r="Q348" s="106"/>
      <c r="R348" s="106"/>
      <c r="S348" s="66"/>
      <c r="T348" s="106"/>
      <c r="U348" s="66"/>
      <c r="V348" s="66"/>
      <c r="W348" s="66"/>
      <c r="X348" s="106"/>
      <c r="Y348" s="66"/>
      <c r="Z348" s="66"/>
      <c r="AA348" s="81"/>
      <c r="AB348" s="81"/>
    </row>
    <row r="349">
      <c r="A349" s="81"/>
      <c r="B349" s="66"/>
      <c r="C349" s="106"/>
      <c r="D349" s="137"/>
      <c r="E349" s="66"/>
      <c r="F349" s="147"/>
      <c r="G349" s="137"/>
      <c r="H349" s="137"/>
      <c r="I349" s="137"/>
      <c r="J349" s="66"/>
      <c r="K349" s="107"/>
      <c r="L349" s="66"/>
      <c r="M349" s="66"/>
      <c r="N349" s="66"/>
      <c r="O349" s="172"/>
      <c r="P349" s="104"/>
      <c r="Q349" s="106"/>
      <c r="R349" s="106"/>
      <c r="S349" s="66"/>
      <c r="T349" s="106"/>
      <c r="U349" s="66"/>
      <c r="V349" s="66"/>
      <c r="W349" s="66"/>
      <c r="X349" s="106"/>
      <c r="Y349" s="66"/>
      <c r="Z349" s="66"/>
      <c r="AA349" s="81"/>
      <c r="AB349" s="81"/>
    </row>
    <row r="350">
      <c r="A350" s="81"/>
      <c r="B350" s="66"/>
      <c r="C350" s="106"/>
      <c r="D350" s="137"/>
      <c r="E350" s="66"/>
      <c r="F350" s="147"/>
      <c r="G350" s="137"/>
      <c r="H350" s="137"/>
      <c r="I350" s="137"/>
      <c r="J350" s="66"/>
      <c r="K350" s="107"/>
      <c r="L350" s="66"/>
      <c r="M350" s="66"/>
      <c r="N350" s="66"/>
      <c r="O350" s="172"/>
      <c r="P350" s="104"/>
      <c r="Q350" s="106"/>
      <c r="R350" s="106"/>
      <c r="S350" s="66"/>
      <c r="T350" s="106"/>
      <c r="U350" s="66"/>
      <c r="V350" s="66"/>
      <c r="W350" s="66"/>
      <c r="X350" s="106"/>
      <c r="Y350" s="66"/>
      <c r="Z350" s="66"/>
      <c r="AA350" s="81"/>
      <c r="AB350" s="81"/>
    </row>
    <row r="351">
      <c r="A351" s="81"/>
      <c r="B351" s="66"/>
      <c r="C351" s="106"/>
      <c r="D351" s="137"/>
      <c r="E351" s="66"/>
      <c r="F351" s="147"/>
      <c r="G351" s="137"/>
      <c r="H351" s="137"/>
      <c r="I351" s="137"/>
      <c r="J351" s="66"/>
      <c r="K351" s="107"/>
      <c r="L351" s="66"/>
      <c r="M351" s="66"/>
      <c r="N351" s="66"/>
      <c r="O351" s="172"/>
      <c r="P351" s="104"/>
      <c r="Q351" s="106"/>
      <c r="R351" s="106"/>
      <c r="S351" s="66"/>
      <c r="T351" s="106"/>
      <c r="U351" s="66"/>
      <c r="V351" s="66"/>
      <c r="W351" s="66"/>
      <c r="X351" s="106"/>
      <c r="Y351" s="66"/>
      <c r="Z351" s="66"/>
      <c r="AA351" s="81"/>
      <c r="AB351" s="81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</row>
  </sheetData>
  <autoFilter ref="$A$1:$AB$156"/>
  <customSheetViews>
    <customSheetView guid="{3759F562-D616-46FC-A05A-B38854AAE1CB}" filter="1" showAutoFilter="1">
      <autoFilter ref="$A$1:$AA$156"/>
    </customSheetView>
  </customSheetViews>
  <dataValidations>
    <dataValidation type="list" allowBlank="1" showErrorMessage="1" sqref="R2:R122 Q123:R123 R124:R946">
      <formula1>"1RA FACTURA,FREE,NO PAGADO,PAGADO,SERVICIO SUSPENDIDO,TERMINO DE GIRO,DE BAJA,PAGO INCOMPLETO,PRORROGA,VERIFICACIÓN PENDIENTE"</formula1>
    </dataValidation>
    <dataValidation type="list" allowBlank="1" showErrorMessage="1" sqref="X2:X946">
      <formula1>"PENDIENTE,FIRMADO,ENVIADO,NO HACER CONTRATO,VERIFICACION PENDIENTE"</formula1>
    </dataValidation>
    <dataValidation type="list" allowBlank="1" showErrorMessage="1" sqref="C62">
      <formula1>"EMPRENDEDOR,GO,EXECUTIVE,FULL EMPRENDEDOR,TERMINO DE GIRO,FREE,BAJA,CONGELADO"</formula1>
    </dataValidation>
    <dataValidation type="list" allowBlank="1" showErrorMessage="1" sqref="Q2:Q122 T141 T143:T148 Q124:Q946 T150:T946">
      <formula1>"DECLARADO,PENDIENTE,IMPUGNADO,POSTERGADO,NOTIFICADO,NO DECLARAR,REVISAR,F29 GUARDADO,POSTERGADO"</formula1>
    </dataValidation>
    <dataValidation type="list" allowBlank="1" showErrorMessage="1" sqref="T2:T140 T142">
      <formula1>"SI,NO"</formula1>
    </dataValidation>
    <dataValidation type="list" allowBlank="1" showErrorMessage="1" sqref="C2:C61 C63:C946">
      <formula1>"EMPRENDEDOR,GO,EXECUTIVE,FULL EMPRENDEDOR,TERMINO DE GIRO,FREE,OFV,DE BAJA,CAMBIAR PLAN"</formula1>
    </dataValidation>
    <dataValidation type="list" allowBlank="1" sqref="S149">
      <formula1>"DAVID,CAMILO,RAMON,VICTOR"</formula1>
    </dataValidation>
  </dataValidations>
  <hyperlinks>
    <hyperlink r:id="rId1" ref="M60"/>
    <hyperlink r:id="rId2" ref="M93"/>
    <hyperlink r:id="rId3" ref="M105"/>
    <hyperlink r:id="rId4" ref="M138"/>
    <hyperlink r:id="rId5" ref="M144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5"/>
    <col customWidth="1" min="6" max="6" width="20.13"/>
    <col customWidth="1" min="12" max="12" width="8.25"/>
    <col customWidth="1" min="15" max="15" width="25.38"/>
    <col customWidth="1" min="16" max="16" width="29.75"/>
    <col customWidth="1" min="17" max="17" width="34.38"/>
    <col customWidth="1" min="18" max="18" width="38.5"/>
  </cols>
  <sheetData>
    <row r="1">
      <c r="A1" s="232"/>
      <c r="B1" s="232" t="s">
        <v>1786</v>
      </c>
      <c r="C1" s="232" t="s">
        <v>786</v>
      </c>
      <c r="D1" s="232" t="s">
        <v>787</v>
      </c>
      <c r="E1" s="232" t="s">
        <v>791</v>
      </c>
      <c r="F1" s="232" t="s">
        <v>1787</v>
      </c>
      <c r="G1" s="232" t="s">
        <v>1788</v>
      </c>
      <c r="H1" s="232" t="s">
        <v>1789</v>
      </c>
      <c r="I1" s="232" t="s">
        <v>789</v>
      </c>
      <c r="J1" s="232" t="s">
        <v>1790</v>
      </c>
      <c r="K1" s="232" t="s">
        <v>1791</v>
      </c>
      <c r="L1" s="232" t="s">
        <v>1792</v>
      </c>
      <c r="M1" s="232" t="s">
        <v>806</v>
      </c>
      <c r="N1" s="232" t="s">
        <v>1793</v>
      </c>
      <c r="O1" s="232" t="s">
        <v>1794</v>
      </c>
      <c r="P1" s="232" t="s">
        <v>1795</v>
      </c>
      <c r="Q1" s="232" t="s">
        <v>1796</v>
      </c>
      <c r="R1" s="233" t="s">
        <v>1797</v>
      </c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</row>
    <row r="2">
      <c r="A2" s="235">
        <v>45909.0</v>
      </c>
      <c r="B2" s="235">
        <v>45910.0</v>
      </c>
      <c r="C2" s="236" t="s">
        <v>1798</v>
      </c>
      <c r="D2" s="236" t="s">
        <v>1799</v>
      </c>
      <c r="E2" s="86" t="s">
        <v>1800</v>
      </c>
      <c r="F2" s="236" t="s">
        <v>1801</v>
      </c>
      <c r="G2" s="94"/>
      <c r="H2" s="94"/>
      <c r="I2" s="94"/>
      <c r="J2" s="236" t="s">
        <v>1802</v>
      </c>
      <c r="K2" s="236" t="s">
        <v>1803</v>
      </c>
      <c r="L2" s="94"/>
      <c r="M2" s="236" t="s">
        <v>1804</v>
      </c>
      <c r="N2" s="236" t="s">
        <v>1805</v>
      </c>
      <c r="O2" s="236" t="s">
        <v>1806</v>
      </c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>
      <c r="A3" s="235">
        <v>45909.0</v>
      </c>
      <c r="B3" s="235">
        <v>45910.0</v>
      </c>
      <c r="C3" s="236" t="s">
        <v>1689</v>
      </c>
      <c r="D3" s="236" t="s">
        <v>1690</v>
      </c>
      <c r="E3" s="26" t="s">
        <v>1691</v>
      </c>
      <c r="F3" s="236" t="s">
        <v>1807</v>
      </c>
      <c r="G3" s="94"/>
      <c r="H3" s="94"/>
      <c r="I3" s="94"/>
      <c r="J3" s="236" t="s">
        <v>1802</v>
      </c>
      <c r="K3" s="236" t="s">
        <v>1808</v>
      </c>
      <c r="L3" s="94"/>
      <c r="M3" s="236" t="s">
        <v>1809</v>
      </c>
      <c r="N3" s="236" t="s">
        <v>1810</v>
      </c>
      <c r="O3" s="236" t="s">
        <v>1811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>
      <c r="A4" s="235">
        <v>45909.0</v>
      </c>
      <c r="B4" s="94"/>
      <c r="C4" s="236" t="s">
        <v>1812</v>
      </c>
      <c r="D4" s="236" t="s">
        <v>1813</v>
      </c>
      <c r="E4" s="86" t="s">
        <v>1814</v>
      </c>
      <c r="F4" s="236" t="s">
        <v>1815</v>
      </c>
      <c r="G4" s="94"/>
      <c r="H4" s="94"/>
      <c r="I4" s="94"/>
      <c r="J4" s="236" t="s">
        <v>1802</v>
      </c>
      <c r="K4" s="236" t="s">
        <v>1808</v>
      </c>
      <c r="L4" s="94"/>
      <c r="M4" s="236" t="s">
        <v>1816</v>
      </c>
      <c r="N4" s="236" t="s">
        <v>1817</v>
      </c>
      <c r="O4" s="236" t="s">
        <v>1818</v>
      </c>
      <c r="P4" s="237" t="s">
        <v>1819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>
      <c r="A5" s="235">
        <v>45909.0</v>
      </c>
      <c r="B5" s="238">
        <v>45909.0</v>
      </c>
      <c r="C5" s="236" t="s">
        <v>1127</v>
      </c>
      <c r="D5" s="236" t="s">
        <v>642</v>
      </c>
      <c r="E5" s="86" t="s">
        <v>643</v>
      </c>
      <c r="F5" s="236" t="s">
        <v>1820</v>
      </c>
      <c r="G5" s="94"/>
      <c r="H5" s="94"/>
      <c r="I5" s="94"/>
      <c r="J5" s="236" t="s">
        <v>1802</v>
      </c>
      <c r="K5" s="236" t="s">
        <v>1821</v>
      </c>
      <c r="L5" s="94"/>
      <c r="M5" s="236" t="s">
        <v>1822</v>
      </c>
      <c r="N5" s="236" t="s">
        <v>1823</v>
      </c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>
      <c r="A6" s="235">
        <v>45909.0</v>
      </c>
      <c r="B6" s="235">
        <v>45912.0</v>
      </c>
      <c r="C6" s="236" t="s">
        <v>1824</v>
      </c>
      <c r="D6" s="236" t="s">
        <v>1825</v>
      </c>
      <c r="E6" s="86" t="s">
        <v>1826</v>
      </c>
      <c r="F6" s="236" t="s">
        <v>1827</v>
      </c>
      <c r="G6" s="94"/>
      <c r="H6" s="94"/>
      <c r="I6" s="94"/>
      <c r="J6" s="236" t="s">
        <v>1802</v>
      </c>
      <c r="K6" s="236" t="s">
        <v>1803</v>
      </c>
      <c r="L6" s="94"/>
      <c r="M6" s="236" t="s">
        <v>1828</v>
      </c>
      <c r="N6" s="236" t="s">
        <v>1829</v>
      </c>
      <c r="O6" s="236" t="s">
        <v>1830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</row>
    <row r="7">
      <c r="A7" s="239">
        <v>45932.0</v>
      </c>
      <c r="B7" s="94"/>
      <c r="C7" s="236" t="s">
        <v>1241</v>
      </c>
      <c r="D7" s="67" t="s">
        <v>1242</v>
      </c>
      <c r="E7" s="67" t="s">
        <v>486</v>
      </c>
      <c r="F7" s="236" t="s">
        <v>1831</v>
      </c>
      <c r="G7" s="67" t="s">
        <v>1831</v>
      </c>
      <c r="H7" s="67" t="s">
        <v>1615</v>
      </c>
      <c r="I7" s="240"/>
      <c r="J7" s="94" t="s">
        <v>1802</v>
      </c>
      <c r="K7" s="94" t="s">
        <v>1832</v>
      </c>
      <c r="L7" s="241">
        <v>1.0</v>
      </c>
      <c r="M7" s="73" t="s">
        <v>1833</v>
      </c>
      <c r="N7" s="94"/>
      <c r="O7" s="94" t="s">
        <v>1834</v>
      </c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</row>
    <row r="8">
      <c r="A8" s="239">
        <v>45937.0</v>
      </c>
      <c r="B8" s="94"/>
      <c r="C8" s="81" t="s">
        <v>1835</v>
      </c>
      <c r="D8" s="67" t="s">
        <v>1228</v>
      </c>
      <c r="E8" s="67" t="s">
        <v>809</v>
      </c>
      <c r="F8" s="236" t="s">
        <v>1831</v>
      </c>
      <c r="G8" s="67" t="s">
        <v>1413</v>
      </c>
      <c r="H8" s="67" t="s">
        <v>1836</v>
      </c>
      <c r="I8" s="240"/>
      <c r="J8" s="94" t="s">
        <v>811</v>
      </c>
      <c r="K8" s="94" t="s">
        <v>1821</v>
      </c>
      <c r="L8" s="241">
        <v>1.0</v>
      </c>
      <c r="M8" s="94" t="s">
        <v>1837</v>
      </c>
      <c r="N8" s="94"/>
      <c r="O8" s="94" t="s">
        <v>1838</v>
      </c>
      <c r="P8" s="94" t="s">
        <v>1839</v>
      </c>
      <c r="Q8" s="94" t="s">
        <v>1840</v>
      </c>
      <c r="R8" s="94" t="s">
        <v>1841</v>
      </c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</row>
    <row r="9">
      <c r="A9" s="235">
        <v>45909.0</v>
      </c>
      <c r="B9" s="94"/>
      <c r="C9" s="236" t="s">
        <v>994</v>
      </c>
      <c r="D9" s="236" t="s">
        <v>75</v>
      </c>
      <c r="E9" s="86" t="s">
        <v>76</v>
      </c>
      <c r="F9" s="236" t="s">
        <v>1842</v>
      </c>
      <c r="G9" s="94"/>
      <c r="H9" s="94"/>
      <c r="I9" s="94"/>
      <c r="J9" s="236" t="s">
        <v>1802</v>
      </c>
      <c r="K9" s="236" t="s">
        <v>1803</v>
      </c>
      <c r="L9" s="94"/>
      <c r="M9" s="236" t="s">
        <v>1843</v>
      </c>
      <c r="N9" s="94"/>
      <c r="O9" s="236" t="s">
        <v>1844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</row>
    <row r="10">
      <c r="A10" s="235">
        <v>45909.0</v>
      </c>
      <c r="B10" s="235">
        <v>45925.0</v>
      </c>
      <c r="C10" s="236" t="s">
        <v>1845</v>
      </c>
      <c r="D10" s="236" t="s">
        <v>576</v>
      </c>
      <c r="E10" s="86" t="s">
        <v>577</v>
      </c>
      <c r="F10" s="236" t="s">
        <v>1846</v>
      </c>
      <c r="G10" s="94"/>
      <c r="H10" s="94"/>
      <c r="I10" s="94"/>
      <c r="J10" s="236" t="s">
        <v>1802</v>
      </c>
      <c r="K10" s="236" t="s">
        <v>1803</v>
      </c>
      <c r="L10" s="94"/>
      <c r="M10" s="236" t="s">
        <v>1847</v>
      </c>
      <c r="N10" s="236" t="s">
        <v>1848</v>
      </c>
      <c r="O10" s="236" t="s">
        <v>1849</v>
      </c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</row>
    <row r="11">
      <c r="A11" s="235">
        <v>45909.0</v>
      </c>
      <c r="B11" s="94"/>
      <c r="C11" s="236" t="s">
        <v>1850</v>
      </c>
      <c r="D11" s="236" t="s">
        <v>1851</v>
      </c>
      <c r="E11" s="242"/>
      <c r="F11" s="236" t="s">
        <v>1852</v>
      </c>
      <c r="G11" s="94"/>
      <c r="H11" s="94"/>
      <c r="I11" s="94"/>
      <c r="J11" s="236" t="s">
        <v>1802</v>
      </c>
      <c r="K11" s="236" t="s">
        <v>1803</v>
      </c>
      <c r="L11" s="94"/>
      <c r="M11" s="236" t="s">
        <v>1853</v>
      </c>
      <c r="N11" s="236" t="s">
        <v>1854</v>
      </c>
      <c r="O11" s="236" t="s">
        <v>1855</v>
      </c>
      <c r="P11" s="236" t="s">
        <v>1856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</row>
    <row r="12">
      <c r="A12" s="235">
        <v>45909.0</v>
      </c>
      <c r="B12" s="235">
        <v>45911.0</v>
      </c>
      <c r="C12" s="236" t="s">
        <v>1857</v>
      </c>
      <c r="D12" s="236" t="s">
        <v>1858</v>
      </c>
      <c r="E12" s="86" t="s">
        <v>1859</v>
      </c>
      <c r="F12" s="236" t="s">
        <v>1860</v>
      </c>
      <c r="G12" s="94"/>
      <c r="H12" s="94"/>
      <c r="I12" s="94"/>
      <c r="J12" s="236" t="s">
        <v>1802</v>
      </c>
      <c r="K12" s="236" t="s">
        <v>1821</v>
      </c>
      <c r="L12" s="94"/>
      <c r="M12" s="236" t="s">
        <v>1861</v>
      </c>
      <c r="N12" s="236" t="s">
        <v>1862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</row>
    <row r="13">
      <c r="A13" s="235">
        <v>45909.0</v>
      </c>
      <c r="B13" s="235">
        <v>46048.0</v>
      </c>
      <c r="C13" s="236" t="s">
        <v>1857</v>
      </c>
      <c r="D13" s="236" t="s">
        <v>1858</v>
      </c>
      <c r="E13" s="86" t="s">
        <v>1859</v>
      </c>
      <c r="F13" s="236" t="s">
        <v>1863</v>
      </c>
      <c r="G13" s="67" t="s">
        <v>1864</v>
      </c>
      <c r="H13" s="94"/>
      <c r="I13" s="94"/>
      <c r="J13" s="236" t="s">
        <v>1802</v>
      </c>
      <c r="K13" s="236" t="s">
        <v>1821</v>
      </c>
      <c r="L13" s="94"/>
      <c r="M13" s="236" t="s">
        <v>1865</v>
      </c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</row>
    <row r="14">
      <c r="A14" s="243">
        <v>45952.0</v>
      </c>
      <c r="B14" s="94"/>
      <c r="C14" s="81" t="s">
        <v>1238</v>
      </c>
      <c r="D14" s="236" t="s">
        <v>1239</v>
      </c>
      <c r="E14" s="94" t="s">
        <v>1866</v>
      </c>
      <c r="F14" s="236" t="s">
        <v>1846</v>
      </c>
      <c r="G14" s="67" t="s">
        <v>1413</v>
      </c>
      <c r="H14" s="67">
        <v>9.31010606E8</v>
      </c>
      <c r="I14" s="67" t="s">
        <v>1240</v>
      </c>
      <c r="J14" s="94" t="s">
        <v>811</v>
      </c>
      <c r="K14" s="94" t="s">
        <v>1832</v>
      </c>
      <c r="L14" s="241">
        <v>1.0</v>
      </c>
      <c r="M14" s="94" t="s">
        <v>1867</v>
      </c>
      <c r="N14" s="94" t="s">
        <v>1868</v>
      </c>
      <c r="O14" s="94" t="s">
        <v>1869</v>
      </c>
      <c r="P14" s="94" t="s">
        <v>1870</v>
      </c>
      <c r="Q14" s="94" t="s">
        <v>1871</v>
      </c>
      <c r="R14" s="94" t="s">
        <v>1872</v>
      </c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</row>
    <row r="15">
      <c r="A15" s="235">
        <v>45910.0</v>
      </c>
      <c r="B15" s="235">
        <v>45910.0</v>
      </c>
      <c r="C15" s="236" t="s">
        <v>1067</v>
      </c>
      <c r="D15" s="236" t="s">
        <v>433</v>
      </c>
      <c r="E15" s="86" t="s">
        <v>426</v>
      </c>
      <c r="F15" s="236" t="s">
        <v>1873</v>
      </c>
      <c r="G15" s="94"/>
      <c r="H15" s="94"/>
      <c r="I15" s="94"/>
      <c r="J15" s="236" t="s">
        <v>1802</v>
      </c>
      <c r="K15" s="236" t="s">
        <v>1803</v>
      </c>
      <c r="L15" s="94"/>
      <c r="M15" s="236" t="s">
        <v>1874</v>
      </c>
      <c r="N15" s="236" t="s">
        <v>1875</v>
      </c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</row>
    <row r="16">
      <c r="A16" s="235">
        <v>45910.0</v>
      </c>
      <c r="B16" s="235">
        <v>45910.0</v>
      </c>
      <c r="C16" s="236" t="s">
        <v>1876</v>
      </c>
      <c r="D16" s="236" t="s">
        <v>561</v>
      </c>
      <c r="E16" s="26" t="s">
        <v>562</v>
      </c>
      <c r="F16" s="236" t="s">
        <v>1877</v>
      </c>
      <c r="G16" s="94"/>
      <c r="H16" s="94"/>
      <c r="I16" s="94"/>
      <c r="J16" s="236" t="s">
        <v>1802</v>
      </c>
      <c r="K16" s="236" t="s">
        <v>1808</v>
      </c>
      <c r="L16" s="94"/>
      <c r="M16" s="236" t="s">
        <v>1878</v>
      </c>
      <c r="N16" s="236" t="s">
        <v>1879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</row>
    <row r="17">
      <c r="A17" s="235">
        <v>45910.0</v>
      </c>
      <c r="B17" s="235">
        <v>45922.0</v>
      </c>
      <c r="C17" s="236" t="s">
        <v>1880</v>
      </c>
      <c r="D17" s="236" t="s">
        <v>1881</v>
      </c>
      <c r="E17" s="86" t="s">
        <v>1750</v>
      </c>
      <c r="F17" s="236" t="s">
        <v>1846</v>
      </c>
      <c r="G17" s="94"/>
      <c r="H17" s="94"/>
      <c r="I17" s="94"/>
      <c r="J17" s="236" t="s">
        <v>1802</v>
      </c>
      <c r="K17" s="236" t="s">
        <v>1808</v>
      </c>
      <c r="L17" s="94"/>
      <c r="M17" s="236" t="s">
        <v>1882</v>
      </c>
      <c r="N17" s="236" t="s">
        <v>1883</v>
      </c>
      <c r="O17" s="236" t="s">
        <v>1884</v>
      </c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</row>
    <row r="18">
      <c r="A18" s="235">
        <v>45910.0</v>
      </c>
      <c r="B18" s="235">
        <v>45922.0</v>
      </c>
      <c r="C18" s="236" t="s">
        <v>1511</v>
      </c>
      <c r="D18" s="236" t="s">
        <v>1512</v>
      </c>
      <c r="E18" s="86" t="s">
        <v>1513</v>
      </c>
      <c r="F18" s="236" t="s">
        <v>1846</v>
      </c>
      <c r="G18" s="94"/>
      <c r="H18" s="234"/>
      <c r="I18" s="94"/>
      <c r="J18" s="236" t="s">
        <v>1802</v>
      </c>
      <c r="K18" s="236" t="s">
        <v>1803</v>
      </c>
      <c r="L18" s="94"/>
      <c r="M18" s="236" t="s">
        <v>1885</v>
      </c>
      <c r="N18" s="236" t="s">
        <v>1886</v>
      </c>
      <c r="O18" s="236" t="s">
        <v>1887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</row>
    <row r="19">
      <c r="A19" s="243">
        <v>45954.0</v>
      </c>
      <c r="B19" s="94"/>
      <c r="C19" s="94" t="s">
        <v>1888</v>
      </c>
      <c r="D19" s="236" t="s">
        <v>1889</v>
      </c>
      <c r="E19" s="94" t="s">
        <v>1890</v>
      </c>
      <c r="F19" s="236" t="s">
        <v>1831</v>
      </c>
      <c r="G19" s="67" t="s">
        <v>1891</v>
      </c>
      <c r="H19" s="67" t="s">
        <v>1892</v>
      </c>
      <c r="I19" s="94" t="s">
        <v>1893</v>
      </c>
      <c r="J19" s="94" t="s">
        <v>1802</v>
      </c>
      <c r="K19" s="94" t="s">
        <v>1803</v>
      </c>
      <c r="L19" s="241">
        <v>1.0</v>
      </c>
      <c r="M19" s="94" t="s">
        <v>1894</v>
      </c>
      <c r="N19" s="94"/>
      <c r="O19" s="94" t="s">
        <v>1895</v>
      </c>
      <c r="P19" s="94" t="s">
        <v>1896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</row>
    <row r="20">
      <c r="A20" s="235">
        <v>45910.0</v>
      </c>
      <c r="B20" s="94"/>
      <c r="C20" s="236" t="s">
        <v>1897</v>
      </c>
      <c r="D20" s="236" t="s">
        <v>1898</v>
      </c>
      <c r="E20" s="86" t="s">
        <v>1899</v>
      </c>
      <c r="F20" s="236" t="s">
        <v>1900</v>
      </c>
      <c r="G20" s="94"/>
      <c r="H20" s="94"/>
      <c r="I20" s="94"/>
      <c r="J20" s="236" t="s">
        <v>1802</v>
      </c>
      <c r="K20" s="236" t="s">
        <v>1803</v>
      </c>
      <c r="L20" s="94"/>
      <c r="M20" s="236" t="s">
        <v>1901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</row>
    <row r="21">
      <c r="A21" s="235">
        <v>45910.0</v>
      </c>
      <c r="B21" s="94"/>
      <c r="C21" s="236" t="s">
        <v>1902</v>
      </c>
      <c r="D21" s="94"/>
      <c r="E21" s="94"/>
      <c r="F21" s="236" t="s">
        <v>1903</v>
      </c>
      <c r="G21" s="94"/>
      <c r="H21" s="94"/>
      <c r="I21" s="94"/>
      <c r="J21" s="236" t="s">
        <v>1802</v>
      </c>
      <c r="K21" s="236" t="s">
        <v>1808</v>
      </c>
      <c r="L21" s="94"/>
      <c r="M21" s="236" t="s">
        <v>1904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</row>
    <row r="22">
      <c r="A22" s="243">
        <v>45960.0</v>
      </c>
      <c r="B22" s="94"/>
      <c r="C22" s="94" t="s">
        <v>1271</v>
      </c>
      <c r="D22" s="236" t="s">
        <v>1272</v>
      </c>
      <c r="E22" s="236" t="s">
        <v>809</v>
      </c>
      <c r="F22" s="236" t="s">
        <v>1831</v>
      </c>
      <c r="G22" s="67" t="s">
        <v>1905</v>
      </c>
      <c r="H22" s="67" t="s">
        <v>1906</v>
      </c>
      <c r="I22" s="94" t="s">
        <v>1273</v>
      </c>
      <c r="J22" s="94" t="s">
        <v>811</v>
      </c>
      <c r="K22" s="94" t="s">
        <v>1803</v>
      </c>
      <c r="L22" s="241">
        <v>1.0</v>
      </c>
      <c r="M22" s="94" t="s">
        <v>1907</v>
      </c>
      <c r="N22" s="94"/>
      <c r="O22" s="94" t="s">
        <v>1908</v>
      </c>
      <c r="P22" s="94" t="s">
        <v>1909</v>
      </c>
      <c r="Q22" s="94" t="s">
        <v>1910</v>
      </c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>
      <c r="A23" s="243">
        <v>45960.0</v>
      </c>
      <c r="B23" s="94"/>
      <c r="C23" s="94" t="s">
        <v>1771</v>
      </c>
      <c r="D23" s="236" t="s">
        <v>1772</v>
      </c>
      <c r="E23" s="236" t="s">
        <v>1773</v>
      </c>
      <c r="F23" s="236" t="s">
        <v>1831</v>
      </c>
      <c r="G23" s="67" t="s">
        <v>1905</v>
      </c>
      <c r="H23" s="67" t="s">
        <v>1776</v>
      </c>
      <c r="I23" s="94" t="s">
        <v>1774</v>
      </c>
      <c r="J23" s="94" t="s">
        <v>1802</v>
      </c>
      <c r="K23" s="94" t="s">
        <v>1803</v>
      </c>
      <c r="L23" s="241">
        <v>1.0</v>
      </c>
      <c r="M23" s="94" t="s">
        <v>1911</v>
      </c>
      <c r="N23" s="94"/>
      <c r="O23" s="94" t="s">
        <v>1912</v>
      </c>
      <c r="P23" s="94" t="s">
        <v>1913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>
      <c r="A24" s="235">
        <v>45909.0</v>
      </c>
      <c r="B24" s="94"/>
      <c r="C24" s="236" t="s">
        <v>1914</v>
      </c>
      <c r="D24" s="236" t="s">
        <v>1915</v>
      </c>
      <c r="E24" s="236" t="s">
        <v>1916</v>
      </c>
      <c r="F24" s="236" t="s">
        <v>1831</v>
      </c>
      <c r="G24" s="236" t="s">
        <v>1917</v>
      </c>
      <c r="H24" s="94"/>
      <c r="I24" s="94"/>
      <c r="J24" s="236" t="s">
        <v>1802</v>
      </c>
      <c r="K24" s="236" t="s">
        <v>1821</v>
      </c>
      <c r="L24" s="244">
        <v>1.0</v>
      </c>
      <c r="M24" s="236" t="s">
        <v>1918</v>
      </c>
      <c r="N24" s="236" t="s">
        <v>1919</v>
      </c>
      <c r="O24" s="236" t="s">
        <v>1920</v>
      </c>
      <c r="P24" s="236" t="s">
        <v>1921</v>
      </c>
      <c r="Q24" s="94" t="s">
        <v>1922</v>
      </c>
      <c r="R24" s="94" t="s">
        <v>1923</v>
      </c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>
      <c r="A25" s="235">
        <v>45910.0</v>
      </c>
      <c r="B25" s="94"/>
      <c r="C25" s="236" t="s">
        <v>975</v>
      </c>
      <c r="D25" s="236" t="s">
        <v>129</v>
      </c>
      <c r="E25" s="236" t="s">
        <v>130</v>
      </c>
      <c r="F25" s="236" t="s">
        <v>1846</v>
      </c>
      <c r="G25" s="236" t="s">
        <v>1846</v>
      </c>
      <c r="H25" s="94"/>
      <c r="I25" s="94"/>
      <c r="J25" s="236" t="s">
        <v>811</v>
      </c>
      <c r="K25" s="236" t="s">
        <v>1832</v>
      </c>
      <c r="L25" s="244">
        <v>1.0</v>
      </c>
      <c r="M25" s="236" t="s">
        <v>1924</v>
      </c>
      <c r="N25" s="236" t="s">
        <v>1925</v>
      </c>
      <c r="O25" s="236" t="s">
        <v>1926</v>
      </c>
      <c r="P25" s="236" t="s">
        <v>1927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>
      <c r="A26" s="235">
        <v>45910.0</v>
      </c>
      <c r="B26" s="94"/>
      <c r="C26" s="236" t="s">
        <v>1928</v>
      </c>
      <c r="D26" s="236" t="s">
        <v>1929</v>
      </c>
      <c r="E26" s="86" t="s">
        <v>1930</v>
      </c>
      <c r="F26" s="236" t="s">
        <v>1831</v>
      </c>
      <c r="G26" s="245" t="s">
        <v>1846</v>
      </c>
      <c r="H26" s="94"/>
      <c r="I26" s="94"/>
      <c r="J26" s="236" t="s">
        <v>1802</v>
      </c>
      <c r="K26" s="236" t="s">
        <v>1808</v>
      </c>
      <c r="L26" s="244">
        <v>21.0</v>
      </c>
      <c r="M26" s="236" t="s">
        <v>1931</v>
      </c>
      <c r="N26" s="236" t="s">
        <v>1932</v>
      </c>
      <c r="O26" s="236" t="s">
        <v>1933</v>
      </c>
      <c r="P26" s="94"/>
      <c r="Q26" s="94" t="s">
        <v>1934</v>
      </c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>
      <c r="A27" s="235">
        <v>45910.0</v>
      </c>
      <c r="B27" s="94"/>
      <c r="C27" s="236" t="s">
        <v>1935</v>
      </c>
      <c r="D27" s="236" t="s">
        <v>1936</v>
      </c>
      <c r="E27" s="86" t="s">
        <v>1937</v>
      </c>
      <c r="F27" s="236" t="s">
        <v>1938</v>
      </c>
      <c r="G27" s="81"/>
      <c r="H27" s="94"/>
      <c r="I27" s="94"/>
      <c r="J27" s="236" t="s">
        <v>1802</v>
      </c>
      <c r="K27" s="236" t="s">
        <v>1808</v>
      </c>
      <c r="L27" s="94"/>
      <c r="M27" s="236" t="s">
        <v>1939</v>
      </c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</row>
    <row r="28">
      <c r="A28" s="235">
        <v>45910.0</v>
      </c>
      <c r="B28" s="94"/>
      <c r="C28" s="236" t="s">
        <v>1940</v>
      </c>
      <c r="D28" s="236" t="s">
        <v>1941</v>
      </c>
      <c r="E28" s="86" t="s">
        <v>1942</v>
      </c>
      <c r="F28" s="236" t="s">
        <v>1831</v>
      </c>
      <c r="G28" s="245" t="s">
        <v>1943</v>
      </c>
      <c r="H28" s="94"/>
      <c r="I28" s="94"/>
      <c r="J28" s="236" t="s">
        <v>1802</v>
      </c>
      <c r="K28" s="236" t="s">
        <v>1832</v>
      </c>
      <c r="L28" s="244">
        <v>1.0</v>
      </c>
      <c r="M28" s="236" t="s">
        <v>1944</v>
      </c>
      <c r="N28" s="236" t="s">
        <v>1945</v>
      </c>
      <c r="O28" s="236" t="s">
        <v>1946</v>
      </c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</row>
    <row r="29">
      <c r="A29" s="235">
        <v>45910.0</v>
      </c>
      <c r="B29" s="94"/>
      <c r="C29" s="236" t="s">
        <v>1589</v>
      </c>
      <c r="D29" s="236" t="s">
        <v>1590</v>
      </c>
      <c r="E29" s="86" t="s">
        <v>1591</v>
      </c>
      <c r="F29" s="236" t="s">
        <v>1947</v>
      </c>
      <c r="G29" s="81"/>
      <c r="H29" s="94"/>
      <c r="I29" s="94"/>
      <c r="J29" s="236" t="s">
        <v>1802</v>
      </c>
      <c r="K29" s="236" t="s">
        <v>1803</v>
      </c>
      <c r="L29" s="94"/>
      <c r="M29" s="236" t="s">
        <v>1948</v>
      </c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</row>
    <row r="30">
      <c r="A30" s="235">
        <v>45910.0</v>
      </c>
      <c r="B30" s="94"/>
      <c r="C30" s="236" t="s">
        <v>1949</v>
      </c>
      <c r="D30" s="89" t="s">
        <v>828</v>
      </c>
      <c r="E30" s="86" t="s">
        <v>829</v>
      </c>
      <c r="F30" s="236" t="s">
        <v>1938</v>
      </c>
      <c r="G30" s="246"/>
      <c r="H30" s="94"/>
      <c r="I30" s="94"/>
      <c r="J30" s="236" t="s">
        <v>811</v>
      </c>
      <c r="K30" s="236" t="s">
        <v>1803</v>
      </c>
      <c r="L30" s="94"/>
      <c r="M30" s="236" t="s">
        <v>1950</v>
      </c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</row>
    <row r="31">
      <c r="A31" s="235">
        <v>45910.0</v>
      </c>
      <c r="B31" s="94"/>
      <c r="C31" s="236" t="s">
        <v>1951</v>
      </c>
      <c r="D31" s="236" t="s">
        <v>1952</v>
      </c>
      <c r="E31" s="86" t="s">
        <v>1185</v>
      </c>
      <c r="F31" s="247" t="s">
        <v>1731</v>
      </c>
      <c r="G31" s="81"/>
      <c r="H31" s="94"/>
      <c r="I31" s="94"/>
      <c r="J31" s="236" t="s">
        <v>1802</v>
      </c>
      <c r="K31" s="236" t="s">
        <v>1821</v>
      </c>
      <c r="L31" s="94"/>
      <c r="M31" s="236" t="s">
        <v>1953</v>
      </c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</row>
    <row r="32">
      <c r="A32" s="235">
        <v>45910.0</v>
      </c>
      <c r="B32" s="94"/>
      <c r="C32" s="236" t="s">
        <v>146</v>
      </c>
      <c r="D32" s="236" t="s">
        <v>147</v>
      </c>
      <c r="E32" s="86" t="s">
        <v>148</v>
      </c>
      <c r="F32" s="236" t="s">
        <v>1954</v>
      </c>
      <c r="G32" s="246"/>
      <c r="H32" s="94"/>
      <c r="I32" s="94"/>
      <c r="J32" s="236" t="s">
        <v>1802</v>
      </c>
      <c r="K32" s="236" t="s">
        <v>1821</v>
      </c>
      <c r="L32" s="94"/>
      <c r="M32" s="236" t="s">
        <v>1955</v>
      </c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</row>
    <row r="33">
      <c r="A33" s="235">
        <v>45910.0</v>
      </c>
      <c r="B33" s="94"/>
      <c r="C33" s="236" t="s">
        <v>1483</v>
      </c>
      <c r="D33" s="236" t="s">
        <v>1484</v>
      </c>
      <c r="E33" s="86" t="s">
        <v>1485</v>
      </c>
      <c r="F33" s="236" t="s">
        <v>1956</v>
      </c>
      <c r="G33" s="81"/>
      <c r="H33" s="94"/>
      <c r="I33" s="94"/>
      <c r="J33" s="236" t="s">
        <v>1802</v>
      </c>
      <c r="K33" s="236" t="s">
        <v>1808</v>
      </c>
      <c r="L33" s="94"/>
      <c r="M33" s="236" t="s">
        <v>1957</v>
      </c>
      <c r="N33" s="236" t="s">
        <v>1958</v>
      </c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</row>
    <row r="34">
      <c r="A34" s="239">
        <v>45936.0</v>
      </c>
      <c r="B34" s="94"/>
      <c r="C34" s="94" t="s">
        <v>1959</v>
      </c>
      <c r="D34" s="67" t="s">
        <v>1259</v>
      </c>
      <c r="E34" s="28" t="s">
        <v>1260</v>
      </c>
      <c r="F34" s="236" t="s">
        <v>1846</v>
      </c>
      <c r="G34" s="248" t="s">
        <v>1960</v>
      </c>
      <c r="H34" s="67" t="s">
        <v>1622</v>
      </c>
      <c r="I34" s="240"/>
      <c r="J34" s="94" t="s">
        <v>811</v>
      </c>
      <c r="K34" s="94" t="s">
        <v>1832</v>
      </c>
      <c r="L34" s="241">
        <v>1.0</v>
      </c>
      <c r="M34" s="249" t="s">
        <v>1961</v>
      </c>
      <c r="N34" s="94"/>
      <c r="O34" s="94" t="s">
        <v>1962</v>
      </c>
      <c r="P34" s="94" t="s">
        <v>1963</v>
      </c>
      <c r="Q34" s="94" t="s">
        <v>1964</v>
      </c>
      <c r="R34" s="94" t="s">
        <v>1965</v>
      </c>
      <c r="S34" s="94"/>
      <c r="T34" s="94"/>
      <c r="U34" s="250" t="s">
        <v>1966</v>
      </c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</row>
    <row r="35">
      <c r="A35" s="235">
        <v>45929.0</v>
      </c>
      <c r="B35" s="94"/>
      <c r="C35" s="94" t="s">
        <v>1967</v>
      </c>
      <c r="D35" s="251" t="s">
        <v>1968</v>
      </c>
      <c r="E35" s="28" t="s">
        <v>1253</v>
      </c>
      <c r="F35" s="236" t="s">
        <v>1846</v>
      </c>
      <c r="G35" s="119" t="s">
        <v>1969</v>
      </c>
      <c r="H35" s="246"/>
      <c r="I35" s="246"/>
      <c r="J35" s="247" t="s">
        <v>811</v>
      </c>
      <c r="K35" s="247" t="s">
        <v>1832</v>
      </c>
      <c r="L35" s="251">
        <v>2.0</v>
      </c>
      <c r="M35" s="252" t="s">
        <v>1970</v>
      </c>
      <c r="N35" s="251" t="s">
        <v>1971</v>
      </c>
      <c r="O35" s="251" t="s">
        <v>1972</v>
      </c>
      <c r="P35" s="251" t="s">
        <v>1973</v>
      </c>
      <c r="Q35" s="94" t="s">
        <v>1974</v>
      </c>
      <c r="R35" s="250" t="s">
        <v>1975</v>
      </c>
      <c r="S35" s="94" t="s">
        <v>1976</v>
      </c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</row>
    <row r="36">
      <c r="A36" s="235">
        <v>45910.0</v>
      </c>
      <c r="B36" s="94"/>
      <c r="C36" s="236" t="s">
        <v>1202</v>
      </c>
      <c r="D36" s="236" t="s">
        <v>1203</v>
      </c>
      <c r="E36" s="94"/>
      <c r="F36" s="236" t="s">
        <v>1977</v>
      </c>
      <c r="G36" s="94"/>
      <c r="H36" s="94"/>
      <c r="I36" s="94"/>
      <c r="J36" s="236" t="s">
        <v>1802</v>
      </c>
      <c r="K36" s="236" t="s">
        <v>1803</v>
      </c>
      <c r="L36" s="94"/>
      <c r="M36" s="236" t="s">
        <v>1978</v>
      </c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</row>
    <row r="37">
      <c r="A37" s="235">
        <v>45910.0</v>
      </c>
      <c r="B37" s="94"/>
      <c r="C37" s="236" t="s">
        <v>1202</v>
      </c>
      <c r="D37" s="236" t="s">
        <v>1203</v>
      </c>
      <c r="E37" s="94"/>
      <c r="F37" s="236" t="s">
        <v>1979</v>
      </c>
      <c r="G37" s="94"/>
      <c r="H37" s="94"/>
      <c r="I37" s="94"/>
      <c r="J37" s="236" t="s">
        <v>1802</v>
      </c>
      <c r="K37" s="236" t="s">
        <v>1803</v>
      </c>
      <c r="L37" s="94"/>
      <c r="M37" s="236" t="s">
        <v>1980</v>
      </c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</row>
    <row r="38">
      <c r="A38" s="235">
        <v>45910.0</v>
      </c>
      <c r="B38" s="94"/>
      <c r="C38" s="236" t="s">
        <v>1202</v>
      </c>
      <c r="D38" s="236" t="s">
        <v>1203</v>
      </c>
      <c r="E38" s="94"/>
      <c r="F38" s="236" t="s">
        <v>1981</v>
      </c>
      <c r="G38" s="94"/>
      <c r="H38" s="94"/>
      <c r="I38" s="94"/>
      <c r="J38" s="236" t="s">
        <v>1802</v>
      </c>
      <c r="K38" s="236" t="s">
        <v>1803</v>
      </c>
      <c r="L38" s="94"/>
      <c r="M38" s="236" t="s">
        <v>1982</v>
      </c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</row>
    <row r="39">
      <c r="A39" s="239">
        <v>45940.0</v>
      </c>
      <c r="B39" s="94"/>
      <c r="C39" s="94" t="s">
        <v>1983</v>
      </c>
      <c r="D39" s="94" t="s">
        <v>1984</v>
      </c>
      <c r="E39" s="253" t="s">
        <v>1773</v>
      </c>
      <c r="F39" s="236" t="s">
        <v>1846</v>
      </c>
      <c r="G39" s="67" t="s">
        <v>1960</v>
      </c>
      <c r="H39" s="67" t="s">
        <v>1985</v>
      </c>
      <c r="I39" s="67" t="s">
        <v>1986</v>
      </c>
      <c r="J39" s="94" t="s">
        <v>1802</v>
      </c>
      <c r="K39" s="94" t="s">
        <v>1803</v>
      </c>
      <c r="L39" s="241">
        <v>3.0</v>
      </c>
      <c r="M39" s="249" t="s">
        <v>1987</v>
      </c>
      <c r="N39" s="94"/>
      <c r="O39" s="94" t="s">
        <v>1988</v>
      </c>
      <c r="P39" s="94" t="s">
        <v>1989</v>
      </c>
      <c r="Q39" s="94" t="s">
        <v>1990</v>
      </c>
      <c r="R39" s="94" t="s">
        <v>1991</v>
      </c>
      <c r="S39" s="94"/>
      <c r="T39" s="94"/>
      <c r="U39" s="94"/>
      <c r="V39" s="250" t="s">
        <v>1992</v>
      </c>
      <c r="W39" s="94"/>
      <c r="X39" s="94"/>
      <c r="Y39" s="94"/>
      <c r="Z39" s="94"/>
      <c r="AA39" s="94"/>
      <c r="AB39" s="94"/>
      <c r="AC39" s="94"/>
      <c r="AD39" s="94"/>
      <c r="AE39" s="94"/>
      <c r="AF39" s="94"/>
    </row>
    <row r="40">
      <c r="A40" s="235">
        <v>45910.0</v>
      </c>
      <c r="B40" s="94"/>
      <c r="C40" s="236" t="s">
        <v>1993</v>
      </c>
      <c r="D40" s="236" t="s">
        <v>1749</v>
      </c>
      <c r="E40" s="86" t="s">
        <v>1750</v>
      </c>
      <c r="F40" s="236" t="s">
        <v>1831</v>
      </c>
      <c r="G40" s="245" t="s">
        <v>1917</v>
      </c>
      <c r="H40" s="94"/>
      <c r="I40" s="94"/>
      <c r="J40" s="236" t="s">
        <v>1802</v>
      </c>
      <c r="K40" s="236" t="s">
        <v>1803</v>
      </c>
      <c r="L40" s="244">
        <v>21.0</v>
      </c>
      <c r="M40" s="236" t="s">
        <v>1994</v>
      </c>
      <c r="N40" s="236" t="s">
        <v>1995</v>
      </c>
      <c r="O40" s="236" t="s">
        <v>1996</v>
      </c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</row>
    <row r="41">
      <c r="A41" s="235">
        <v>45925.0</v>
      </c>
      <c r="B41" s="94"/>
      <c r="C41" s="236" t="s">
        <v>865</v>
      </c>
      <c r="D41" s="236" t="s">
        <v>59</v>
      </c>
      <c r="E41" s="86" t="s">
        <v>1997</v>
      </c>
      <c r="F41" s="236" t="s">
        <v>1998</v>
      </c>
      <c r="G41" s="81"/>
      <c r="H41" s="94"/>
      <c r="I41" s="94"/>
      <c r="J41" s="236" t="s">
        <v>1802</v>
      </c>
      <c r="K41" s="236" t="s">
        <v>1808</v>
      </c>
      <c r="L41" s="94"/>
      <c r="M41" s="236" t="s">
        <v>1999</v>
      </c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</row>
    <row r="42">
      <c r="A42" s="235">
        <v>45925.0</v>
      </c>
      <c r="B42" s="94"/>
      <c r="C42" s="236" t="s">
        <v>875</v>
      </c>
      <c r="D42" s="236" t="s">
        <v>243</v>
      </c>
      <c r="E42" s="254" t="s">
        <v>244</v>
      </c>
      <c r="F42" s="236" t="s">
        <v>2000</v>
      </c>
      <c r="G42" s="246"/>
      <c r="H42" s="94"/>
      <c r="I42" s="94"/>
      <c r="J42" s="236" t="s">
        <v>1802</v>
      </c>
      <c r="K42" s="236" t="s">
        <v>1803</v>
      </c>
      <c r="L42" s="94"/>
      <c r="M42" s="236" t="s">
        <v>2001</v>
      </c>
      <c r="N42" s="236" t="s">
        <v>1829</v>
      </c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</row>
    <row r="43">
      <c r="A43" s="235">
        <v>45925.0</v>
      </c>
      <c r="B43" s="94"/>
      <c r="C43" s="236" t="s">
        <v>875</v>
      </c>
      <c r="D43" s="236" t="s">
        <v>243</v>
      </c>
      <c r="E43" s="94"/>
      <c r="F43" s="236" t="s">
        <v>2002</v>
      </c>
      <c r="G43" s="81"/>
      <c r="H43" s="94"/>
      <c r="I43" s="94"/>
      <c r="J43" s="236" t="s">
        <v>811</v>
      </c>
      <c r="K43" s="236" t="s">
        <v>1803</v>
      </c>
      <c r="L43" s="94"/>
      <c r="M43" s="236" t="s">
        <v>2003</v>
      </c>
      <c r="N43" s="94"/>
      <c r="O43" s="236" t="s">
        <v>2004</v>
      </c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</row>
    <row r="44">
      <c r="A44" s="235">
        <v>45925.0</v>
      </c>
      <c r="B44" s="94"/>
      <c r="C44" s="236" t="s">
        <v>940</v>
      </c>
      <c r="D44" s="236" t="s">
        <v>634</v>
      </c>
      <c r="E44" s="86" t="s">
        <v>941</v>
      </c>
      <c r="F44" s="236" t="s">
        <v>2005</v>
      </c>
      <c r="G44" s="245" t="s">
        <v>2006</v>
      </c>
      <c r="H44" s="94"/>
      <c r="I44" s="94"/>
      <c r="J44" s="236" t="s">
        <v>811</v>
      </c>
      <c r="K44" s="236" t="s">
        <v>1808</v>
      </c>
      <c r="L44" s="94"/>
      <c r="M44" s="236" t="s">
        <v>2007</v>
      </c>
      <c r="O44" s="236" t="s">
        <v>2008</v>
      </c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</row>
    <row r="45">
      <c r="A45" s="235">
        <v>45925.0</v>
      </c>
      <c r="B45" s="94"/>
      <c r="C45" s="236" t="s">
        <v>1073</v>
      </c>
      <c r="D45" s="236" t="s">
        <v>67</v>
      </c>
      <c r="E45" s="86" t="s">
        <v>68</v>
      </c>
      <c r="F45" s="236" t="s">
        <v>2009</v>
      </c>
      <c r="G45" s="81"/>
      <c r="H45" s="94"/>
      <c r="I45" s="94"/>
      <c r="J45" s="236" t="s">
        <v>1802</v>
      </c>
      <c r="K45" s="236" t="s">
        <v>1808</v>
      </c>
      <c r="L45" s="94"/>
      <c r="M45" s="236" t="s">
        <v>2010</v>
      </c>
      <c r="N45" s="236" t="s">
        <v>2011</v>
      </c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</row>
    <row r="46">
      <c r="A46" s="235">
        <v>45925.0</v>
      </c>
      <c r="B46" s="94"/>
      <c r="C46" s="236" t="s">
        <v>2012</v>
      </c>
      <c r="D46" s="236" t="s">
        <v>634</v>
      </c>
      <c r="E46" s="86" t="s">
        <v>2013</v>
      </c>
      <c r="F46" s="236" t="s">
        <v>1831</v>
      </c>
      <c r="G46" s="255" t="s">
        <v>2014</v>
      </c>
      <c r="H46" s="73"/>
      <c r="I46" s="73"/>
      <c r="J46" s="236" t="s">
        <v>1802</v>
      </c>
      <c r="K46" s="236" t="s">
        <v>1808</v>
      </c>
      <c r="L46" s="256">
        <v>27.0</v>
      </c>
      <c r="M46" s="236" t="s">
        <v>2015</v>
      </c>
      <c r="N46" s="255" t="s">
        <v>2016</v>
      </c>
      <c r="O46" s="255" t="s">
        <v>2017</v>
      </c>
      <c r="P46" s="7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</row>
    <row r="47">
      <c r="A47" s="235">
        <v>45925.0</v>
      </c>
      <c r="B47" s="94"/>
      <c r="C47" s="236" t="s">
        <v>1418</v>
      </c>
      <c r="D47" s="236" t="s">
        <v>1419</v>
      </c>
      <c r="E47" s="86" t="s">
        <v>751</v>
      </c>
      <c r="F47" s="236" t="s">
        <v>2018</v>
      </c>
      <c r="G47" s="81"/>
      <c r="H47" s="94"/>
      <c r="I47" s="94"/>
      <c r="J47" s="236" t="s">
        <v>1802</v>
      </c>
      <c r="K47" s="236" t="s">
        <v>1808</v>
      </c>
      <c r="L47" s="94"/>
      <c r="M47" s="236" t="s">
        <v>2019</v>
      </c>
      <c r="N47" s="94"/>
      <c r="O47" s="236" t="s">
        <v>2020</v>
      </c>
      <c r="Q47" s="94" t="s">
        <v>2021</v>
      </c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</row>
    <row r="48">
      <c r="A48" s="243">
        <v>45951.0</v>
      </c>
      <c r="B48" s="94"/>
      <c r="C48" s="236" t="s">
        <v>2022</v>
      </c>
      <c r="D48" s="236" t="s">
        <v>2023</v>
      </c>
      <c r="E48" s="94" t="s">
        <v>2024</v>
      </c>
      <c r="F48" s="236" t="s">
        <v>1831</v>
      </c>
      <c r="G48" s="67" t="s">
        <v>2025</v>
      </c>
      <c r="H48" s="67" t="s">
        <v>2026</v>
      </c>
      <c r="I48" s="67" t="s">
        <v>2027</v>
      </c>
      <c r="J48" s="94" t="s">
        <v>1802</v>
      </c>
      <c r="K48" s="94" t="s">
        <v>1832</v>
      </c>
      <c r="L48" s="241">
        <v>3.0</v>
      </c>
      <c r="M48" s="94" t="s">
        <v>2028</v>
      </c>
      <c r="N48" s="94"/>
      <c r="O48" s="94" t="s">
        <v>2029</v>
      </c>
      <c r="P48" s="94" t="s">
        <v>1913</v>
      </c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</row>
    <row r="49">
      <c r="A49" s="235">
        <v>45925.0</v>
      </c>
      <c r="B49" s="94"/>
      <c r="C49" s="236" t="s">
        <v>2030</v>
      </c>
      <c r="D49" s="257" t="s">
        <v>1217</v>
      </c>
      <c r="E49" s="258" t="s">
        <v>2031</v>
      </c>
      <c r="F49" s="236" t="s">
        <v>1831</v>
      </c>
      <c r="G49" s="236" t="s">
        <v>2032</v>
      </c>
      <c r="H49" s="236" t="s">
        <v>1610</v>
      </c>
      <c r="I49" s="236" t="s">
        <v>2033</v>
      </c>
      <c r="J49" s="236" t="s">
        <v>811</v>
      </c>
      <c r="K49" s="236" t="s">
        <v>1832</v>
      </c>
      <c r="L49" s="244">
        <v>4.0</v>
      </c>
      <c r="M49" s="259" t="s">
        <v>2034</v>
      </c>
      <c r="N49" s="94"/>
      <c r="O49" s="236" t="s">
        <v>2035</v>
      </c>
      <c r="P49" s="250" t="s">
        <v>2036</v>
      </c>
      <c r="Q49" s="259" t="s">
        <v>2037</v>
      </c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</row>
    <row r="50">
      <c r="A50" s="235">
        <v>45925.0</v>
      </c>
      <c r="B50" s="94"/>
      <c r="C50" s="236" t="s">
        <v>1914</v>
      </c>
      <c r="D50" s="236" t="s">
        <v>1915</v>
      </c>
      <c r="E50" s="86" t="s">
        <v>1916</v>
      </c>
      <c r="F50" s="236" t="s">
        <v>2038</v>
      </c>
      <c r="G50" s="94"/>
      <c r="H50" s="94"/>
      <c r="I50" s="94"/>
      <c r="J50" s="236" t="s">
        <v>1802</v>
      </c>
      <c r="K50" s="236" t="s">
        <v>1808</v>
      </c>
      <c r="L50" s="94"/>
      <c r="M50" s="236" t="s">
        <v>2039</v>
      </c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</row>
    <row r="51">
      <c r="A51" s="239">
        <v>45940.0</v>
      </c>
      <c r="B51" s="94"/>
      <c r="C51" s="94" t="s">
        <v>2040</v>
      </c>
      <c r="D51" s="94" t="s">
        <v>2041</v>
      </c>
      <c r="E51" s="260" t="s">
        <v>2042</v>
      </c>
      <c r="F51" s="236" t="s">
        <v>1831</v>
      </c>
      <c r="G51" s="67" t="s">
        <v>1960</v>
      </c>
      <c r="H51" s="67" t="s">
        <v>2043</v>
      </c>
      <c r="I51" s="240"/>
      <c r="J51" s="94" t="s">
        <v>1802</v>
      </c>
      <c r="K51" s="94" t="s">
        <v>1803</v>
      </c>
      <c r="L51" s="241">
        <v>1.0</v>
      </c>
      <c r="M51" s="73" t="s">
        <v>2044</v>
      </c>
      <c r="N51" s="94"/>
      <c r="O51" s="94" t="s">
        <v>2045</v>
      </c>
      <c r="P51" s="94"/>
      <c r="Q51" s="94" t="s">
        <v>2046</v>
      </c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</row>
    <row r="52">
      <c r="A52" s="235">
        <v>45925.0</v>
      </c>
      <c r="B52" s="94"/>
      <c r="C52" s="236" t="s">
        <v>1068</v>
      </c>
      <c r="D52" s="236" t="s">
        <v>395</v>
      </c>
      <c r="E52" s="86" t="s">
        <v>396</v>
      </c>
      <c r="F52" s="236" t="s">
        <v>2038</v>
      </c>
      <c r="G52" s="94"/>
      <c r="H52" s="94"/>
      <c r="I52" s="94"/>
      <c r="J52" s="236" t="s">
        <v>1802</v>
      </c>
      <c r="K52" s="236" t="s">
        <v>1803</v>
      </c>
      <c r="L52" s="94"/>
      <c r="M52" s="236" t="s">
        <v>2039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</row>
    <row r="53">
      <c r="A53" s="235">
        <v>45925.0</v>
      </c>
      <c r="B53" s="94"/>
      <c r="C53" s="236" t="s">
        <v>2047</v>
      </c>
      <c r="D53" s="236" t="s">
        <v>2048</v>
      </c>
      <c r="E53" s="86" t="s">
        <v>2049</v>
      </c>
      <c r="F53" s="236" t="s">
        <v>2050</v>
      </c>
      <c r="G53" s="94"/>
      <c r="H53" s="94"/>
      <c r="I53" s="94"/>
      <c r="J53" s="236" t="s">
        <v>1802</v>
      </c>
      <c r="K53" s="236" t="s">
        <v>1808</v>
      </c>
      <c r="L53" s="94"/>
      <c r="M53" s="236" t="s">
        <v>2051</v>
      </c>
      <c r="N53" s="94"/>
      <c r="O53" s="236" t="s">
        <v>2052</v>
      </c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</row>
    <row r="54">
      <c r="A54" s="235">
        <v>45925.0</v>
      </c>
      <c r="B54" s="94"/>
      <c r="C54" s="236" t="s">
        <v>1880</v>
      </c>
      <c r="D54" s="236" t="s">
        <v>1881</v>
      </c>
      <c r="E54" s="86" t="s">
        <v>1750</v>
      </c>
      <c r="F54" s="236" t="s">
        <v>1846</v>
      </c>
      <c r="G54" s="94"/>
      <c r="H54" s="94"/>
      <c r="I54" s="94"/>
      <c r="J54" s="236" t="s">
        <v>1802</v>
      </c>
      <c r="K54" s="236" t="s">
        <v>1803</v>
      </c>
      <c r="L54" s="94"/>
      <c r="M54" s="236" t="s">
        <v>2053</v>
      </c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</row>
    <row r="55">
      <c r="A55" s="235">
        <v>45925.0</v>
      </c>
      <c r="B55" s="94"/>
      <c r="C55" s="236" t="s">
        <v>2054</v>
      </c>
      <c r="D55" s="236" t="s">
        <v>2055</v>
      </c>
      <c r="E55" s="86" t="s">
        <v>2056</v>
      </c>
      <c r="F55" s="236" t="s">
        <v>2057</v>
      </c>
      <c r="G55" s="94"/>
      <c r="H55" s="94"/>
      <c r="I55" s="94"/>
      <c r="J55" s="236" t="s">
        <v>811</v>
      </c>
      <c r="K55" s="236" t="s">
        <v>1803</v>
      </c>
      <c r="L55" s="94"/>
      <c r="M55" s="236" t="s">
        <v>2058</v>
      </c>
      <c r="N55" s="94"/>
      <c r="O55" s="236" t="s">
        <v>2059</v>
      </c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</row>
    <row r="56">
      <c r="A56" s="235">
        <v>45925.0</v>
      </c>
      <c r="B56" s="94"/>
      <c r="C56" s="236" t="s">
        <v>2054</v>
      </c>
      <c r="D56" s="236" t="s">
        <v>2055</v>
      </c>
      <c r="E56" s="94"/>
      <c r="F56" s="236" t="s">
        <v>2060</v>
      </c>
      <c r="G56" s="94"/>
      <c r="H56" s="94"/>
      <c r="I56" s="94"/>
      <c r="J56" s="236" t="s">
        <v>1802</v>
      </c>
      <c r="K56" s="236" t="s">
        <v>1803</v>
      </c>
      <c r="L56" s="94"/>
      <c r="M56" s="236" t="s">
        <v>2061</v>
      </c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</row>
    <row r="57">
      <c r="A57" s="235">
        <v>45925.0</v>
      </c>
      <c r="B57" s="94"/>
      <c r="C57" s="236" t="s">
        <v>2062</v>
      </c>
      <c r="D57" s="236" t="s">
        <v>2063</v>
      </c>
      <c r="E57" s="236" t="s">
        <v>2064</v>
      </c>
      <c r="F57" s="236" t="s">
        <v>1846</v>
      </c>
      <c r="G57" s="236" t="s">
        <v>2065</v>
      </c>
      <c r="H57" s="94"/>
      <c r="I57" s="94"/>
      <c r="J57" s="236" t="s">
        <v>811</v>
      </c>
      <c r="K57" s="236" t="s">
        <v>1803</v>
      </c>
      <c r="L57" s="244">
        <v>3.0</v>
      </c>
      <c r="M57" s="236" t="s">
        <v>2066</v>
      </c>
      <c r="N57" s="94"/>
      <c r="O57" s="94"/>
      <c r="P57" s="236" t="s">
        <v>2067</v>
      </c>
      <c r="Q57" s="94" t="s">
        <v>2068</v>
      </c>
      <c r="R57" s="94" t="s">
        <v>2069</v>
      </c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</row>
    <row r="58">
      <c r="A58" s="235">
        <v>45925.0</v>
      </c>
      <c r="B58" s="94"/>
      <c r="C58" s="236" t="s">
        <v>1209</v>
      </c>
      <c r="D58" s="236" t="s">
        <v>590</v>
      </c>
      <c r="E58" s="236" t="s">
        <v>1210</v>
      </c>
      <c r="F58" s="236" t="s">
        <v>2002</v>
      </c>
      <c r="G58" s="94"/>
      <c r="H58" s="94"/>
      <c r="I58" s="94"/>
      <c r="J58" s="236" t="s">
        <v>811</v>
      </c>
      <c r="K58" s="236" t="s">
        <v>1803</v>
      </c>
      <c r="L58" s="94"/>
      <c r="M58" s="259" t="s">
        <v>2070</v>
      </c>
      <c r="N58" s="94"/>
      <c r="O58" s="94"/>
      <c r="P58" s="236" t="s">
        <v>2071</v>
      </c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</row>
    <row r="59">
      <c r="A59" s="235">
        <v>45925.0</v>
      </c>
      <c r="B59" s="94"/>
      <c r="C59" s="236" t="s">
        <v>1069</v>
      </c>
      <c r="D59" s="236" t="s">
        <v>379</v>
      </c>
      <c r="E59" s="86" t="s">
        <v>380</v>
      </c>
      <c r="F59" s="236" t="s">
        <v>2002</v>
      </c>
      <c r="G59" s="94"/>
      <c r="H59" s="94"/>
      <c r="I59" s="94"/>
      <c r="J59" s="236" t="s">
        <v>811</v>
      </c>
      <c r="K59" s="236" t="s">
        <v>1803</v>
      </c>
      <c r="L59" s="94"/>
      <c r="M59" s="236" t="s">
        <v>2072</v>
      </c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</row>
    <row r="60">
      <c r="A60" s="235">
        <v>45925.0</v>
      </c>
      <c r="B60" s="94"/>
      <c r="C60" s="236" t="s">
        <v>2073</v>
      </c>
      <c r="D60" s="236" t="s">
        <v>2074</v>
      </c>
      <c r="E60" s="86" t="s">
        <v>2075</v>
      </c>
      <c r="F60" s="236" t="s">
        <v>2076</v>
      </c>
      <c r="G60" s="236" t="s">
        <v>2077</v>
      </c>
      <c r="H60" s="94"/>
      <c r="I60" s="94"/>
      <c r="J60" s="236" t="s">
        <v>811</v>
      </c>
      <c r="K60" s="236" t="s">
        <v>1808</v>
      </c>
      <c r="L60" s="94"/>
      <c r="M60" s="236" t="s">
        <v>2078</v>
      </c>
      <c r="N60" s="236" t="s">
        <v>2079</v>
      </c>
      <c r="O60" s="236" t="s">
        <v>2080</v>
      </c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</row>
    <row r="61">
      <c r="A61" s="239">
        <v>45939.0</v>
      </c>
      <c r="B61" s="94"/>
      <c r="C61" s="94" t="s">
        <v>2081</v>
      </c>
      <c r="D61" s="253" t="s">
        <v>2082</v>
      </c>
      <c r="E61" s="253" t="s">
        <v>2083</v>
      </c>
      <c r="F61" s="236" t="s">
        <v>1831</v>
      </c>
      <c r="G61" s="67" t="s">
        <v>2065</v>
      </c>
      <c r="H61" s="67" t="s">
        <v>2084</v>
      </c>
      <c r="I61" s="240"/>
      <c r="J61" s="94" t="s">
        <v>1802</v>
      </c>
      <c r="K61" s="94" t="s">
        <v>1803</v>
      </c>
      <c r="L61" s="241">
        <v>2.0</v>
      </c>
      <c r="M61" s="249" t="s">
        <v>2085</v>
      </c>
      <c r="N61" s="250" t="s">
        <v>2086</v>
      </c>
      <c r="O61" s="94" t="s">
        <v>2087</v>
      </c>
      <c r="P61" s="94" t="s">
        <v>2088</v>
      </c>
      <c r="Q61" s="94" t="s">
        <v>2089</v>
      </c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</row>
    <row r="62">
      <c r="A62" s="235">
        <v>45925.0</v>
      </c>
      <c r="B62" s="94"/>
      <c r="C62" s="236" t="s">
        <v>2090</v>
      </c>
      <c r="D62" s="236" t="s">
        <v>2091</v>
      </c>
      <c r="E62" s="26" t="s">
        <v>2092</v>
      </c>
      <c r="F62" s="236" t="s">
        <v>2076</v>
      </c>
      <c r="G62" s="94"/>
      <c r="H62" s="94"/>
      <c r="I62" s="94"/>
      <c r="J62" s="236" t="s">
        <v>811</v>
      </c>
      <c r="K62" s="236" t="s">
        <v>1803</v>
      </c>
      <c r="L62" s="94"/>
      <c r="M62" s="236" t="s">
        <v>2093</v>
      </c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</row>
    <row r="63">
      <c r="A63" s="235">
        <v>45925.0</v>
      </c>
      <c r="B63" s="94"/>
      <c r="C63" s="236" t="s">
        <v>1089</v>
      </c>
      <c r="D63" s="236" t="s">
        <v>515</v>
      </c>
      <c r="E63" s="26" t="s">
        <v>1090</v>
      </c>
      <c r="F63" s="236" t="s">
        <v>2076</v>
      </c>
      <c r="G63" s="94"/>
      <c r="H63" s="94"/>
      <c r="I63" s="94"/>
      <c r="J63" s="236" t="s">
        <v>811</v>
      </c>
      <c r="K63" s="236" t="s">
        <v>1803</v>
      </c>
      <c r="L63" s="94"/>
      <c r="M63" s="236" t="s">
        <v>2094</v>
      </c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</row>
    <row r="64">
      <c r="A64" s="235">
        <v>45925.0</v>
      </c>
      <c r="B64" s="94"/>
      <c r="C64" s="236" t="s">
        <v>2095</v>
      </c>
      <c r="D64" s="236" t="s">
        <v>2096</v>
      </c>
      <c r="E64" s="26" t="s">
        <v>1021</v>
      </c>
      <c r="F64" s="236" t="s">
        <v>2076</v>
      </c>
      <c r="G64" s="94"/>
      <c r="H64" s="94"/>
      <c r="I64" s="94"/>
      <c r="J64" s="236" t="s">
        <v>811</v>
      </c>
      <c r="K64" s="236" t="s">
        <v>1803</v>
      </c>
      <c r="L64" s="94"/>
      <c r="M64" s="236" t="s">
        <v>2094</v>
      </c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</row>
    <row r="65">
      <c r="A65" s="235">
        <v>45925.0</v>
      </c>
      <c r="B65" s="94"/>
      <c r="C65" s="236" t="s">
        <v>1054</v>
      </c>
      <c r="D65" s="236" t="s">
        <v>1057</v>
      </c>
      <c r="E65" s="26" t="s">
        <v>1055</v>
      </c>
      <c r="F65" s="236" t="s">
        <v>2076</v>
      </c>
      <c r="G65" s="94"/>
      <c r="H65" s="94"/>
      <c r="I65" s="94"/>
      <c r="J65" s="236" t="s">
        <v>1802</v>
      </c>
      <c r="K65" s="236" t="s">
        <v>1803</v>
      </c>
      <c r="L65" s="94"/>
      <c r="M65" s="236" t="s">
        <v>2097</v>
      </c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</row>
    <row r="66">
      <c r="A66" s="235">
        <v>45925.0</v>
      </c>
      <c r="B66" s="94"/>
      <c r="C66" s="236" t="s">
        <v>1054</v>
      </c>
      <c r="D66" s="236" t="s">
        <v>1057</v>
      </c>
      <c r="E66" s="94"/>
      <c r="F66" s="236" t="s">
        <v>1380</v>
      </c>
      <c r="G66" s="94"/>
      <c r="H66" s="94"/>
      <c r="I66" s="94"/>
      <c r="J66" s="236" t="s">
        <v>811</v>
      </c>
      <c r="K66" s="236" t="s">
        <v>1803</v>
      </c>
      <c r="L66" s="94"/>
      <c r="M66" s="236" t="s">
        <v>2098</v>
      </c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</row>
    <row r="67">
      <c r="A67" s="235">
        <v>45925.0</v>
      </c>
      <c r="B67" s="94"/>
      <c r="C67" s="236" t="s">
        <v>2099</v>
      </c>
      <c r="D67" s="236" t="s">
        <v>2100</v>
      </c>
      <c r="E67" s="94"/>
      <c r="F67" s="236" t="s">
        <v>2076</v>
      </c>
      <c r="G67" s="94"/>
      <c r="H67" s="94"/>
      <c r="I67" s="94"/>
      <c r="J67" s="236" t="s">
        <v>811</v>
      </c>
      <c r="K67" s="236" t="s">
        <v>1803</v>
      </c>
      <c r="L67" s="94"/>
      <c r="M67" s="236" t="s">
        <v>2101</v>
      </c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</row>
    <row r="68">
      <c r="A68" s="235">
        <v>45925.0</v>
      </c>
      <c r="B68" s="94"/>
      <c r="C68" s="236" t="s">
        <v>2102</v>
      </c>
      <c r="D68" s="236" t="s">
        <v>256</v>
      </c>
      <c r="E68" s="86" t="s">
        <v>257</v>
      </c>
      <c r="F68" s="236" t="s">
        <v>1863</v>
      </c>
      <c r="G68" s="67" t="s">
        <v>1864</v>
      </c>
      <c r="H68" s="94"/>
      <c r="I68" s="94"/>
      <c r="J68" s="236" t="s">
        <v>1802</v>
      </c>
      <c r="K68" s="236" t="s">
        <v>1803</v>
      </c>
      <c r="L68" s="94"/>
      <c r="M68" s="236" t="s">
        <v>1865</v>
      </c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</row>
    <row r="69">
      <c r="A69" s="235">
        <v>45925.0</v>
      </c>
      <c r="B69" s="94"/>
      <c r="C69" s="236" t="s">
        <v>2102</v>
      </c>
      <c r="D69" s="236" t="s">
        <v>256</v>
      </c>
      <c r="E69" s="94"/>
      <c r="F69" s="236" t="s">
        <v>2076</v>
      </c>
      <c r="G69" s="94"/>
      <c r="H69" s="94"/>
      <c r="I69" s="94"/>
      <c r="J69" s="236" t="s">
        <v>811</v>
      </c>
      <c r="K69" s="236" t="s">
        <v>1803</v>
      </c>
      <c r="L69" s="94"/>
      <c r="M69" s="236" t="s">
        <v>2103</v>
      </c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</row>
    <row r="70">
      <c r="A70" s="235">
        <v>45925.0</v>
      </c>
      <c r="B70" s="94"/>
      <c r="C70" s="236" t="s">
        <v>2104</v>
      </c>
      <c r="D70" s="236" t="s">
        <v>2105</v>
      </c>
      <c r="E70" s="94"/>
      <c r="F70" s="236" t="s">
        <v>1380</v>
      </c>
      <c r="G70" s="94"/>
      <c r="H70" s="236" t="s">
        <v>1610</v>
      </c>
      <c r="I70" s="94"/>
      <c r="J70" s="236" t="s">
        <v>811</v>
      </c>
      <c r="K70" s="236" t="s">
        <v>1803</v>
      </c>
      <c r="L70" s="94"/>
      <c r="M70" s="236" t="s">
        <v>2106</v>
      </c>
      <c r="N70" s="94"/>
      <c r="O70" s="236" t="s">
        <v>2107</v>
      </c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</row>
    <row r="71">
      <c r="A71" s="235">
        <v>45925.0</v>
      </c>
      <c r="B71" s="94"/>
      <c r="C71" s="236" t="s">
        <v>1183</v>
      </c>
      <c r="D71" s="236" t="s">
        <v>1184</v>
      </c>
      <c r="E71" s="26" t="s">
        <v>1185</v>
      </c>
      <c r="F71" s="236" t="s">
        <v>1380</v>
      </c>
      <c r="G71" s="94"/>
      <c r="H71" s="94"/>
      <c r="I71" s="94"/>
      <c r="J71" s="236" t="s">
        <v>811</v>
      </c>
      <c r="K71" s="236" t="s">
        <v>1803</v>
      </c>
      <c r="L71" s="94"/>
      <c r="M71" s="236" t="s">
        <v>2108</v>
      </c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</row>
    <row r="72">
      <c r="A72" s="235">
        <v>45925.0</v>
      </c>
      <c r="B72" s="94"/>
      <c r="C72" s="236" t="s">
        <v>1006</v>
      </c>
      <c r="D72" s="236" t="s">
        <v>1007</v>
      </c>
      <c r="E72" s="26" t="s">
        <v>1008</v>
      </c>
      <c r="F72" s="236" t="s">
        <v>1380</v>
      </c>
      <c r="G72" s="94"/>
      <c r="H72" s="94"/>
      <c r="I72" s="94"/>
      <c r="J72" s="236" t="s">
        <v>811</v>
      </c>
      <c r="K72" s="236" t="s">
        <v>1803</v>
      </c>
      <c r="L72" s="94"/>
      <c r="M72" s="236" t="s">
        <v>2109</v>
      </c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</row>
    <row r="73">
      <c r="A73" s="235">
        <v>45925.0</v>
      </c>
      <c r="B73" s="94"/>
      <c r="C73" s="236" t="s">
        <v>2110</v>
      </c>
      <c r="D73" s="236" t="s">
        <v>1033</v>
      </c>
      <c r="E73" s="94"/>
      <c r="F73" s="236" t="s">
        <v>1380</v>
      </c>
      <c r="G73" s="94"/>
      <c r="H73" s="94"/>
      <c r="I73" s="94"/>
      <c r="J73" s="236" t="s">
        <v>811</v>
      </c>
      <c r="K73" s="236" t="s">
        <v>1803</v>
      </c>
      <c r="L73" s="94"/>
      <c r="M73" s="236" t="s">
        <v>2109</v>
      </c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</row>
    <row r="74">
      <c r="A74" s="235">
        <v>45925.0</v>
      </c>
      <c r="B74" s="94"/>
      <c r="C74" s="236" t="s">
        <v>2111</v>
      </c>
      <c r="D74" s="236" t="s">
        <v>2112</v>
      </c>
      <c r="E74" s="26" t="s">
        <v>2113</v>
      </c>
      <c r="F74" s="236" t="s">
        <v>2114</v>
      </c>
      <c r="G74" s="94"/>
      <c r="H74" s="94"/>
      <c r="I74" s="94"/>
      <c r="J74" s="236" t="s">
        <v>811</v>
      </c>
      <c r="K74" s="236" t="s">
        <v>1808</v>
      </c>
      <c r="L74" s="94"/>
      <c r="M74" s="236" t="s">
        <v>2115</v>
      </c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</row>
    <row r="75">
      <c r="A75" s="235">
        <v>45929.0</v>
      </c>
      <c r="B75" s="94"/>
      <c r="C75" s="25" t="s">
        <v>2116</v>
      </c>
      <c r="D75" s="236" t="s">
        <v>2117</v>
      </c>
      <c r="E75" s="86" t="s">
        <v>2118</v>
      </c>
      <c r="F75" s="236" t="s">
        <v>2119</v>
      </c>
      <c r="G75" s="94"/>
      <c r="H75" s="94"/>
      <c r="I75" s="94"/>
      <c r="J75" s="236" t="s">
        <v>811</v>
      </c>
      <c r="K75" s="236" t="s">
        <v>1821</v>
      </c>
      <c r="L75" s="94"/>
      <c r="M75" s="236" t="s">
        <v>2120</v>
      </c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</row>
    <row r="76">
      <c r="A76" s="235">
        <v>45910.0</v>
      </c>
      <c r="B76" s="94"/>
      <c r="C76" s="236" t="s">
        <v>2121</v>
      </c>
      <c r="D76" s="236" t="s">
        <v>2122</v>
      </c>
      <c r="E76" s="236" t="s">
        <v>2123</v>
      </c>
      <c r="F76" s="236" t="s">
        <v>1831</v>
      </c>
      <c r="G76" s="236" t="s">
        <v>1831</v>
      </c>
      <c r="H76" s="94"/>
      <c r="I76" s="94"/>
      <c r="J76" s="236" t="s">
        <v>1802</v>
      </c>
      <c r="K76" s="236" t="s">
        <v>1803</v>
      </c>
      <c r="L76" s="244">
        <v>5.0</v>
      </c>
      <c r="M76" s="236" t="s">
        <v>2124</v>
      </c>
      <c r="N76" s="236" t="s">
        <v>2125</v>
      </c>
      <c r="O76" s="236" t="s">
        <v>2126</v>
      </c>
      <c r="P76" s="236" t="s">
        <v>2127</v>
      </c>
      <c r="Q76" s="94" t="s">
        <v>2128</v>
      </c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</row>
    <row r="77">
      <c r="A77" s="235">
        <v>45910.0</v>
      </c>
      <c r="B77" s="94"/>
      <c r="C77" s="236" t="s">
        <v>2121</v>
      </c>
      <c r="D77" s="236" t="s">
        <v>2122</v>
      </c>
      <c r="E77" s="94"/>
      <c r="F77" s="236" t="s">
        <v>1938</v>
      </c>
      <c r="G77" s="236" t="s">
        <v>1831</v>
      </c>
      <c r="H77" s="94"/>
      <c r="I77" s="94"/>
      <c r="J77" s="236" t="s">
        <v>811</v>
      </c>
      <c r="K77" s="236" t="s">
        <v>1803</v>
      </c>
      <c r="L77" s="244">
        <v>5.0</v>
      </c>
      <c r="M77" s="236" t="s">
        <v>2124</v>
      </c>
      <c r="N77" s="236" t="s">
        <v>2125</v>
      </c>
      <c r="O77" s="236" t="s">
        <v>2126</v>
      </c>
      <c r="P77" s="236" t="s">
        <v>2127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</row>
    <row r="78">
      <c r="A78" s="235">
        <v>45910.0</v>
      </c>
      <c r="B78" s="94"/>
      <c r="C78" s="236" t="s">
        <v>2129</v>
      </c>
      <c r="D78" s="236" t="s">
        <v>2130</v>
      </c>
      <c r="E78" s="86" t="s">
        <v>2131</v>
      </c>
      <c r="F78" s="236" t="s">
        <v>1831</v>
      </c>
      <c r="G78" s="236" t="s">
        <v>1846</v>
      </c>
      <c r="H78" s="94"/>
      <c r="I78" s="94"/>
      <c r="J78" s="236" t="s">
        <v>1802</v>
      </c>
      <c r="K78" s="236" t="s">
        <v>1803</v>
      </c>
      <c r="L78" s="244">
        <v>5.0</v>
      </c>
      <c r="M78" s="236" t="s">
        <v>2132</v>
      </c>
      <c r="N78" s="236" t="s">
        <v>2133</v>
      </c>
      <c r="O78" s="236" t="s">
        <v>2134</v>
      </c>
      <c r="P78" s="236" t="s">
        <v>2135</v>
      </c>
      <c r="Q78" s="94" t="s">
        <v>2136</v>
      </c>
      <c r="R78" s="94" t="s">
        <v>2137</v>
      </c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</row>
    <row r="79">
      <c r="A79" s="235">
        <v>45910.0</v>
      </c>
      <c r="B79" s="94"/>
      <c r="C79" s="236" t="s">
        <v>2138</v>
      </c>
      <c r="D79" s="236" t="s">
        <v>2139</v>
      </c>
      <c r="E79" s="86" t="s">
        <v>2140</v>
      </c>
      <c r="F79" s="236" t="s">
        <v>1846</v>
      </c>
      <c r="G79" s="255" t="s">
        <v>1917</v>
      </c>
      <c r="H79" s="94"/>
      <c r="I79" s="94"/>
      <c r="J79" s="236" t="s">
        <v>811</v>
      </c>
      <c r="K79" s="236" t="s">
        <v>1832</v>
      </c>
      <c r="L79" s="244">
        <v>5.0</v>
      </c>
      <c r="M79" s="236" t="s">
        <v>2141</v>
      </c>
      <c r="N79" s="94" t="s">
        <v>2142</v>
      </c>
      <c r="O79" s="236" t="s">
        <v>2143</v>
      </c>
      <c r="P79" s="236" t="s">
        <v>2144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</row>
    <row r="80">
      <c r="A80" s="235">
        <v>45925.0</v>
      </c>
      <c r="B80" s="94"/>
      <c r="C80" s="236" t="s">
        <v>2145</v>
      </c>
      <c r="D80" s="89" t="s">
        <v>2146</v>
      </c>
      <c r="E80" s="86" t="s">
        <v>2147</v>
      </c>
      <c r="F80" s="236" t="s">
        <v>2148</v>
      </c>
      <c r="G80" s="94"/>
      <c r="H80" s="94"/>
      <c r="I80" s="94"/>
      <c r="J80" s="236" t="s">
        <v>1802</v>
      </c>
      <c r="K80" s="236" t="s">
        <v>1803</v>
      </c>
      <c r="L80" s="94"/>
      <c r="M80" s="236" t="s">
        <v>2149</v>
      </c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</row>
    <row r="81">
      <c r="A81" s="235">
        <v>45925.0</v>
      </c>
      <c r="B81" s="94"/>
      <c r="C81" s="236" t="s">
        <v>2145</v>
      </c>
      <c r="D81" s="236" t="s">
        <v>2146</v>
      </c>
      <c r="E81" s="94"/>
      <c r="F81" s="236" t="s">
        <v>1380</v>
      </c>
      <c r="G81" s="94"/>
      <c r="H81" s="94"/>
      <c r="I81" s="94"/>
      <c r="J81" s="236" t="s">
        <v>1802</v>
      </c>
      <c r="K81" s="236" t="s">
        <v>1803</v>
      </c>
      <c r="L81" s="94"/>
      <c r="M81" s="236" t="s">
        <v>2150</v>
      </c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</row>
    <row r="82">
      <c r="A82" s="261">
        <v>45910.0</v>
      </c>
      <c r="B82" s="81"/>
      <c r="C82" s="262" t="s">
        <v>2151</v>
      </c>
      <c r="D82" s="262" t="s">
        <v>2152</v>
      </c>
      <c r="E82" s="81"/>
      <c r="F82" s="236" t="s">
        <v>2002</v>
      </c>
      <c r="G82" s="262" t="s">
        <v>2153</v>
      </c>
      <c r="H82" s="81"/>
      <c r="I82" s="81"/>
      <c r="J82" s="236" t="s">
        <v>811</v>
      </c>
      <c r="K82" s="236" t="s">
        <v>1808</v>
      </c>
      <c r="L82" s="263">
        <v>15.0</v>
      </c>
      <c r="M82" s="262" t="s">
        <v>2154</v>
      </c>
      <c r="N82" s="262" t="s">
        <v>2155</v>
      </c>
      <c r="O82" s="262" t="s">
        <v>2156</v>
      </c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</row>
    <row r="83">
      <c r="A83" s="244">
        <v>0.0</v>
      </c>
      <c r="B83" s="94"/>
      <c r="C83" s="94" t="s">
        <v>1244</v>
      </c>
      <c r="D83" s="251" t="s">
        <v>1245</v>
      </c>
      <c r="E83" s="251" t="s">
        <v>1246</v>
      </c>
      <c r="F83" s="236" t="s">
        <v>1846</v>
      </c>
      <c r="G83" s="251" t="s">
        <v>1969</v>
      </c>
      <c r="H83" s="246"/>
      <c r="I83" s="246"/>
      <c r="J83" s="247" t="s">
        <v>811</v>
      </c>
      <c r="K83" s="247" t="s">
        <v>1832</v>
      </c>
      <c r="L83" s="251">
        <v>5.0</v>
      </c>
      <c r="M83" s="251" t="s">
        <v>2157</v>
      </c>
      <c r="N83" s="251" t="s">
        <v>1971</v>
      </c>
      <c r="O83" s="251" t="s">
        <v>2158</v>
      </c>
      <c r="P83" s="251" t="s">
        <v>2159</v>
      </c>
      <c r="Q83" s="94" t="s">
        <v>2160</v>
      </c>
      <c r="R83" s="94" t="s">
        <v>2161</v>
      </c>
      <c r="S83" s="94" t="s">
        <v>2162</v>
      </c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</row>
    <row r="84">
      <c r="A84" s="235">
        <v>45946.0</v>
      </c>
      <c r="B84" s="94"/>
      <c r="C84" s="236" t="s">
        <v>2163</v>
      </c>
      <c r="D84" s="236" t="s">
        <v>2164</v>
      </c>
      <c r="E84" s="86" t="s">
        <v>2165</v>
      </c>
      <c r="F84" s="236" t="s">
        <v>2166</v>
      </c>
      <c r="G84" s="94"/>
      <c r="H84" s="94"/>
      <c r="I84" s="94"/>
      <c r="J84" s="236" t="s">
        <v>1802</v>
      </c>
      <c r="K84" s="236" t="s">
        <v>1821</v>
      </c>
      <c r="L84" s="94"/>
      <c r="M84" s="236" t="s">
        <v>2167</v>
      </c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</row>
    <row r="85">
      <c r="A85" s="235">
        <v>45925.0</v>
      </c>
      <c r="B85" s="94"/>
      <c r="C85" s="255" t="s">
        <v>1154</v>
      </c>
      <c r="D85" s="255" t="s">
        <v>570</v>
      </c>
      <c r="E85" s="86" t="s">
        <v>1156</v>
      </c>
      <c r="F85" s="236" t="s">
        <v>1831</v>
      </c>
      <c r="G85" s="255" t="s">
        <v>1846</v>
      </c>
      <c r="H85" s="73"/>
      <c r="I85" s="94"/>
      <c r="J85" s="236" t="s">
        <v>1802</v>
      </c>
      <c r="K85" s="236" t="s">
        <v>1803</v>
      </c>
      <c r="L85" s="244">
        <v>6.0</v>
      </c>
      <c r="M85" s="236" t="s">
        <v>2168</v>
      </c>
      <c r="N85" s="94"/>
      <c r="O85" s="236" t="s">
        <v>2169</v>
      </c>
      <c r="P85" s="236" t="s">
        <v>2170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</row>
    <row r="86">
      <c r="A86" s="235">
        <v>45928.0</v>
      </c>
      <c r="B86" s="94"/>
      <c r="C86" s="236" t="s">
        <v>2151</v>
      </c>
      <c r="D86" s="236" t="s">
        <v>2152</v>
      </c>
      <c r="E86" s="236" t="s">
        <v>1292</v>
      </c>
      <c r="F86" s="236" t="s">
        <v>2002</v>
      </c>
      <c r="G86" s="236" t="s">
        <v>2171</v>
      </c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</row>
    <row r="87">
      <c r="A87" s="235">
        <v>45925.0</v>
      </c>
      <c r="B87" s="94"/>
      <c r="C87" s="236" t="s">
        <v>2172</v>
      </c>
      <c r="D87" s="236" t="s">
        <v>2173</v>
      </c>
      <c r="E87" s="92" t="s">
        <v>2174</v>
      </c>
      <c r="F87" s="236" t="s">
        <v>1831</v>
      </c>
      <c r="G87" s="236" t="s">
        <v>1917</v>
      </c>
      <c r="H87" s="94"/>
      <c r="I87" s="94"/>
      <c r="J87" s="236" t="s">
        <v>1802</v>
      </c>
      <c r="K87" s="236" t="s">
        <v>1832</v>
      </c>
      <c r="L87" s="244">
        <v>7.0</v>
      </c>
      <c r="M87" s="236" t="s">
        <v>2175</v>
      </c>
      <c r="N87" s="94"/>
      <c r="O87" s="236" t="s">
        <v>2176</v>
      </c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</row>
    <row r="88">
      <c r="A88" s="235">
        <v>45910.0</v>
      </c>
      <c r="B88" s="94"/>
      <c r="C88" s="236" t="s">
        <v>1897</v>
      </c>
      <c r="D88" s="236" t="s">
        <v>1898</v>
      </c>
      <c r="E88" s="26" t="s">
        <v>1899</v>
      </c>
      <c r="F88" s="236" t="s">
        <v>1938</v>
      </c>
      <c r="G88" s="67" t="s">
        <v>2177</v>
      </c>
      <c r="H88" s="94"/>
      <c r="I88" s="94"/>
      <c r="J88" s="236" t="s">
        <v>1802</v>
      </c>
      <c r="K88" s="236" t="s">
        <v>1808</v>
      </c>
      <c r="L88" s="236" t="s">
        <v>2178</v>
      </c>
      <c r="M88" s="236" t="s">
        <v>2179</v>
      </c>
      <c r="O88" s="236" t="s">
        <v>2180</v>
      </c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</row>
    <row r="89">
      <c r="A89" s="235">
        <v>45929.0</v>
      </c>
      <c r="B89" s="94"/>
      <c r="C89" s="81" t="s">
        <v>2181</v>
      </c>
      <c r="D89" s="236" t="s">
        <v>1242</v>
      </c>
      <c r="E89" s="260" t="s">
        <v>486</v>
      </c>
      <c r="F89" s="236" t="s">
        <v>1831</v>
      </c>
      <c r="G89" s="94"/>
      <c r="H89" s="94"/>
      <c r="I89" s="94"/>
      <c r="J89" s="236" t="s">
        <v>1802</v>
      </c>
      <c r="K89" s="236" t="s">
        <v>1808</v>
      </c>
      <c r="L89" s="244">
        <v>15.0</v>
      </c>
      <c r="M89" s="236" t="s">
        <v>2182</v>
      </c>
      <c r="N89" s="236" t="s">
        <v>2183</v>
      </c>
      <c r="O89" s="236" t="s">
        <v>2184</v>
      </c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</row>
    <row r="90">
      <c r="A90" s="235">
        <v>45925.0</v>
      </c>
      <c r="B90" s="94"/>
      <c r="C90" s="264" t="s">
        <v>2185</v>
      </c>
      <c r="D90" s="265" t="s">
        <v>1083</v>
      </c>
      <c r="E90" s="86" t="s">
        <v>1084</v>
      </c>
      <c r="F90" s="247" t="s">
        <v>1380</v>
      </c>
      <c r="G90" s="246"/>
      <c r="H90" s="246"/>
      <c r="I90" s="246"/>
      <c r="J90" s="247" t="s">
        <v>811</v>
      </c>
      <c r="K90" s="247" t="s">
        <v>1803</v>
      </c>
      <c r="L90" s="246"/>
      <c r="M90" s="251" t="s">
        <v>2186</v>
      </c>
      <c r="N90" s="245" t="s">
        <v>2183</v>
      </c>
      <c r="O90" s="246"/>
      <c r="P90" s="246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</row>
    <row r="91">
      <c r="A91" s="235">
        <v>45910.0</v>
      </c>
      <c r="B91" s="94"/>
      <c r="C91" s="262" t="s">
        <v>2187</v>
      </c>
      <c r="D91" s="262" t="s">
        <v>2188</v>
      </c>
      <c r="E91" s="86" t="s">
        <v>2189</v>
      </c>
      <c r="F91" s="236" t="s">
        <v>1831</v>
      </c>
      <c r="G91" s="262" t="s">
        <v>2190</v>
      </c>
      <c r="H91" s="81"/>
      <c r="I91" s="81"/>
      <c r="J91" s="236" t="s">
        <v>1802</v>
      </c>
      <c r="K91" s="236" t="s">
        <v>1808</v>
      </c>
      <c r="L91" s="262" t="s">
        <v>2178</v>
      </c>
      <c r="M91" s="262" t="s">
        <v>2191</v>
      </c>
      <c r="N91" s="262" t="s">
        <v>2192</v>
      </c>
      <c r="O91" s="262" t="s">
        <v>2193</v>
      </c>
      <c r="Q91" s="94" t="s">
        <v>2194</v>
      </c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</row>
    <row r="92">
      <c r="A92" s="235">
        <v>45929.0</v>
      </c>
      <c r="B92" s="94"/>
      <c r="C92" s="246" t="s">
        <v>1244</v>
      </c>
      <c r="D92" s="251" t="s">
        <v>1245</v>
      </c>
      <c r="E92" s="260" t="s">
        <v>1246</v>
      </c>
      <c r="F92" s="236" t="s">
        <v>1938</v>
      </c>
      <c r="G92" s="246"/>
      <c r="H92" s="246"/>
      <c r="I92" s="246"/>
      <c r="J92" s="247" t="s">
        <v>811</v>
      </c>
      <c r="K92" s="247" t="s">
        <v>1821</v>
      </c>
      <c r="L92" s="246"/>
      <c r="M92" s="251" t="s">
        <v>2195</v>
      </c>
      <c r="N92" s="251" t="s">
        <v>1971</v>
      </c>
      <c r="O92" s="246"/>
      <c r="P92" s="246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</row>
    <row r="93">
      <c r="A93" s="235">
        <v>45910.0</v>
      </c>
      <c r="B93" s="94"/>
      <c r="C93" s="262" t="s">
        <v>2196</v>
      </c>
      <c r="D93" s="262" t="s">
        <v>2197</v>
      </c>
      <c r="E93" s="260" t="s">
        <v>2198</v>
      </c>
      <c r="F93" s="236" t="s">
        <v>1831</v>
      </c>
      <c r="G93" s="262" t="s">
        <v>1831</v>
      </c>
      <c r="H93" s="81"/>
      <c r="I93" s="81"/>
      <c r="J93" s="236" t="s">
        <v>1802</v>
      </c>
      <c r="K93" s="236" t="s">
        <v>1832</v>
      </c>
      <c r="L93" s="262" t="s">
        <v>2178</v>
      </c>
      <c r="M93" s="262" t="s">
        <v>2199</v>
      </c>
      <c r="N93" s="262" t="s">
        <v>2200</v>
      </c>
      <c r="O93" s="262" t="s">
        <v>2201</v>
      </c>
      <c r="P93" s="81"/>
      <c r="Q93" s="94" t="s">
        <v>2202</v>
      </c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</row>
    <row r="94">
      <c r="A94" s="235">
        <v>45925.0</v>
      </c>
      <c r="B94" s="94"/>
      <c r="C94" s="245" t="s">
        <v>2054</v>
      </c>
      <c r="D94" s="245" t="s">
        <v>2055</v>
      </c>
      <c r="E94" s="86" t="s">
        <v>2056</v>
      </c>
      <c r="F94" s="236" t="s">
        <v>2005</v>
      </c>
      <c r="G94" s="245" t="s">
        <v>2203</v>
      </c>
      <c r="H94" s="246"/>
      <c r="I94" s="246"/>
      <c r="J94" s="236" t="s">
        <v>1802</v>
      </c>
      <c r="K94" s="236" t="s">
        <v>1803</v>
      </c>
      <c r="L94" s="245" t="s">
        <v>2178</v>
      </c>
      <c r="M94" s="245" t="s">
        <v>2204</v>
      </c>
      <c r="N94" s="246"/>
      <c r="O94" s="245" t="s">
        <v>2205</v>
      </c>
      <c r="P94" s="246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</row>
    <row r="95">
      <c r="A95" s="266">
        <v>45929.0</v>
      </c>
      <c r="B95" s="205"/>
      <c r="C95" s="205" t="s">
        <v>2206</v>
      </c>
      <c r="D95" s="267" t="s">
        <v>2207</v>
      </c>
      <c r="E95" s="205"/>
      <c r="F95" s="236" t="s">
        <v>1831</v>
      </c>
      <c r="G95" s="268" t="s">
        <v>2208</v>
      </c>
      <c r="H95" s="205"/>
      <c r="I95" s="205"/>
      <c r="J95" s="247" t="s">
        <v>1802</v>
      </c>
      <c r="K95" s="247" t="s">
        <v>1803</v>
      </c>
      <c r="L95" s="268" t="s">
        <v>2178</v>
      </c>
      <c r="M95" s="268" t="s">
        <v>2209</v>
      </c>
      <c r="N95" s="205"/>
      <c r="O95" s="268" t="s">
        <v>2210</v>
      </c>
      <c r="P95" s="268" t="s">
        <v>2211</v>
      </c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</row>
    <row r="96">
      <c r="A96" s="239">
        <v>45939.0</v>
      </c>
      <c r="B96" s="94"/>
      <c r="C96" s="246" t="s">
        <v>2212</v>
      </c>
      <c r="D96" s="246" t="s">
        <v>1624</v>
      </c>
      <c r="E96" s="26" t="s">
        <v>1625</v>
      </c>
      <c r="F96" s="269" t="s">
        <v>2005</v>
      </c>
      <c r="G96" s="248" t="s">
        <v>2177</v>
      </c>
      <c r="H96" s="270"/>
      <c r="I96" s="270"/>
      <c r="J96" s="94" t="s">
        <v>1802</v>
      </c>
      <c r="K96" s="94" t="s">
        <v>1832</v>
      </c>
      <c r="L96" s="246" t="s">
        <v>2178</v>
      </c>
      <c r="M96" s="246" t="s">
        <v>2213</v>
      </c>
      <c r="N96" s="246"/>
      <c r="O96" s="246" t="s">
        <v>2214</v>
      </c>
      <c r="P96" s="246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</row>
    <row r="97">
      <c r="A97" s="243">
        <v>45950.0</v>
      </c>
      <c r="B97" s="94"/>
      <c r="C97" s="262" t="s">
        <v>1876</v>
      </c>
      <c r="D97" s="262" t="s">
        <v>561</v>
      </c>
      <c r="E97" s="81" t="s">
        <v>562</v>
      </c>
      <c r="F97" s="236" t="s">
        <v>1846</v>
      </c>
      <c r="G97" s="271" t="s">
        <v>2025</v>
      </c>
      <c r="H97" s="67" t="s">
        <v>2215</v>
      </c>
      <c r="I97" s="240"/>
      <c r="J97" s="94" t="s">
        <v>811</v>
      </c>
      <c r="K97" s="94" t="s">
        <v>1803</v>
      </c>
      <c r="L97" s="272">
        <v>6.0</v>
      </c>
      <c r="M97" s="81" t="s">
        <v>2216</v>
      </c>
      <c r="N97" s="81"/>
      <c r="O97" s="81" t="s">
        <v>2217</v>
      </c>
      <c r="P97" s="81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</row>
    <row r="98">
      <c r="A98" s="235">
        <v>45929.0</v>
      </c>
      <c r="B98" s="94"/>
      <c r="C98" s="245" t="s">
        <v>1897</v>
      </c>
      <c r="D98" s="26" t="s">
        <v>1898</v>
      </c>
      <c r="E98" s="246"/>
      <c r="F98" s="247" t="s">
        <v>1731</v>
      </c>
      <c r="G98" s="246"/>
      <c r="H98" s="246"/>
      <c r="I98" s="246"/>
      <c r="J98" s="247" t="s">
        <v>811</v>
      </c>
      <c r="K98" s="247" t="s">
        <v>1832</v>
      </c>
      <c r="L98" s="246"/>
      <c r="M98" s="246"/>
      <c r="N98" s="246"/>
      <c r="O98" s="246"/>
      <c r="P98" s="246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</row>
    <row r="99">
      <c r="A99" s="243">
        <v>45953.0</v>
      </c>
      <c r="B99" s="94"/>
      <c r="C99" s="262" t="s">
        <v>2218</v>
      </c>
      <c r="D99" s="262" t="s">
        <v>2219</v>
      </c>
      <c r="E99" s="81" t="s">
        <v>2220</v>
      </c>
      <c r="F99" s="236" t="s">
        <v>1846</v>
      </c>
      <c r="G99" s="67" t="s">
        <v>1960</v>
      </c>
      <c r="H99" s="67" t="s">
        <v>2221</v>
      </c>
      <c r="I99" s="67" t="s">
        <v>2222</v>
      </c>
      <c r="J99" s="94" t="s">
        <v>811</v>
      </c>
      <c r="K99" s="94" t="s">
        <v>1803</v>
      </c>
      <c r="L99" s="272">
        <v>1.0</v>
      </c>
      <c r="M99" s="249" t="s">
        <v>2223</v>
      </c>
      <c r="N99" s="81"/>
      <c r="O99" s="81" t="s">
        <v>2224</v>
      </c>
      <c r="P99" s="81" t="s">
        <v>2225</v>
      </c>
      <c r="Q99" s="94" t="s">
        <v>2226</v>
      </c>
      <c r="R99" s="94" t="s">
        <v>2227</v>
      </c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</row>
    <row r="100">
      <c r="A100" s="235">
        <v>45929.0</v>
      </c>
      <c r="B100" s="94"/>
      <c r="C100" s="246" t="s">
        <v>2228</v>
      </c>
      <c r="D100" s="248" t="s">
        <v>2229</v>
      </c>
      <c r="E100" s="85" t="s">
        <v>2230</v>
      </c>
      <c r="F100" s="236" t="s">
        <v>1831</v>
      </c>
      <c r="G100" s="119" t="s">
        <v>1831</v>
      </c>
      <c r="H100" s="246"/>
      <c r="I100" s="246"/>
      <c r="J100" s="247" t="s">
        <v>1802</v>
      </c>
      <c r="K100" s="247" t="s">
        <v>1803</v>
      </c>
      <c r="L100" s="246"/>
      <c r="M100" s="251" t="s">
        <v>2231</v>
      </c>
      <c r="N100" s="246"/>
      <c r="O100" s="251" t="s">
        <v>2232</v>
      </c>
      <c r="P100" s="251" t="s">
        <v>2233</v>
      </c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</row>
    <row r="101">
      <c r="A101" s="235">
        <v>45930.0</v>
      </c>
      <c r="B101" s="94"/>
      <c r="C101" s="262" t="s">
        <v>1550</v>
      </c>
      <c r="D101" s="26" t="s">
        <v>1551</v>
      </c>
      <c r="E101" s="26" t="s">
        <v>1552</v>
      </c>
      <c r="F101" s="247" t="s">
        <v>2234</v>
      </c>
      <c r="G101" s="81"/>
      <c r="H101" s="81"/>
      <c r="I101" s="81"/>
      <c r="J101" s="247" t="s">
        <v>1802</v>
      </c>
      <c r="K101" s="247" t="s">
        <v>1821</v>
      </c>
      <c r="L101" s="81"/>
      <c r="M101" s="119" t="s">
        <v>2235</v>
      </c>
      <c r="N101" s="119" t="s">
        <v>2183</v>
      </c>
      <c r="O101" s="81"/>
      <c r="P101" s="81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</row>
    <row r="102">
      <c r="A102" s="235">
        <v>45930.0</v>
      </c>
      <c r="B102" s="94"/>
      <c r="C102" s="245" t="s">
        <v>652</v>
      </c>
      <c r="D102" s="270"/>
      <c r="E102" s="246"/>
      <c r="F102" s="247" t="s">
        <v>1731</v>
      </c>
      <c r="G102" s="246"/>
      <c r="H102" s="265">
        <v>9.76030343E8</v>
      </c>
      <c r="I102" s="246"/>
      <c r="J102" s="247" t="s">
        <v>1802</v>
      </c>
      <c r="K102" s="247" t="s">
        <v>1803</v>
      </c>
      <c r="L102" s="246"/>
      <c r="M102" s="246"/>
      <c r="N102" s="251">
        <f>30000*1.19</f>
        <v>35700</v>
      </c>
      <c r="O102" s="246"/>
      <c r="P102" s="246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</row>
    <row r="103">
      <c r="A103" s="235">
        <v>45930.0</v>
      </c>
      <c r="B103" s="94"/>
      <c r="C103" s="262" t="s">
        <v>652</v>
      </c>
      <c r="D103" s="26">
        <v>7.81483168E8</v>
      </c>
      <c r="E103" s="26" t="s">
        <v>654</v>
      </c>
      <c r="F103" s="247" t="s">
        <v>2236</v>
      </c>
      <c r="G103" s="81"/>
      <c r="H103" s="81"/>
      <c r="I103" s="81"/>
      <c r="J103" s="247" t="s">
        <v>1802</v>
      </c>
      <c r="K103" s="247" t="s">
        <v>1803</v>
      </c>
      <c r="L103" s="81"/>
      <c r="M103" s="119" t="s">
        <v>2237</v>
      </c>
      <c r="N103" s="81"/>
      <c r="O103" s="81"/>
      <c r="P103" s="81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</row>
    <row r="104">
      <c r="A104" s="235">
        <v>45930.0</v>
      </c>
      <c r="B104" s="94"/>
      <c r="C104" s="245" t="s">
        <v>2238</v>
      </c>
      <c r="D104" s="245" t="s">
        <v>625</v>
      </c>
      <c r="E104" s="245" t="s">
        <v>626</v>
      </c>
      <c r="F104" s="247" t="s">
        <v>1787</v>
      </c>
      <c r="G104" s="246"/>
      <c r="H104" s="246"/>
      <c r="I104" s="246"/>
      <c r="J104" s="94"/>
      <c r="K104" s="94"/>
      <c r="L104" s="246"/>
      <c r="M104" s="251" t="s">
        <v>2239</v>
      </c>
      <c r="N104" s="246"/>
      <c r="O104" s="246"/>
      <c r="P104" s="246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</row>
    <row r="105">
      <c r="A105" s="235">
        <v>45930.0</v>
      </c>
      <c r="B105" s="94"/>
      <c r="C105" s="262" t="s">
        <v>2240</v>
      </c>
      <c r="D105" s="26" t="s">
        <v>539</v>
      </c>
      <c r="E105" s="26" t="s">
        <v>901</v>
      </c>
      <c r="F105" s="236" t="s">
        <v>1938</v>
      </c>
      <c r="G105" s="81"/>
      <c r="H105" s="81"/>
      <c r="I105" s="81"/>
      <c r="J105" s="247" t="s">
        <v>811</v>
      </c>
      <c r="K105" s="247" t="s">
        <v>1821</v>
      </c>
      <c r="L105" s="81"/>
      <c r="M105" s="119" t="s">
        <v>2241</v>
      </c>
      <c r="N105" s="81"/>
      <c r="O105" s="81"/>
      <c r="P105" s="81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</row>
    <row r="106">
      <c r="A106" s="235">
        <v>45930.0</v>
      </c>
      <c r="B106" s="94"/>
      <c r="C106" s="25" t="s">
        <v>1325</v>
      </c>
      <c r="D106" s="26" t="s">
        <v>1326</v>
      </c>
      <c r="E106" s="26" t="s">
        <v>1327</v>
      </c>
      <c r="F106" s="247" t="s">
        <v>2242</v>
      </c>
      <c r="G106" s="246"/>
      <c r="H106" s="246"/>
      <c r="I106" s="246"/>
      <c r="J106" s="247" t="s">
        <v>1802</v>
      </c>
      <c r="K106" s="247" t="s">
        <v>1832</v>
      </c>
      <c r="L106" s="246"/>
      <c r="M106" s="251" t="s">
        <v>2243</v>
      </c>
      <c r="N106" s="246" t="s">
        <v>2183</v>
      </c>
      <c r="O106" s="246"/>
      <c r="P106" s="246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</row>
    <row r="107">
      <c r="A107" s="235">
        <v>45931.0</v>
      </c>
      <c r="B107" s="94"/>
      <c r="C107" s="25" t="s">
        <v>263</v>
      </c>
      <c r="D107" s="26" t="s">
        <v>264</v>
      </c>
      <c r="E107" s="26" t="s">
        <v>967</v>
      </c>
      <c r="F107" s="247" t="s">
        <v>2166</v>
      </c>
      <c r="G107" s="81"/>
      <c r="H107" s="81"/>
      <c r="I107" s="81"/>
      <c r="J107" s="247" t="s">
        <v>1802</v>
      </c>
      <c r="K107" s="247" t="s">
        <v>1821</v>
      </c>
      <c r="L107" s="81"/>
      <c r="M107" s="119" t="s">
        <v>2244</v>
      </c>
      <c r="N107" s="81" t="s">
        <v>2183</v>
      </c>
      <c r="O107" s="81"/>
      <c r="P107" s="81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</row>
    <row r="108">
      <c r="A108" s="239">
        <v>45931.0</v>
      </c>
      <c r="B108" s="94"/>
      <c r="C108" s="236" t="s">
        <v>2245</v>
      </c>
      <c r="D108" s="26" t="s">
        <v>1512</v>
      </c>
      <c r="E108" s="26" t="s">
        <v>1513</v>
      </c>
      <c r="F108" s="247" t="s">
        <v>1731</v>
      </c>
      <c r="G108" s="67" t="s">
        <v>2246</v>
      </c>
      <c r="H108" s="240"/>
      <c r="I108" s="240"/>
      <c r="J108" s="94" t="s">
        <v>811</v>
      </c>
      <c r="K108" s="94" t="s">
        <v>1821</v>
      </c>
      <c r="L108" s="94"/>
      <c r="M108" s="94" t="s">
        <v>2247</v>
      </c>
      <c r="N108" s="94" t="s">
        <v>2183</v>
      </c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</row>
    <row r="109">
      <c r="A109" s="239">
        <v>45931.0</v>
      </c>
      <c r="B109" s="94"/>
      <c r="C109" s="236" t="s">
        <v>1600</v>
      </c>
      <c r="D109" s="67" t="s">
        <v>2248</v>
      </c>
      <c r="E109" s="67" t="s">
        <v>1021</v>
      </c>
      <c r="F109" s="269" t="s">
        <v>1380</v>
      </c>
      <c r="G109" s="67" t="s">
        <v>1380</v>
      </c>
      <c r="H109" s="67" t="s">
        <v>1534</v>
      </c>
      <c r="I109" s="240"/>
      <c r="J109" s="94" t="s">
        <v>811</v>
      </c>
      <c r="K109" s="94" t="s">
        <v>1821</v>
      </c>
      <c r="L109" s="94"/>
      <c r="M109" s="94" t="s">
        <v>2249</v>
      </c>
      <c r="N109" s="94" t="s">
        <v>2183</v>
      </c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</row>
    <row r="110">
      <c r="A110" s="239">
        <v>45931.0</v>
      </c>
      <c r="B110" s="94"/>
      <c r="C110" s="25" t="s">
        <v>2250</v>
      </c>
      <c r="D110" s="26" t="s">
        <v>2251</v>
      </c>
      <c r="E110" s="26" t="s">
        <v>2252</v>
      </c>
      <c r="F110" s="269" t="s">
        <v>2166</v>
      </c>
      <c r="G110" s="67" t="s">
        <v>2166</v>
      </c>
      <c r="H110" s="240"/>
      <c r="I110" s="240"/>
      <c r="J110" s="94" t="s">
        <v>811</v>
      </c>
      <c r="K110" s="94" t="s">
        <v>1821</v>
      </c>
      <c r="L110" s="94"/>
      <c r="M110" s="94" t="s">
        <v>2253</v>
      </c>
      <c r="N110" s="94" t="s">
        <v>2183</v>
      </c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</row>
    <row r="111">
      <c r="A111" s="239">
        <v>45931.0</v>
      </c>
      <c r="B111" s="94"/>
      <c r="C111" s="236" t="s">
        <v>2111</v>
      </c>
      <c r="D111" s="26" t="s">
        <v>2254</v>
      </c>
      <c r="E111" s="26" t="s">
        <v>2113</v>
      </c>
      <c r="F111" s="269" t="s">
        <v>2255</v>
      </c>
      <c r="G111" s="67" t="s">
        <v>2256</v>
      </c>
      <c r="H111" s="240"/>
      <c r="I111" s="240"/>
      <c r="J111" s="94" t="s">
        <v>1802</v>
      </c>
      <c r="K111" s="94" t="s">
        <v>1832</v>
      </c>
      <c r="L111" s="94"/>
      <c r="M111" s="94" t="s">
        <v>2257</v>
      </c>
      <c r="N111" s="94" t="s">
        <v>2183</v>
      </c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</row>
    <row r="112">
      <c r="A112" s="239">
        <v>45931.0</v>
      </c>
      <c r="B112" s="94"/>
      <c r="C112" s="236" t="s">
        <v>2258</v>
      </c>
      <c r="D112" s="67" t="s">
        <v>411</v>
      </c>
      <c r="E112" s="67" t="s">
        <v>2259</v>
      </c>
      <c r="F112" s="269" t="s">
        <v>2260</v>
      </c>
      <c r="G112" s="67" t="s">
        <v>2261</v>
      </c>
      <c r="H112" s="240"/>
      <c r="I112" s="240"/>
      <c r="J112" s="94" t="s">
        <v>1802</v>
      </c>
      <c r="K112" s="94" t="s">
        <v>1803</v>
      </c>
      <c r="L112" s="94"/>
      <c r="M112" s="94" t="s">
        <v>2262</v>
      </c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>
      <c r="A113" s="235">
        <v>45929.0</v>
      </c>
      <c r="B113" s="94"/>
      <c r="C113" s="236" t="s">
        <v>1231</v>
      </c>
      <c r="D113" s="119" t="s">
        <v>1232</v>
      </c>
      <c r="E113" s="92" t="s">
        <v>1233</v>
      </c>
      <c r="F113" s="236" t="s">
        <v>1846</v>
      </c>
      <c r="G113" s="251" t="s">
        <v>2263</v>
      </c>
      <c r="H113" s="81"/>
      <c r="I113" s="81"/>
      <c r="J113" s="247" t="s">
        <v>811</v>
      </c>
      <c r="K113" s="247" t="s">
        <v>1808</v>
      </c>
      <c r="L113" s="251">
        <v>6.0</v>
      </c>
      <c r="M113" s="251" t="s">
        <v>2264</v>
      </c>
      <c r="N113" s="246"/>
      <c r="O113" s="251" t="s">
        <v>2265</v>
      </c>
      <c r="P113" s="251" t="s">
        <v>2266</v>
      </c>
      <c r="Q113" s="94" t="s">
        <v>2267</v>
      </c>
      <c r="R113" s="94" t="s">
        <v>2268</v>
      </c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</row>
    <row r="114">
      <c r="A114" s="239">
        <v>45932.0</v>
      </c>
      <c r="B114" s="94"/>
      <c r="C114" s="236" t="s">
        <v>922</v>
      </c>
      <c r="D114" s="89" t="s">
        <v>98</v>
      </c>
      <c r="E114" s="26" t="s">
        <v>99</v>
      </c>
      <c r="F114" s="269" t="s">
        <v>2269</v>
      </c>
      <c r="G114" s="67" t="s">
        <v>2270</v>
      </c>
      <c r="H114" s="240"/>
      <c r="I114" s="240"/>
      <c r="J114" s="94" t="s">
        <v>1802</v>
      </c>
      <c r="K114" s="94" t="s">
        <v>1821</v>
      </c>
      <c r="L114" s="94"/>
      <c r="M114" s="94" t="s">
        <v>2271</v>
      </c>
      <c r="N114" s="94" t="s">
        <v>2183</v>
      </c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5">
      <c r="A115" s="239">
        <v>45932.0</v>
      </c>
      <c r="B115" s="94"/>
      <c r="C115" s="25" t="s">
        <v>1000</v>
      </c>
      <c r="D115" s="26" t="s">
        <v>1001</v>
      </c>
      <c r="E115" s="26" t="s">
        <v>1002</v>
      </c>
      <c r="F115" s="247" t="s">
        <v>1731</v>
      </c>
      <c r="G115" s="67" t="s">
        <v>2272</v>
      </c>
      <c r="H115" s="240"/>
      <c r="I115" s="240"/>
      <c r="J115" s="94" t="s">
        <v>811</v>
      </c>
      <c r="K115" s="94" t="s">
        <v>1821</v>
      </c>
      <c r="L115" s="94"/>
      <c r="M115" s="94" t="s">
        <v>2273</v>
      </c>
      <c r="N115" s="94" t="s">
        <v>2183</v>
      </c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</row>
    <row r="116">
      <c r="A116" s="235">
        <v>45929.0</v>
      </c>
      <c r="B116" s="94"/>
      <c r="C116" s="236" t="s">
        <v>2274</v>
      </c>
      <c r="D116" s="119" t="s">
        <v>2275</v>
      </c>
      <c r="E116" s="30" t="s">
        <v>1236</v>
      </c>
      <c r="F116" s="236" t="s">
        <v>1846</v>
      </c>
      <c r="G116" s="119" t="s">
        <v>2276</v>
      </c>
      <c r="H116" s="81"/>
      <c r="I116" s="81"/>
      <c r="J116" s="247" t="s">
        <v>811</v>
      </c>
      <c r="K116" s="247" t="s">
        <v>1808</v>
      </c>
      <c r="L116" s="251">
        <v>6.0</v>
      </c>
      <c r="M116" s="251" t="s">
        <v>2277</v>
      </c>
      <c r="N116" s="246"/>
      <c r="O116" s="251" t="s">
        <v>2278</v>
      </c>
      <c r="P116" s="251" t="s">
        <v>2279</v>
      </c>
      <c r="Q116" s="94" t="s">
        <v>2280</v>
      </c>
      <c r="R116" s="94" t="s">
        <v>2281</v>
      </c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>
      <c r="A117" s="239">
        <v>45932.0</v>
      </c>
      <c r="B117" s="94"/>
      <c r="C117" s="236" t="s">
        <v>904</v>
      </c>
      <c r="D117" s="67" t="s">
        <v>204</v>
      </c>
      <c r="E117" s="67" t="s">
        <v>205</v>
      </c>
      <c r="F117" s="236" t="s">
        <v>1863</v>
      </c>
      <c r="G117" s="67" t="s">
        <v>1864</v>
      </c>
      <c r="H117" s="240"/>
      <c r="I117" s="240"/>
      <c r="J117" s="94" t="s">
        <v>811</v>
      </c>
      <c r="K117" s="94" t="s">
        <v>1803</v>
      </c>
      <c r="L117" s="94"/>
      <c r="M117" s="94" t="s">
        <v>2282</v>
      </c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</row>
    <row r="118">
      <c r="A118" s="239">
        <v>45932.0</v>
      </c>
      <c r="B118" s="94"/>
      <c r="C118" s="236" t="s">
        <v>2283</v>
      </c>
      <c r="D118" s="240"/>
      <c r="E118" s="240"/>
      <c r="F118" s="247" t="s">
        <v>1731</v>
      </c>
      <c r="G118" s="67" t="s">
        <v>2284</v>
      </c>
      <c r="H118" s="240"/>
      <c r="I118" s="240"/>
      <c r="J118" s="94" t="s">
        <v>811</v>
      </c>
      <c r="K118" s="94" t="s">
        <v>1821</v>
      </c>
      <c r="L118" s="94"/>
      <c r="M118" s="94" t="s">
        <v>2285</v>
      </c>
      <c r="N118" s="94" t="s">
        <v>2183</v>
      </c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</row>
    <row r="119">
      <c r="A119" s="239">
        <v>45933.0</v>
      </c>
      <c r="B119" s="94"/>
      <c r="C119" s="25" t="s">
        <v>263</v>
      </c>
      <c r="D119" s="50" t="s">
        <v>264</v>
      </c>
      <c r="E119" s="273" t="s">
        <v>967</v>
      </c>
      <c r="F119" s="269" t="s">
        <v>1731</v>
      </c>
      <c r="G119" s="67" t="s">
        <v>1731</v>
      </c>
      <c r="H119" s="240"/>
      <c r="I119" s="240"/>
      <c r="J119" s="94" t="s">
        <v>811</v>
      </c>
      <c r="K119" s="94" t="s">
        <v>1821</v>
      </c>
      <c r="L119" s="94"/>
      <c r="M119" s="94" t="s">
        <v>2286</v>
      </c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</row>
    <row r="120">
      <c r="A120" s="239">
        <v>45933.0</v>
      </c>
      <c r="B120" s="94"/>
      <c r="C120" s="81" t="s">
        <v>2287</v>
      </c>
      <c r="D120" s="89" t="s">
        <v>2288</v>
      </c>
      <c r="E120" s="86" t="s">
        <v>2289</v>
      </c>
      <c r="F120" s="269" t="s">
        <v>1831</v>
      </c>
      <c r="G120" s="67" t="s">
        <v>2290</v>
      </c>
      <c r="H120" s="240"/>
      <c r="I120" s="240"/>
      <c r="J120" s="94" t="s">
        <v>1802</v>
      </c>
      <c r="K120" s="94" t="s">
        <v>1821</v>
      </c>
      <c r="L120" s="94"/>
      <c r="M120" s="94" t="s">
        <v>2291</v>
      </c>
      <c r="N120" s="94"/>
      <c r="O120" s="94" t="s">
        <v>2292</v>
      </c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</row>
    <row r="121">
      <c r="A121" s="239">
        <v>45933.0</v>
      </c>
      <c r="B121" s="94"/>
      <c r="C121" s="81" t="s">
        <v>2287</v>
      </c>
      <c r="D121" s="89" t="s">
        <v>2288</v>
      </c>
      <c r="E121" s="86" t="s">
        <v>2289</v>
      </c>
      <c r="F121" s="269" t="s">
        <v>1731</v>
      </c>
      <c r="G121" s="67" t="s">
        <v>1731</v>
      </c>
      <c r="H121" s="240"/>
      <c r="I121" s="240"/>
      <c r="J121" s="94" t="s">
        <v>811</v>
      </c>
      <c r="K121" s="94" t="s">
        <v>1821</v>
      </c>
      <c r="L121" s="94"/>
      <c r="M121" s="94" t="s">
        <v>2293</v>
      </c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</row>
    <row r="122">
      <c r="A122" s="239">
        <v>45933.0</v>
      </c>
      <c r="B122" s="94"/>
      <c r="C122" s="236" t="s">
        <v>904</v>
      </c>
      <c r="D122" s="67" t="s">
        <v>204</v>
      </c>
      <c r="E122" s="67" t="s">
        <v>205</v>
      </c>
      <c r="F122" s="247" t="s">
        <v>1731</v>
      </c>
      <c r="G122" s="67" t="s">
        <v>2294</v>
      </c>
      <c r="H122" s="240"/>
      <c r="I122" s="240"/>
      <c r="J122" s="94" t="s">
        <v>1802</v>
      </c>
      <c r="K122" s="94" t="s">
        <v>1821</v>
      </c>
      <c r="L122" s="94"/>
      <c r="M122" s="94" t="s">
        <v>2295</v>
      </c>
      <c r="N122" s="241">
        <f t="shared" ref="N122:N123" si="1">39485*1.19</f>
        <v>46987.15</v>
      </c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</row>
    <row r="123">
      <c r="A123" s="239">
        <v>45933.0</v>
      </c>
      <c r="B123" s="94"/>
      <c r="C123" s="236" t="s">
        <v>904</v>
      </c>
      <c r="D123" s="67" t="s">
        <v>204</v>
      </c>
      <c r="E123" s="67" t="s">
        <v>205</v>
      </c>
      <c r="F123" s="247" t="s">
        <v>2166</v>
      </c>
      <c r="G123" s="67" t="s">
        <v>2294</v>
      </c>
      <c r="H123" s="240"/>
      <c r="I123" s="240"/>
      <c r="J123" s="94" t="s">
        <v>1802</v>
      </c>
      <c r="K123" s="94" t="s">
        <v>1821</v>
      </c>
      <c r="L123" s="94"/>
      <c r="M123" s="94" t="s">
        <v>2296</v>
      </c>
      <c r="N123" s="241">
        <f t="shared" si="1"/>
        <v>46987.15</v>
      </c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</row>
    <row r="124">
      <c r="A124" s="235">
        <v>45925.0</v>
      </c>
      <c r="B124" s="94"/>
      <c r="C124" s="236" t="s">
        <v>1441</v>
      </c>
      <c r="D124" s="262" t="s">
        <v>1442</v>
      </c>
      <c r="E124" s="26" t="s">
        <v>1443</v>
      </c>
      <c r="F124" s="236" t="s">
        <v>1846</v>
      </c>
      <c r="G124" s="236" t="s">
        <v>1846</v>
      </c>
      <c r="H124" s="81"/>
      <c r="I124" s="81"/>
      <c r="J124" s="236" t="s">
        <v>1802</v>
      </c>
      <c r="K124" s="236" t="s">
        <v>1803</v>
      </c>
      <c r="L124" s="244">
        <v>1.0</v>
      </c>
      <c r="M124" s="236" t="s">
        <v>2297</v>
      </c>
      <c r="N124" s="94"/>
      <c r="O124" s="236" t="s">
        <v>2298</v>
      </c>
      <c r="P124" s="236" t="s">
        <v>2299</v>
      </c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</row>
    <row r="125">
      <c r="A125" s="235">
        <v>45925.0</v>
      </c>
      <c r="B125" s="94"/>
      <c r="C125" s="236" t="s">
        <v>2300</v>
      </c>
      <c r="D125" s="262" t="s">
        <v>2301</v>
      </c>
      <c r="E125" s="86" t="s">
        <v>2302</v>
      </c>
      <c r="F125" s="236" t="s">
        <v>1846</v>
      </c>
      <c r="G125" s="262" t="s">
        <v>1846</v>
      </c>
      <c r="H125" s="81"/>
      <c r="I125" s="81"/>
      <c r="J125" s="236" t="s">
        <v>811</v>
      </c>
      <c r="K125" s="236" t="s">
        <v>1803</v>
      </c>
      <c r="L125" s="244">
        <v>2.0</v>
      </c>
      <c r="M125" s="236" t="s">
        <v>2303</v>
      </c>
      <c r="N125" s="94"/>
      <c r="O125" s="236" t="s">
        <v>2304</v>
      </c>
      <c r="P125" s="236" t="s">
        <v>2299</v>
      </c>
      <c r="Q125" s="94" t="s">
        <v>2305</v>
      </c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</row>
    <row r="126">
      <c r="A126" s="239">
        <v>45936.0</v>
      </c>
      <c r="B126" s="94"/>
      <c r="C126" s="94" t="s">
        <v>1258</v>
      </c>
      <c r="D126" s="67" t="s">
        <v>1259</v>
      </c>
      <c r="E126" s="67" t="s">
        <v>1260</v>
      </c>
      <c r="F126" s="236" t="s">
        <v>1938</v>
      </c>
      <c r="G126" s="67" t="s">
        <v>2306</v>
      </c>
      <c r="H126" s="240"/>
      <c r="I126" s="240"/>
      <c r="J126" s="94" t="s">
        <v>811</v>
      </c>
      <c r="K126" s="94" t="s">
        <v>1821</v>
      </c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</row>
    <row r="127">
      <c r="A127" s="239">
        <v>45936.0</v>
      </c>
      <c r="B127" s="94"/>
      <c r="C127" s="236" t="s">
        <v>2307</v>
      </c>
      <c r="D127" s="67" t="s">
        <v>833</v>
      </c>
      <c r="E127" s="67" t="s">
        <v>834</v>
      </c>
      <c r="F127" s="269" t="s">
        <v>1380</v>
      </c>
      <c r="G127" s="67" t="s">
        <v>1380</v>
      </c>
      <c r="H127" s="240"/>
      <c r="I127" s="240"/>
      <c r="J127" s="94" t="s">
        <v>811</v>
      </c>
      <c r="K127" s="94" t="s">
        <v>1803</v>
      </c>
      <c r="L127" s="94"/>
      <c r="M127" s="94" t="s">
        <v>2308</v>
      </c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</row>
    <row r="128">
      <c r="A128" s="235">
        <v>45925.0</v>
      </c>
      <c r="B128" s="94"/>
      <c r="C128" s="236" t="s">
        <v>1220</v>
      </c>
      <c r="D128" s="262" t="s">
        <v>530</v>
      </c>
      <c r="E128" s="119" t="s">
        <v>531</v>
      </c>
      <c r="F128" s="236" t="s">
        <v>1846</v>
      </c>
      <c r="G128" s="262" t="s">
        <v>2309</v>
      </c>
      <c r="H128" s="262" t="s">
        <v>1611</v>
      </c>
      <c r="I128" s="262" t="s">
        <v>528</v>
      </c>
      <c r="J128" s="236" t="s">
        <v>811</v>
      </c>
      <c r="K128" s="236" t="s">
        <v>1808</v>
      </c>
      <c r="L128" s="244">
        <v>3.0</v>
      </c>
      <c r="M128" s="236" t="s">
        <v>2310</v>
      </c>
      <c r="N128" s="94"/>
      <c r="O128" s="236" t="s">
        <v>2311</v>
      </c>
      <c r="P128" s="236" t="s">
        <v>2312</v>
      </c>
      <c r="Q128" s="94" t="s">
        <v>2313</v>
      </c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</row>
    <row r="129">
      <c r="A129" s="239">
        <v>45937.0</v>
      </c>
      <c r="B129" s="94"/>
      <c r="C129" s="25" t="s">
        <v>987</v>
      </c>
      <c r="D129" s="273" t="s">
        <v>988</v>
      </c>
      <c r="E129" s="273" t="s">
        <v>989</v>
      </c>
      <c r="F129" s="269" t="s">
        <v>1380</v>
      </c>
      <c r="G129" s="67" t="s">
        <v>1380</v>
      </c>
      <c r="H129" s="240"/>
      <c r="I129" s="240"/>
      <c r="J129" s="94" t="s">
        <v>811</v>
      </c>
      <c r="K129" s="94" t="s">
        <v>1821</v>
      </c>
      <c r="L129" s="94"/>
      <c r="M129" s="94" t="s">
        <v>2314</v>
      </c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</row>
    <row r="130">
      <c r="A130" s="239">
        <v>45937.0</v>
      </c>
      <c r="B130" s="94"/>
      <c r="C130" s="236" t="s">
        <v>2111</v>
      </c>
      <c r="D130" s="26" t="s">
        <v>2112</v>
      </c>
      <c r="E130" s="26" t="s">
        <v>2113</v>
      </c>
      <c r="F130" s="269" t="s">
        <v>2076</v>
      </c>
      <c r="G130" s="67" t="s">
        <v>2315</v>
      </c>
      <c r="H130" s="240"/>
      <c r="I130" s="240"/>
      <c r="J130" s="94" t="s">
        <v>811</v>
      </c>
      <c r="K130" s="94" t="s">
        <v>1808</v>
      </c>
      <c r="L130" s="94"/>
      <c r="M130" s="94" t="s">
        <v>2316</v>
      </c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</row>
    <row r="131">
      <c r="A131" s="239">
        <v>45939.0</v>
      </c>
      <c r="B131" s="94"/>
      <c r="C131" s="94" t="s">
        <v>2317</v>
      </c>
      <c r="D131" s="253" t="s">
        <v>491</v>
      </c>
      <c r="E131" s="253" t="s">
        <v>492</v>
      </c>
      <c r="F131" s="269" t="s">
        <v>2002</v>
      </c>
      <c r="G131" s="67" t="s">
        <v>2318</v>
      </c>
      <c r="H131" s="240"/>
      <c r="I131" s="240"/>
      <c r="J131" s="94" t="s">
        <v>811</v>
      </c>
      <c r="K131" s="94" t="s">
        <v>1808</v>
      </c>
      <c r="L131" s="94"/>
      <c r="M131" s="94" t="s">
        <v>2319</v>
      </c>
      <c r="N131" s="94"/>
      <c r="O131" s="94" t="s">
        <v>2320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</row>
    <row r="132">
      <c r="A132" s="235">
        <v>45925.0</v>
      </c>
      <c r="B132" s="94"/>
      <c r="C132" s="236" t="s">
        <v>2321</v>
      </c>
      <c r="D132" s="262" t="s">
        <v>1761</v>
      </c>
      <c r="E132" s="260" t="s">
        <v>1762</v>
      </c>
      <c r="F132" s="236" t="s">
        <v>1846</v>
      </c>
      <c r="G132" s="262" t="s">
        <v>1831</v>
      </c>
      <c r="H132" s="81"/>
      <c r="I132" s="81" t="s">
        <v>1763</v>
      </c>
      <c r="J132" s="236" t="s">
        <v>1802</v>
      </c>
      <c r="K132" s="236" t="s">
        <v>1808</v>
      </c>
      <c r="L132" s="244">
        <v>4.0</v>
      </c>
      <c r="M132" s="236" t="s">
        <v>2322</v>
      </c>
      <c r="N132" s="94"/>
      <c r="O132" s="236" t="s">
        <v>2323</v>
      </c>
      <c r="P132" s="236" t="s">
        <v>2312</v>
      </c>
      <c r="Q132" s="94" t="s">
        <v>2324</v>
      </c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</row>
    <row r="133">
      <c r="A133" s="239">
        <v>45939.0</v>
      </c>
      <c r="B133" s="94"/>
      <c r="C133" s="94" t="s">
        <v>2325</v>
      </c>
      <c r="D133" s="81" t="s">
        <v>2326</v>
      </c>
      <c r="E133" s="86" t="s">
        <v>2327</v>
      </c>
      <c r="F133" s="269" t="s">
        <v>2005</v>
      </c>
      <c r="G133" s="67" t="s">
        <v>2177</v>
      </c>
      <c r="H133" s="240"/>
      <c r="I133" s="240"/>
      <c r="J133" s="94" t="s">
        <v>1802</v>
      </c>
      <c r="K133" s="94" t="s">
        <v>1832</v>
      </c>
      <c r="L133" s="94"/>
      <c r="M133" s="94" t="s">
        <v>2328</v>
      </c>
      <c r="N133" s="94"/>
      <c r="O133" s="94" t="s">
        <v>2214</v>
      </c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</row>
    <row r="134">
      <c r="A134" s="239">
        <v>45939.0</v>
      </c>
      <c r="B134" s="94"/>
      <c r="C134" s="94" t="s">
        <v>2329</v>
      </c>
      <c r="D134" s="81" t="s">
        <v>288</v>
      </c>
      <c r="E134" s="86" t="s">
        <v>289</v>
      </c>
      <c r="F134" s="269" t="s">
        <v>2005</v>
      </c>
      <c r="G134" s="67" t="s">
        <v>2177</v>
      </c>
      <c r="H134" s="240"/>
      <c r="I134" s="240"/>
      <c r="J134" s="94" t="s">
        <v>1802</v>
      </c>
      <c r="K134" s="94" t="s">
        <v>1832</v>
      </c>
      <c r="L134" s="94"/>
      <c r="M134" s="274">
        <v>45952.0</v>
      </c>
      <c r="N134" s="94"/>
      <c r="O134" s="94" t="s">
        <v>2330</v>
      </c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</row>
    <row r="135">
      <c r="A135" s="235">
        <v>45925.0</v>
      </c>
      <c r="B135" s="94"/>
      <c r="C135" s="236" t="s">
        <v>2331</v>
      </c>
      <c r="D135" s="262" t="s">
        <v>2332</v>
      </c>
      <c r="E135" s="262" t="s">
        <v>2333</v>
      </c>
      <c r="F135" s="236" t="s">
        <v>1846</v>
      </c>
      <c r="G135" s="275" t="s">
        <v>1846</v>
      </c>
      <c r="H135" s="263">
        <v>9.7984283E7</v>
      </c>
      <c r="I135" s="262" t="s">
        <v>2334</v>
      </c>
      <c r="J135" s="236" t="s">
        <v>811</v>
      </c>
      <c r="K135" s="236" t="s">
        <v>1803</v>
      </c>
      <c r="L135" s="244">
        <v>5.0</v>
      </c>
      <c r="M135" s="236" t="s">
        <v>2335</v>
      </c>
      <c r="N135" s="236" t="s">
        <v>2336</v>
      </c>
      <c r="O135" s="276" t="s">
        <v>2337</v>
      </c>
      <c r="P135" s="236" t="s">
        <v>2338</v>
      </c>
      <c r="Q135" s="236" t="s">
        <v>2312</v>
      </c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</row>
    <row r="136">
      <c r="A136" s="235">
        <v>45929.0</v>
      </c>
      <c r="B136" s="94"/>
      <c r="C136" s="94" t="s">
        <v>2339</v>
      </c>
      <c r="D136" s="119" t="s">
        <v>1224</v>
      </c>
      <c r="E136" s="86" t="s">
        <v>1225</v>
      </c>
      <c r="F136" s="236" t="s">
        <v>1831</v>
      </c>
      <c r="G136" s="119" t="s">
        <v>2340</v>
      </c>
      <c r="H136" s="81"/>
      <c r="I136" s="81"/>
      <c r="J136" s="247" t="s">
        <v>811</v>
      </c>
      <c r="K136" s="247" t="s">
        <v>1808</v>
      </c>
      <c r="L136" s="251">
        <v>6.0</v>
      </c>
      <c r="M136" s="251" t="s">
        <v>1413</v>
      </c>
      <c r="N136" s="246"/>
      <c r="O136" s="251" t="s">
        <v>2341</v>
      </c>
      <c r="P136" s="251" t="s">
        <v>2342</v>
      </c>
      <c r="Q136" s="94" t="s">
        <v>2343</v>
      </c>
      <c r="R136" s="94" t="s">
        <v>2343</v>
      </c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</row>
    <row r="137">
      <c r="A137" s="261">
        <v>45929.0</v>
      </c>
      <c r="B137" s="81"/>
      <c r="C137" s="277" t="s">
        <v>2344</v>
      </c>
      <c r="D137" s="119" t="s">
        <v>2345</v>
      </c>
      <c r="E137" s="260" t="s">
        <v>2346</v>
      </c>
      <c r="F137" s="236" t="s">
        <v>1831</v>
      </c>
      <c r="G137" s="119" t="s">
        <v>2276</v>
      </c>
      <c r="H137" s="119" t="s">
        <v>2347</v>
      </c>
      <c r="I137" s="81"/>
      <c r="J137" s="247" t="s">
        <v>1802</v>
      </c>
      <c r="K137" s="247" t="s">
        <v>1803</v>
      </c>
      <c r="L137" s="119" t="s">
        <v>2348</v>
      </c>
      <c r="M137" s="119" t="s">
        <v>1413</v>
      </c>
      <c r="N137" s="81"/>
      <c r="O137" s="119" t="s">
        <v>2349</v>
      </c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</row>
    <row r="138">
      <c r="A138" s="239">
        <v>45940.0</v>
      </c>
      <c r="B138" s="94"/>
      <c r="C138" s="94" t="s">
        <v>2040</v>
      </c>
      <c r="D138" s="81" t="s">
        <v>2041</v>
      </c>
      <c r="E138" s="253" t="s">
        <v>2042</v>
      </c>
      <c r="F138" s="236" t="s">
        <v>1846</v>
      </c>
      <c r="G138" s="67" t="s">
        <v>2350</v>
      </c>
      <c r="H138" s="240"/>
      <c r="I138" s="240"/>
      <c r="J138" s="94" t="s">
        <v>1802</v>
      </c>
      <c r="K138" s="94" t="s">
        <v>1821</v>
      </c>
      <c r="L138" s="94"/>
      <c r="M138" s="94" t="s">
        <v>2351</v>
      </c>
      <c r="N138" s="94" t="s">
        <v>2352</v>
      </c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</row>
    <row r="139">
      <c r="A139" s="239">
        <v>45940.0</v>
      </c>
      <c r="B139" s="94"/>
      <c r="C139" s="236" t="s">
        <v>1897</v>
      </c>
      <c r="D139" s="81" t="s">
        <v>1898</v>
      </c>
      <c r="E139" s="86" t="s">
        <v>1899</v>
      </c>
      <c r="F139" s="269" t="s">
        <v>1900</v>
      </c>
      <c r="G139" s="67" t="s">
        <v>2353</v>
      </c>
      <c r="H139" s="240"/>
      <c r="I139" s="240"/>
      <c r="J139" s="94" t="s">
        <v>1802</v>
      </c>
      <c r="K139" s="94" t="s">
        <v>1832</v>
      </c>
      <c r="L139" s="94"/>
      <c r="M139" s="94" t="s">
        <v>2354</v>
      </c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</row>
    <row r="140">
      <c r="A140" s="239">
        <v>45943.0</v>
      </c>
      <c r="B140" s="94"/>
      <c r="C140" s="236" t="s">
        <v>2355</v>
      </c>
      <c r="D140" s="81" t="s">
        <v>2356</v>
      </c>
      <c r="E140" s="253" t="s">
        <v>2357</v>
      </c>
      <c r="F140" s="269" t="s">
        <v>2005</v>
      </c>
      <c r="G140" s="67" t="s">
        <v>2177</v>
      </c>
      <c r="H140" s="240"/>
      <c r="I140" s="240"/>
      <c r="J140" s="94" t="s">
        <v>1802</v>
      </c>
      <c r="K140" s="94" t="s">
        <v>1832</v>
      </c>
      <c r="L140" s="94"/>
      <c r="M140" s="94" t="s">
        <v>2358</v>
      </c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</row>
    <row r="141">
      <c r="A141" s="239">
        <v>45945.0</v>
      </c>
      <c r="B141" s="94"/>
      <c r="C141" s="236" t="s">
        <v>2359</v>
      </c>
      <c r="D141" s="262" t="s">
        <v>2360</v>
      </c>
      <c r="E141" s="81" t="s">
        <v>2361</v>
      </c>
      <c r="F141" s="269" t="s">
        <v>2005</v>
      </c>
      <c r="G141" s="67" t="s">
        <v>2177</v>
      </c>
      <c r="H141" s="253">
        <v>9.5440561E8</v>
      </c>
      <c r="I141" s="81"/>
      <c r="J141" s="94" t="s">
        <v>1802</v>
      </c>
      <c r="K141" s="94" t="s">
        <v>1832</v>
      </c>
      <c r="L141" s="94"/>
      <c r="M141" s="94" t="s">
        <v>2362</v>
      </c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</row>
    <row r="142">
      <c r="A142" s="239">
        <v>45943.0</v>
      </c>
      <c r="B142" s="94"/>
      <c r="C142" s="236" t="s">
        <v>1935</v>
      </c>
      <c r="D142" s="262" t="s">
        <v>1936</v>
      </c>
      <c r="E142" s="86" t="s">
        <v>1937</v>
      </c>
      <c r="F142" s="269" t="s">
        <v>1846</v>
      </c>
      <c r="G142" s="240"/>
      <c r="H142" s="240"/>
      <c r="I142" s="240"/>
      <c r="J142" s="94" t="s">
        <v>1802</v>
      </c>
      <c r="K142" s="94" t="s">
        <v>1803</v>
      </c>
      <c r="L142" s="94"/>
      <c r="M142" s="94" t="s">
        <v>2363</v>
      </c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</row>
    <row r="143">
      <c r="A143" s="239">
        <v>45943.0</v>
      </c>
      <c r="B143" s="94"/>
      <c r="C143" s="236" t="s">
        <v>1935</v>
      </c>
      <c r="D143" s="262" t="s">
        <v>1936</v>
      </c>
      <c r="E143" s="81"/>
      <c r="F143" s="269" t="s">
        <v>2364</v>
      </c>
      <c r="G143" s="240"/>
      <c r="H143" s="240"/>
      <c r="I143" s="240"/>
      <c r="J143" s="94" t="s">
        <v>1802</v>
      </c>
      <c r="K143" s="94" t="s">
        <v>1832</v>
      </c>
      <c r="L143" s="94"/>
      <c r="M143" s="94" t="s">
        <v>2365</v>
      </c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</row>
    <row r="144">
      <c r="A144" s="239">
        <v>45943.0</v>
      </c>
      <c r="B144" s="94"/>
      <c r="C144" s="25" t="s">
        <v>1154</v>
      </c>
      <c r="D144" s="262" t="s">
        <v>570</v>
      </c>
      <c r="E144" s="253" t="s">
        <v>1156</v>
      </c>
      <c r="F144" s="236" t="s">
        <v>1938</v>
      </c>
      <c r="G144" s="240"/>
      <c r="H144" s="240"/>
      <c r="I144" s="240"/>
      <c r="J144" s="94" t="s">
        <v>811</v>
      </c>
      <c r="K144" s="94" t="s">
        <v>1821</v>
      </c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</row>
    <row r="145">
      <c r="A145" s="239">
        <v>45943.0</v>
      </c>
      <c r="B145" s="94"/>
      <c r="C145" s="236" t="s">
        <v>2366</v>
      </c>
      <c r="D145" s="81" t="s">
        <v>2367</v>
      </c>
      <c r="E145" s="81" t="s">
        <v>2368</v>
      </c>
      <c r="F145" s="269" t="s">
        <v>2002</v>
      </c>
      <c r="G145" s="240"/>
      <c r="H145" s="240"/>
      <c r="I145" s="240"/>
      <c r="J145" s="94" t="s">
        <v>811</v>
      </c>
      <c r="K145" s="94" t="s">
        <v>1832</v>
      </c>
      <c r="L145" s="94"/>
      <c r="M145" s="94" t="s">
        <v>2369</v>
      </c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</row>
    <row r="146">
      <c r="A146" s="239">
        <v>45943.0</v>
      </c>
      <c r="B146" s="94"/>
      <c r="C146" s="94" t="s">
        <v>2370</v>
      </c>
      <c r="D146" s="81" t="s">
        <v>2371</v>
      </c>
      <c r="E146" s="81"/>
      <c r="F146" s="247" t="s">
        <v>1731</v>
      </c>
      <c r="G146" s="67" t="s">
        <v>2372</v>
      </c>
      <c r="H146" s="240"/>
      <c r="I146" s="240"/>
      <c r="J146" s="94" t="s">
        <v>811</v>
      </c>
      <c r="K146" s="94" t="s">
        <v>1803</v>
      </c>
      <c r="L146" s="94"/>
      <c r="M146" s="94" t="s">
        <v>2373</v>
      </c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</row>
    <row r="147">
      <c r="A147" s="243">
        <v>45944.0</v>
      </c>
      <c r="B147" s="94"/>
      <c r="C147" s="236" t="s">
        <v>2374</v>
      </c>
      <c r="D147" s="262" t="s">
        <v>2375</v>
      </c>
      <c r="E147" s="81" t="s">
        <v>2376</v>
      </c>
      <c r="F147" s="269" t="s">
        <v>2166</v>
      </c>
      <c r="G147" s="67" t="s">
        <v>2377</v>
      </c>
      <c r="H147" s="240"/>
      <c r="I147" s="240"/>
      <c r="J147" s="94" t="s">
        <v>811</v>
      </c>
      <c r="K147" s="94" t="s">
        <v>1821</v>
      </c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</row>
    <row r="148">
      <c r="A148" s="239">
        <v>45931.0</v>
      </c>
      <c r="B148" s="94"/>
      <c r="C148" s="79" t="s">
        <v>2378</v>
      </c>
      <c r="D148" s="278" t="s">
        <v>2379</v>
      </c>
      <c r="E148" s="28" t="s">
        <v>2380</v>
      </c>
      <c r="F148" s="236" t="s">
        <v>1846</v>
      </c>
      <c r="G148" s="67" t="s">
        <v>2381</v>
      </c>
      <c r="H148" s="67" t="s">
        <v>2382</v>
      </c>
      <c r="I148" s="240"/>
      <c r="J148" s="94" t="s">
        <v>811</v>
      </c>
      <c r="K148" s="94" t="s">
        <v>1803</v>
      </c>
      <c r="L148" s="241">
        <v>7.0</v>
      </c>
      <c r="M148" s="94" t="s">
        <v>2383</v>
      </c>
      <c r="N148" s="94"/>
      <c r="O148" s="94" t="s">
        <v>2384</v>
      </c>
      <c r="P148" s="94" t="s">
        <v>2385</v>
      </c>
      <c r="Q148" s="236" t="s">
        <v>2312</v>
      </c>
      <c r="R148" s="94" t="s">
        <v>2386</v>
      </c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</row>
    <row r="149">
      <c r="A149" s="243">
        <v>45951.0</v>
      </c>
      <c r="B149" s="94"/>
      <c r="C149" s="236" t="s">
        <v>2387</v>
      </c>
      <c r="D149" s="262" t="s">
        <v>2388</v>
      </c>
      <c r="E149" s="81" t="s">
        <v>2389</v>
      </c>
      <c r="F149" s="236" t="s">
        <v>1831</v>
      </c>
      <c r="G149" s="67" t="s">
        <v>2025</v>
      </c>
      <c r="H149" s="67" t="s">
        <v>2221</v>
      </c>
      <c r="I149" s="67" t="s">
        <v>2222</v>
      </c>
      <c r="J149" s="94" t="s">
        <v>1802</v>
      </c>
      <c r="K149" s="94" t="s">
        <v>1832</v>
      </c>
      <c r="L149" s="94"/>
      <c r="M149" s="94" t="s">
        <v>2390</v>
      </c>
      <c r="N149" s="94"/>
      <c r="O149" s="94" t="s">
        <v>2391</v>
      </c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</row>
    <row r="150">
      <c r="A150" s="235">
        <v>45909.0</v>
      </c>
      <c r="B150" s="94"/>
      <c r="C150" s="236" t="s">
        <v>984</v>
      </c>
      <c r="D150" s="262" t="s">
        <v>47</v>
      </c>
      <c r="E150" s="26" t="s">
        <v>48</v>
      </c>
      <c r="F150" s="236" t="s">
        <v>1831</v>
      </c>
      <c r="G150" s="262" t="s">
        <v>1831</v>
      </c>
      <c r="H150" s="81"/>
      <c r="I150" s="81"/>
      <c r="J150" s="236" t="s">
        <v>1802</v>
      </c>
      <c r="K150" s="236" t="s">
        <v>1808</v>
      </c>
      <c r="L150" s="244">
        <v>8.0</v>
      </c>
      <c r="M150" s="236" t="s">
        <v>2392</v>
      </c>
      <c r="N150" s="236" t="s">
        <v>2393</v>
      </c>
      <c r="O150" s="236" t="s">
        <v>2394</v>
      </c>
      <c r="P150" s="236" t="s">
        <v>2312</v>
      </c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</row>
    <row r="151">
      <c r="A151" s="235">
        <v>45909.0</v>
      </c>
      <c r="B151" s="94"/>
      <c r="C151" s="236" t="s">
        <v>1209</v>
      </c>
      <c r="D151" s="262" t="s">
        <v>590</v>
      </c>
      <c r="E151" s="262" t="s">
        <v>1210</v>
      </c>
      <c r="F151" s="236" t="s">
        <v>1831</v>
      </c>
      <c r="G151" s="262" t="s">
        <v>1831</v>
      </c>
      <c r="H151" s="81"/>
      <c r="I151" s="81"/>
      <c r="J151" s="236" t="s">
        <v>1802</v>
      </c>
      <c r="K151" s="236" t="s">
        <v>1832</v>
      </c>
      <c r="L151" s="244">
        <v>9.0</v>
      </c>
      <c r="M151" s="236" t="s">
        <v>2395</v>
      </c>
      <c r="N151" s="94"/>
      <c r="O151" s="236" t="s">
        <v>2396</v>
      </c>
      <c r="P151" s="279" t="s">
        <v>2397</v>
      </c>
      <c r="Q151" s="94" t="s">
        <v>2398</v>
      </c>
      <c r="R151" s="94" t="s">
        <v>2399</v>
      </c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</row>
    <row r="152">
      <c r="A152" s="243">
        <v>45954.0</v>
      </c>
      <c r="B152" s="94"/>
      <c r="C152" s="236" t="s">
        <v>1310</v>
      </c>
      <c r="D152" s="262" t="s">
        <v>2400</v>
      </c>
      <c r="E152" s="81" t="s">
        <v>809</v>
      </c>
      <c r="F152" s="236" t="s">
        <v>1831</v>
      </c>
      <c r="G152" s="67" t="s">
        <v>1891</v>
      </c>
      <c r="H152" s="67" t="s">
        <v>1649</v>
      </c>
      <c r="I152" s="81" t="s">
        <v>2401</v>
      </c>
      <c r="J152" s="94" t="s">
        <v>811</v>
      </c>
      <c r="K152" s="94" t="s">
        <v>1803</v>
      </c>
      <c r="L152" s="241">
        <v>10.0</v>
      </c>
      <c r="M152" s="249" t="s">
        <v>2402</v>
      </c>
      <c r="N152" s="94"/>
      <c r="O152" s="94"/>
      <c r="P152" s="94" t="s">
        <v>2403</v>
      </c>
      <c r="Q152" s="94" t="s">
        <v>2404</v>
      </c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</row>
    <row r="153">
      <c r="A153" s="239">
        <v>45936.0</v>
      </c>
      <c r="B153" s="94"/>
      <c r="C153" s="94" t="s">
        <v>2405</v>
      </c>
      <c r="D153" s="67" t="s">
        <v>172</v>
      </c>
      <c r="E153" s="67" t="s">
        <v>173</v>
      </c>
      <c r="F153" s="236" t="s">
        <v>1831</v>
      </c>
      <c r="G153" s="67" t="s">
        <v>1413</v>
      </c>
      <c r="H153" s="67" t="s">
        <v>1708</v>
      </c>
      <c r="I153" s="240"/>
      <c r="J153" s="94" t="s">
        <v>1802</v>
      </c>
      <c r="K153" s="94" t="s">
        <v>1832</v>
      </c>
      <c r="L153" s="94" t="s">
        <v>2178</v>
      </c>
      <c r="M153" s="94" t="s">
        <v>2406</v>
      </c>
      <c r="N153" s="94"/>
      <c r="O153" s="94" t="s">
        <v>2407</v>
      </c>
      <c r="P153" s="94" t="s">
        <v>2408</v>
      </c>
      <c r="Q153" s="94" t="s">
        <v>2409</v>
      </c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</row>
    <row r="154">
      <c r="A154" s="235">
        <v>45925.0</v>
      </c>
      <c r="B154" s="94"/>
      <c r="C154" s="255" t="s">
        <v>2410</v>
      </c>
      <c r="D154" s="262" t="s">
        <v>1228</v>
      </c>
      <c r="E154" s="81"/>
      <c r="F154" s="236" t="s">
        <v>1831</v>
      </c>
      <c r="G154" s="262" t="s">
        <v>1831</v>
      </c>
      <c r="H154" s="81"/>
      <c r="I154" s="81"/>
      <c r="J154" s="236" t="s">
        <v>811</v>
      </c>
      <c r="K154" s="236" t="s">
        <v>1803</v>
      </c>
      <c r="L154" s="244">
        <v>11.0</v>
      </c>
      <c r="M154" s="236" t="s">
        <v>2411</v>
      </c>
      <c r="N154" s="94" t="s">
        <v>2412</v>
      </c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</row>
    <row r="155">
      <c r="A155" s="243">
        <v>45954.0</v>
      </c>
      <c r="B155" s="94"/>
      <c r="C155" s="94" t="s">
        <v>2413</v>
      </c>
      <c r="D155" s="262" t="s">
        <v>2414</v>
      </c>
      <c r="E155" s="262" t="s">
        <v>2415</v>
      </c>
      <c r="F155" s="236" t="s">
        <v>1903</v>
      </c>
      <c r="G155" s="67" t="s">
        <v>2416</v>
      </c>
      <c r="H155" s="67" t="s">
        <v>2417</v>
      </c>
      <c r="I155" s="81" t="s">
        <v>2418</v>
      </c>
      <c r="J155" s="94" t="s">
        <v>1802</v>
      </c>
      <c r="K155" s="94" t="s">
        <v>1808</v>
      </c>
      <c r="L155" s="94"/>
      <c r="M155" s="94" t="s">
        <v>2419</v>
      </c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</row>
    <row r="156">
      <c r="A156" s="243">
        <v>45954.0</v>
      </c>
      <c r="B156" s="94"/>
      <c r="C156" s="236" t="s">
        <v>2420</v>
      </c>
      <c r="D156" s="262" t="s">
        <v>2421</v>
      </c>
      <c r="E156" s="262" t="s">
        <v>2422</v>
      </c>
      <c r="F156" s="236" t="s">
        <v>2005</v>
      </c>
      <c r="G156" s="67" t="s">
        <v>2423</v>
      </c>
      <c r="H156" s="67" t="s">
        <v>2424</v>
      </c>
      <c r="I156" s="81"/>
      <c r="J156" s="94" t="s">
        <v>1802</v>
      </c>
      <c r="K156" s="94" t="s">
        <v>1803</v>
      </c>
      <c r="L156" s="94"/>
      <c r="M156" s="94" t="s">
        <v>2425</v>
      </c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</row>
    <row r="157">
      <c r="A157" s="243">
        <v>45959.0</v>
      </c>
      <c r="B157" s="94"/>
      <c r="C157" s="236" t="s">
        <v>2426</v>
      </c>
      <c r="D157" s="262" t="s">
        <v>2427</v>
      </c>
      <c r="E157" s="262" t="s">
        <v>2428</v>
      </c>
      <c r="F157" s="236" t="s">
        <v>2002</v>
      </c>
      <c r="G157" s="67" t="s">
        <v>2429</v>
      </c>
      <c r="H157" s="67" t="s">
        <v>2430</v>
      </c>
      <c r="I157" s="81"/>
      <c r="J157" s="94" t="s">
        <v>811</v>
      </c>
      <c r="K157" s="94" t="s">
        <v>1808</v>
      </c>
      <c r="L157" s="94"/>
      <c r="M157" s="94" t="s">
        <v>2431</v>
      </c>
      <c r="N157" s="94"/>
      <c r="O157" s="94"/>
      <c r="P157" s="94"/>
      <c r="Q157" s="94" t="s">
        <v>2432</v>
      </c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</row>
    <row r="158">
      <c r="A158" s="243">
        <v>45959.0</v>
      </c>
      <c r="B158" s="94"/>
      <c r="C158" s="236" t="s">
        <v>2433</v>
      </c>
      <c r="D158" s="262" t="s">
        <v>2434</v>
      </c>
      <c r="E158" s="81"/>
      <c r="F158" s="236" t="s">
        <v>2435</v>
      </c>
      <c r="G158" s="67" t="s">
        <v>2436</v>
      </c>
      <c r="H158" s="67" t="s">
        <v>2437</v>
      </c>
      <c r="I158" s="81" t="s">
        <v>2438</v>
      </c>
      <c r="J158" s="94" t="s">
        <v>1802</v>
      </c>
      <c r="K158" s="94" t="s">
        <v>1808</v>
      </c>
      <c r="L158" s="94"/>
      <c r="M158" s="94" t="s">
        <v>2439</v>
      </c>
      <c r="N158" s="94"/>
      <c r="O158" s="94" t="s">
        <v>2440</v>
      </c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</row>
    <row r="159">
      <c r="A159" s="235">
        <v>45929.0</v>
      </c>
      <c r="B159" s="94"/>
      <c r="C159" s="236" t="s">
        <v>2287</v>
      </c>
      <c r="D159" s="262" t="s">
        <v>2288</v>
      </c>
      <c r="E159" s="86" t="s">
        <v>2289</v>
      </c>
      <c r="F159" s="236" t="s">
        <v>2005</v>
      </c>
      <c r="G159" s="67" t="s">
        <v>2177</v>
      </c>
      <c r="H159" s="81"/>
      <c r="I159" s="81"/>
      <c r="J159" s="236" t="s">
        <v>1802</v>
      </c>
      <c r="K159" s="236" t="s">
        <v>1821</v>
      </c>
      <c r="L159" s="94"/>
      <c r="M159" s="94" t="s">
        <v>2441</v>
      </c>
      <c r="N159" s="236" t="s">
        <v>2183</v>
      </c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</row>
    <row r="160">
      <c r="A160" s="243">
        <v>45960.0</v>
      </c>
      <c r="B160" s="94"/>
      <c r="C160" s="94" t="s">
        <v>1271</v>
      </c>
      <c r="D160" s="262" t="s">
        <v>1272</v>
      </c>
      <c r="E160" s="262" t="s">
        <v>809</v>
      </c>
      <c r="F160" s="236" t="s">
        <v>1938</v>
      </c>
      <c r="G160" s="67" t="s">
        <v>2442</v>
      </c>
      <c r="H160" s="67" t="s">
        <v>1906</v>
      </c>
      <c r="I160" s="81" t="s">
        <v>1273</v>
      </c>
      <c r="J160" s="94" t="s">
        <v>811</v>
      </c>
      <c r="K160" s="94" t="s">
        <v>1821</v>
      </c>
      <c r="L160" s="94"/>
      <c r="M160" s="94" t="s">
        <v>2443</v>
      </c>
      <c r="N160" s="94" t="s">
        <v>2444</v>
      </c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</row>
    <row r="161">
      <c r="A161" s="235">
        <v>45925.0</v>
      </c>
      <c r="B161" s="94"/>
      <c r="C161" s="236" t="s">
        <v>2445</v>
      </c>
      <c r="D161" s="262" t="s">
        <v>2446</v>
      </c>
      <c r="E161" s="92" t="s">
        <v>2447</v>
      </c>
      <c r="F161" s="236" t="s">
        <v>1831</v>
      </c>
      <c r="G161" s="262" t="s">
        <v>1960</v>
      </c>
      <c r="H161" s="81"/>
      <c r="I161" s="81"/>
      <c r="J161" s="236" t="s">
        <v>1802</v>
      </c>
      <c r="K161" s="236" t="s">
        <v>1803</v>
      </c>
      <c r="L161" s="236" t="s">
        <v>2448</v>
      </c>
      <c r="M161" s="236" t="s">
        <v>2449</v>
      </c>
      <c r="N161" s="94"/>
      <c r="O161" s="236" t="s">
        <v>2450</v>
      </c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</row>
    <row r="162">
      <c r="A162" s="243">
        <v>45960.0</v>
      </c>
      <c r="B162" s="94"/>
      <c r="C162" s="94" t="s">
        <v>1771</v>
      </c>
      <c r="D162" s="262" t="s">
        <v>1772</v>
      </c>
      <c r="E162" s="262" t="s">
        <v>1773</v>
      </c>
      <c r="F162" s="236" t="s">
        <v>1938</v>
      </c>
      <c r="G162" s="67" t="s">
        <v>2442</v>
      </c>
      <c r="H162" s="67" t="s">
        <v>1776</v>
      </c>
      <c r="I162" s="81" t="s">
        <v>1774</v>
      </c>
      <c r="J162" s="94" t="s">
        <v>811</v>
      </c>
      <c r="K162" s="94" t="s">
        <v>1821</v>
      </c>
      <c r="L162" s="94"/>
      <c r="M162" s="94" t="s">
        <v>2443</v>
      </c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</row>
    <row r="163">
      <c r="A163" s="243">
        <v>45971.0</v>
      </c>
      <c r="B163" s="94"/>
      <c r="C163" s="236" t="s">
        <v>1290</v>
      </c>
      <c r="D163" s="262" t="s">
        <v>1272</v>
      </c>
      <c r="E163" s="262" t="s">
        <v>809</v>
      </c>
      <c r="F163" s="236" t="s">
        <v>1831</v>
      </c>
      <c r="G163" s="262" t="s">
        <v>1960</v>
      </c>
      <c r="H163" s="67" t="s">
        <v>1906</v>
      </c>
      <c r="I163" s="81" t="s">
        <v>2451</v>
      </c>
      <c r="J163" s="94" t="s">
        <v>811</v>
      </c>
      <c r="K163" s="94" t="s">
        <v>1803</v>
      </c>
      <c r="L163" s="241">
        <v>12.0</v>
      </c>
      <c r="M163" s="94" t="s">
        <v>2452</v>
      </c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</row>
    <row r="164">
      <c r="A164" s="243">
        <v>45971.0</v>
      </c>
      <c r="B164" s="94"/>
      <c r="C164" s="81" t="s">
        <v>2453</v>
      </c>
      <c r="D164" s="262" t="s">
        <v>478</v>
      </c>
      <c r="E164" s="262" t="s">
        <v>2454</v>
      </c>
      <c r="F164" s="236" t="s">
        <v>1846</v>
      </c>
      <c r="G164" s="262" t="s">
        <v>2455</v>
      </c>
      <c r="H164" s="67" t="s">
        <v>1647</v>
      </c>
      <c r="I164" s="81" t="s">
        <v>1304</v>
      </c>
      <c r="J164" s="94" t="s">
        <v>1802</v>
      </c>
      <c r="K164" s="94" t="s">
        <v>1832</v>
      </c>
      <c r="L164" s="94"/>
      <c r="M164" s="94" t="s">
        <v>2456</v>
      </c>
      <c r="N164" s="94"/>
      <c r="O164" s="94" t="s">
        <v>2403</v>
      </c>
      <c r="P164" s="94" t="s">
        <v>2457</v>
      </c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</row>
    <row r="165">
      <c r="A165" s="239">
        <v>45972.0</v>
      </c>
      <c r="B165" s="94"/>
      <c r="C165" s="236" t="s">
        <v>2458</v>
      </c>
      <c r="D165" s="262" t="s">
        <v>89</v>
      </c>
      <c r="E165" s="262" t="s">
        <v>90</v>
      </c>
      <c r="F165" s="236" t="s">
        <v>1831</v>
      </c>
      <c r="G165" s="262" t="s">
        <v>2459</v>
      </c>
      <c r="H165" s="67" t="s">
        <v>1378</v>
      </c>
      <c r="I165" s="81" t="s">
        <v>2460</v>
      </c>
      <c r="J165" s="94" t="s">
        <v>1802</v>
      </c>
      <c r="K165" s="94" t="s">
        <v>1821</v>
      </c>
      <c r="L165" s="94"/>
      <c r="M165" s="94" t="s">
        <v>2461</v>
      </c>
      <c r="N165" s="94"/>
      <c r="O165" s="94" t="s">
        <v>2462</v>
      </c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>
      <c r="A166" s="239">
        <v>45973.0</v>
      </c>
      <c r="B166" s="94"/>
      <c r="C166" s="94" t="s">
        <v>1298</v>
      </c>
      <c r="D166" s="262" t="s">
        <v>1299</v>
      </c>
      <c r="E166" s="262" t="s">
        <v>1300</v>
      </c>
      <c r="F166" s="236" t="s">
        <v>1846</v>
      </c>
      <c r="G166" s="262" t="s">
        <v>2463</v>
      </c>
      <c r="H166" s="67" t="s">
        <v>1646</v>
      </c>
      <c r="I166" s="81" t="s">
        <v>2464</v>
      </c>
      <c r="J166" s="94" t="s">
        <v>811</v>
      </c>
      <c r="K166" s="94" t="s">
        <v>1803</v>
      </c>
      <c r="L166" s="241">
        <v>14.0</v>
      </c>
      <c r="M166" s="94" t="s">
        <v>2465</v>
      </c>
      <c r="N166" s="94"/>
      <c r="O166" s="94" t="s">
        <v>2466</v>
      </c>
      <c r="P166" s="94" t="s">
        <v>2467</v>
      </c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</row>
    <row r="167">
      <c r="A167" s="243">
        <v>45974.0</v>
      </c>
      <c r="B167" s="94"/>
      <c r="C167" s="236" t="s">
        <v>1278</v>
      </c>
      <c r="D167" s="262" t="s">
        <v>1279</v>
      </c>
      <c r="E167" s="81" t="s">
        <v>1280</v>
      </c>
      <c r="F167" s="236" t="s">
        <v>2234</v>
      </c>
      <c r="G167" s="262" t="s">
        <v>2468</v>
      </c>
      <c r="H167" s="67" t="s">
        <v>1642</v>
      </c>
      <c r="I167" s="280" t="s">
        <v>1281</v>
      </c>
      <c r="J167" s="94" t="s">
        <v>811</v>
      </c>
      <c r="K167" s="281" t="s">
        <v>1803</v>
      </c>
      <c r="L167" s="241">
        <v>1.0</v>
      </c>
      <c r="M167" s="94" t="s">
        <v>2469</v>
      </c>
      <c r="N167" s="94"/>
      <c r="O167" s="94" t="s">
        <v>2470</v>
      </c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</row>
    <row r="168">
      <c r="A168" s="243">
        <v>45974.0</v>
      </c>
      <c r="B168" s="94"/>
      <c r="C168" s="236" t="s">
        <v>1278</v>
      </c>
      <c r="D168" s="262" t="s">
        <v>1279</v>
      </c>
      <c r="E168" s="81" t="s">
        <v>1280</v>
      </c>
      <c r="F168" s="236" t="s">
        <v>1863</v>
      </c>
      <c r="G168" s="262" t="s">
        <v>2471</v>
      </c>
      <c r="H168" s="67" t="s">
        <v>1642</v>
      </c>
      <c r="I168" s="280" t="s">
        <v>1281</v>
      </c>
      <c r="J168" s="94" t="s">
        <v>811</v>
      </c>
      <c r="K168" s="281" t="s">
        <v>1803</v>
      </c>
      <c r="L168" s="94"/>
      <c r="M168" s="94" t="s">
        <v>2472</v>
      </c>
      <c r="N168" s="94"/>
      <c r="O168" s="94" t="s">
        <v>2473</v>
      </c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</row>
    <row r="169">
      <c r="A169" s="243">
        <v>45975.0</v>
      </c>
      <c r="B169" s="94"/>
      <c r="C169" s="236" t="s">
        <v>2474</v>
      </c>
      <c r="D169" s="262" t="s">
        <v>2475</v>
      </c>
      <c r="E169" s="81" t="s">
        <v>2476</v>
      </c>
      <c r="F169" s="236" t="s">
        <v>1831</v>
      </c>
      <c r="G169" s="275" t="s">
        <v>2477</v>
      </c>
      <c r="H169" s="67" t="s">
        <v>1446</v>
      </c>
      <c r="I169" s="282" t="s">
        <v>2478</v>
      </c>
      <c r="J169" s="94" t="s">
        <v>1802</v>
      </c>
      <c r="K169" s="94" t="s">
        <v>1803</v>
      </c>
      <c r="L169" s="241">
        <v>15.0</v>
      </c>
      <c r="M169" s="283" t="s">
        <v>2479</v>
      </c>
      <c r="N169" s="94"/>
      <c r="O169" s="94" t="s">
        <v>2480</v>
      </c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</row>
    <row r="170">
      <c r="A170" s="243">
        <v>45975.0</v>
      </c>
      <c r="B170" s="94"/>
      <c r="C170" s="236" t="s">
        <v>2481</v>
      </c>
      <c r="D170" s="262" t="s">
        <v>2482</v>
      </c>
      <c r="E170" s="81" t="s">
        <v>2483</v>
      </c>
      <c r="F170" s="236" t="s">
        <v>1846</v>
      </c>
      <c r="G170" s="262" t="s">
        <v>2459</v>
      </c>
      <c r="H170" s="240"/>
      <c r="I170" s="81"/>
      <c r="J170" s="94" t="s">
        <v>811</v>
      </c>
      <c r="K170" s="94" t="s">
        <v>1832</v>
      </c>
      <c r="L170" s="241">
        <v>16.0</v>
      </c>
      <c r="M170" s="94" t="s">
        <v>2484</v>
      </c>
      <c r="N170" s="94"/>
      <c r="O170" s="94" t="s">
        <v>2485</v>
      </c>
      <c r="P170" s="94" t="s">
        <v>2486</v>
      </c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</row>
    <row r="171">
      <c r="A171" s="243">
        <v>45975.0</v>
      </c>
      <c r="B171" s="94"/>
      <c r="C171" s="236" t="s">
        <v>2487</v>
      </c>
      <c r="D171" s="89" t="s">
        <v>2488</v>
      </c>
      <c r="E171" s="86" t="s">
        <v>2489</v>
      </c>
      <c r="F171" s="236" t="s">
        <v>1846</v>
      </c>
      <c r="G171" s="262" t="s">
        <v>2459</v>
      </c>
      <c r="H171" s="240"/>
      <c r="I171" s="81"/>
      <c r="J171" s="94" t="s">
        <v>1802</v>
      </c>
      <c r="K171" s="94" t="s">
        <v>1832</v>
      </c>
      <c r="L171" s="241">
        <v>17.0</v>
      </c>
      <c r="M171" s="94" t="s">
        <v>2484</v>
      </c>
      <c r="N171" s="94"/>
      <c r="O171" s="94" t="s">
        <v>2490</v>
      </c>
      <c r="P171" s="94" t="s">
        <v>2491</v>
      </c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</row>
    <row r="172">
      <c r="A172" s="243">
        <v>45978.0</v>
      </c>
      <c r="B172" s="94"/>
      <c r="C172" s="236" t="s">
        <v>904</v>
      </c>
      <c r="D172" s="67" t="s">
        <v>204</v>
      </c>
      <c r="E172" s="67" t="s">
        <v>205</v>
      </c>
      <c r="F172" s="236" t="s">
        <v>1807</v>
      </c>
      <c r="G172" s="262" t="s">
        <v>2492</v>
      </c>
      <c r="H172" s="240"/>
      <c r="I172" s="81"/>
      <c r="J172" s="94" t="s">
        <v>811</v>
      </c>
      <c r="K172" s="94" t="s">
        <v>1808</v>
      </c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</row>
    <row r="173">
      <c r="A173" s="243">
        <v>45978.0</v>
      </c>
      <c r="B173" s="94"/>
      <c r="C173" s="236" t="s">
        <v>1689</v>
      </c>
      <c r="D173" s="262" t="s">
        <v>1690</v>
      </c>
      <c r="E173" s="240"/>
      <c r="F173" s="236" t="s">
        <v>1863</v>
      </c>
      <c r="G173" s="67" t="s">
        <v>1864</v>
      </c>
      <c r="H173" s="240"/>
      <c r="I173" s="81"/>
      <c r="J173" s="94" t="s">
        <v>811</v>
      </c>
      <c r="K173" s="94" t="s">
        <v>1808</v>
      </c>
      <c r="L173" s="94"/>
      <c r="M173" s="94" t="s">
        <v>2493</v>
      </c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</row>
    <row r="174">
      <c r="A174" s="243">
        <v>45979.0</v>
      </c>
      <c r="B174" s="94"/>
      <c r="C174" s="236" t="s">
        <v>1571</v>
      </c>
      <c r="D174" s="262" t="s">
        <v>1572</v>
      </c>
      <c r="E174" s="67" t="s">
        <v>1573</v>
      </c>
      <c r="F174" s="236" t="s">
        <v>1807</v>
      </c>
      <c r="G174" s="262" t="s">
        <v>2494</v>
      </c>
      <c r="H174" s="240"/>
      <c r="I174" s="81"/>
      <c r="J174" s="94" t="s">
        <v>811</v>
      </c>
      <c r="K174" s="94" t="s">
        <v>1821</v>
      </c>
      <c r="L174" s="94"/>
      <c r="M174" s="94" t="s">
        <v>2495</v>
      </c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</row>
    <row r="175">
      <c r="A175" s="243">
        <v>45979.0</v>
      </c>
      <c r="B175" s="94"/>
      <c r="C175" s="25" t="s">
        <v>1068</v>
      </c>
      <c r="D175" s="273" t="s">
        <v>395</v>
      </c>
      <c r="E175" s="273" t="s">
        <v>396</v>
      </c>
      <c r="F175" s="94" t="s">
        <v>1807</v>
      </c>
      <c r="G175" s="262" t="s">
        <v>2494</v>
      </c>
      <c r="H175" s="94"/>
      <c r="I175" s="94"/>
      <c r="J175" s="94" t="s">
        <v>811</v>
      </c>
      <c r="K175" s="94" t="s">
        <v>1821</v>
      </c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</row>
    <row r="176">
      <c r="A176" s="243">
        <v>45979.0</v>
      </c>
      <c r="B176" s="94"/>
      <c r="C176" s="25" t="s">
        <v>2496</v>
      </c>
      <c r="D176" s="273" t="s">
        <v>2497</v>
      </c>
      <c r="E176" s="273" t="s">
        <v>2498</v>
      </c>
      <c r="F176" s="94" t="s">
        <v>2234</v>
      </c>
      <c r="G176" s="94" t="s">
        <v>2499</v>
      </c>
      <c r="H176" s="94"/>
      <c r="I176" s="94"/>
      <c r="J176" s="94" t="s">
        <v>811</v>
      </c>
      <c r="K176" s="94" t="s">
        <v>1821</v>
      </c>
      <c r="L176" s="94"/>
      <c r="M176" s="94" t="s">
        <v>2500</v>
      </c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</row>
    <row r="177">
      <c r="A177" s="243">
        <v>45979.0</v>
      </c>
      <c r="B177" s="94"/>
      <c r="C177" s="79" t="s">
        <v>469</v>
      </c>
      <c r="D177" s="273" t="s">
        <v>470</v>
      </c>
      <c r="E177" s="273" t="s">
        <v>471</v>
      </c>
      <c r="F177" s="94" t="s">
        <v>1807</v>
      </c>
      <c r="G177" s="262" t="s">
        <v>2494</v>
      </c>
      <c r="H177" s="94"/>
      <c r="I177" s="94"/>
      <c r="J177" s="94" t="s">
        <v>811</v>
      </c>
      <c r="K177" s="94" t="s">
        <v>1821</v>
      </c>
      <c r="L177" s="94"/>
      <c r="M177" s="94" t="s">
        <v>2491</v>
      </c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</row>
    <row r="178">
      <c r="A178" s="243">
        <v>45985.0</v>
      </c>
      <c r="B178" s="94"/>
      <c r="C178" s="81" t="s">
        <v>2501</v>
      </c>
      <c r="D178" s="236" t="s">
        <v>506</v>
      </c>
      <c r="E178" s="94" t="s">
        <v>1296</v>
      </c>
      <c r="F178" s="94" t="s">
        <v>1846</v>
      </c>
      <c r="G178" s="94" t="s">
        <v>2502</v>
      </c>
      <c r="H178" s="81" t="s">
        <v>1645</v>
      </c>
      <c r="I178" s="94" t="s">
        <v>1297</v>
      </c>
      <c r="J178" s="94" t="s">
        <v>1802</v>
      </c>
      <c r="K178" s="94" t="s">
        <v>1803</v>
      </c>
      <c r="L178" s="241">
        <v>18.0</v>
      </c>
      <c r="M178" s="94" t="s">
        <v>2503</v>
      </c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</row>
    <row r="179">
      <c r="A179" s="243">
        <v>45985.0</v>
      </c>
      <c r="B179" s="94"/>
      <c r="C179" s="236" t="s">
        <v>2504</v>
      </c>
      <c r="D179" s="236" t="s">
        <v>2505</v>
      </c>
      <c r="E179" s="94" t="s">
        <v>2506</v>
      </c>
      <c r="F179" s="94" t="s">
        <v>1831</v>
      </c>
      <c r="G179" s="94" t="s">
        <v>2507</v>
      </c>
      <c r="H179" s="94" t="s">
        <v>1579</v>
      </c>
      <c r="I179" s="94" t="s">
        <v>459</v>
      </c>
      <c r="J179" s="94" t="s">
        <v>1802</v>
      </c>
      <c r="K179" s="94" t="s">
        <v>1803</v>
      </c>
      <c r="L179" s="241">
        <v>19.0</v>
      </c>
      <c r="M179" s="94" t="s">
        <v>2508</v>
      </c>
      <c r="N179" s="94" t="s">
        <v>2509</v>
      </c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</row>
    <row r="180">
      <c r="A180" s="243">
        <v>45986.0</v>
      </c>
      <c r="B180" s="94"/>
      <c r="C180" s="94" t="s">
        <v>2510</v>
      </c>
      <c r="D180" s="236" t="s">
        <v>2511</v>
      </c>
      <c r="E180" s="94" t="s">
        <v>2512</v>
      </c>
      <c r="F180" s="94" t="s">
        <v>1831</v>
      </c>
      <c r="G180" s="94" t="s">
        <v>2507</v>
      </c>
      <c r="H180" s="94" t="s">
        <v>2513</v>
      </c>
      <c r="I180" s="94" t="s">
        <v>2514</v>
      </c>
      <c r="J180" s="94" t="s">
        <v>1802</v>
      </c>
      <c r="K180" s="94" t="s">
        <v>1803</v>
      </c>
      <c r="L180" s="241">
        <v>20.0</v>
      </c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</row>
    <row r="181">
      <c r="A181" s="243">
        <v>45986.0</v>
      </c>
      <c r="B181" s="94"/>
      <c r="C181" s="236" t="s">
        <v>2515</v>
      </c>
      <c r="D181" s="236" t="s">
        <v>2516</v>
      </c>
      <c r="E181" s="94" t="s">
        <v>2517</v>
      </c>
      <c r="F181" s="94" t="s">
        <v>2076</v>
      </c>
      <c r="G181" s="94"/>
      <c r="H181" s="94"/>
      <c r="I181" s="94"/>
      <c r="J181" s="94" t="s">
        <v>811</v>
      </c>
      <c r="K181" s="94" t="s">
        <v>1803</v>
      </c>
      <c r="L181" s="94"/>
      <c r="M181" s="94" t="s">
        <v>2518</v>
      </c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</row>
    <row r="182">
      <c r="A182" s="243">
        <v>45986.0</v>
      </c>
      <c r="B182" s="94"/>
      <c r="C182" s="94"/>
      <c r="D182" s="236" t="s">
        <v>2400</v>
      </c>
      <c r="E182" s="94" t="s">
        <v>809</v>
      </c>
      <c r="F182" s="94" t="s">
        <v>1831</v>
      </c>
      <c r="G182" s="94" t="s">
        <v>1413</v>
      </c>
      <c r="H182" s="94"/>
      <c r="I182" s="94"/>
      <c r="J182" s="94" t="s">
        <v>811</v>
      </c>
      <c r="K182" s="94" t="s">
        <v>1803</v>
      </c>
      <c r="L182" s="241">
        <v>21.0</v>
      </c>
      <c r="M182" s="94" t="s">
        <v>2519</v>
      </c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</row>
    <row r="183">
      <c r="A183" s="243">
        <v>45987.0</v>
      </c>
      <c r="B183" s="94"/>
      <c r="C183" s="236" t="s">
        <v>2520</v>
      </c>
      <c r="D183" s="236" t="s">
        <v>2521</v>
      </c>
      <c r="E183" s="94" t="s">
        <v>2522</v>
      </c>
      <c r="F183" s="94" t="s">
        <v>2002</v>
      </c>
      <c r="G183" s="94" t="s">
        <v>2523</v>
      </c>
      <c r="H183" s="94" t="s">
        <v>2524</v>
      </c>
      <c r="I183" s="94"/>
      <c r="J183" s="94" t="s">
        <v>811</v>
      </c>
      <c r="K183" s="94" t="s">
        <v>1803</v>
      </c>
      <c r="L183" s="94"/>
      <c r="M183" s="94" t="s">
        <v>2525</v>
      </c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</row>
    <row r="184">
      <c r="A184" s="284">
        <v>45992.0</v>
      </c>
      <c r="B184" s="94"/>
      <c r="C184" s="236" t="s">
        <v>2090</v>
      </c>
      <c r="D184" s="236" t="s">
        <v>2091</v>
      </c>
      <c r="E184" s="26" t="s">
        <v>2092</v>
      </c>
      <c r="F184" s="94" t="s">
        <v>2269</v>
      </c>
      <c r="G184" s="94"/>
      <c r="H184" s="94"/>
      <c r="I184" s="94"/>
      <c r="J184" s="94" t="s">
        <v>1802</v>
      </c>
      <c r="K184" s="94" t="s">
        <v>1803</v>
      </c>
      <c r="L184" s="94"/>
      <c r="M184" s="94" t="s">
        <v>2491</v>
      </c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</row>
    <row r="185">
      <c r="A185" s="284">
        <v>45993.0</v>
      </c>
      <c r="B185" s="94"/>
      <c r="C185" s="94" t="s">
        <v>2526</v>
      </c>
      <c r="D185" s="236" t="s">
        <v>2527</v>
      </c>
      <c r="E185" s="94" t="s">
        <v>2528</v>
      </c>
      <c r="F185" s="94" t="s">
        <v>1831</v>
      </c>
      <c r="G185" s="94" t="s">
        <v>2529</v>
      </c>
      <c r="H185" s="94" t="s">
        <v>2530</v>
      </c>
      <c r="I185" s="94" t="s">
        <v>2531</v>
      </c>
      <c r="J185" s="94" t="s">
        <v>1802</v>
      </c>
      <c r="K185" s="94" t="s">
        <v>1803</v>
      </c>
      <c r="L185" s="241">
        <v>22.0</v>
      </c>
      <c r="M185" s="94" t="s">
        <v>2532</v>
      </c>
      <c r="N185" s="94" t="s">
        <v>2533</v>
      </c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</row>
    <row r="186">
      <c r="A186" s="284">
        <v>45995.0</v>
      </c>
      <c r="B186" s="94"/>
      <c r="C186" s="236" t="s">
        <v>1172</v>
      </c>
      <c r="D186" s="34" t="s">
        <v>1173</v>
      </c>
      <c r="E186" s="94" t="s">
        <v>1174</v>
      </c>
      <c r="F186" s="94" t="s">
        <v>1846</v>
      </c>
      <c r="G186" s="283" t="s">
        <v>2534</v>
      </c>
      <c r="H186" s="94"/>
      <c r="I186" s="94"/>
      <c r="J186" s="94" t="s">
        <v>811</v>
      </c>
      <c r="K186" s="94" t="s">
        <v>811</v>
      </c>
      <c r="L186" s="241">
        <v>23.0</v>
      </c>
      <c r="M186" s="94" t="s">
        <v>2535</v>
      </c>
      <c r="N186" s="94" t="s">
        <v>2536</v>
      </c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</row>
    <row r="187">
      <c r="A187" s="284">
        <v>45995.0</v>
      </c>
      <c r="B187" s="94"/>
      <c r="C187" s="236" t="s">
        <v>2240</v>
      </c>
      <c r="D187" s="94"/>
      <c r="E187" s="94"/>
      <c r="F187" s="94" t="s">
        <v>2269</v>
      </c>
      <c r="G187" s="94"/>
      <c r="H187" s="94"/>
      <c r="I187" s="94"/>
      <c r="J187" s="94" t="s">
        <v>1802</v>
      </c>
      <c r="K187" s="94" t="s">
        <v>1803</v>
      </c>
      <c r="L187" s="94"/>
      <c r="M187" s="94" t="s">
        <v>2537</v>
      </c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</row>
    <row r="188">
      <c r="A188" s="241">
        <v>0.0</v>
      </c>
      <c r="B188" s="94"/>
      <c r="C188" s="236" t="s">
        <v>2538</v>
      </c>
      <c r="D188" s="285" t="s">
        <v>2539</v>
      </c>
      <c r="E188" s="94" t="s">
        <v>2540</v>
      </c>
      <c r="F188" s="94" t="s">
        <v>1831</v>
      </c>
      <c r="G188" s="94" t="s">
        <v>2541</v>
      </c>
      <c r="H188" s="94" t="s">
        <v>2542</v>
      </c>
      <c r="I188" s="94" t="s">
        <v>2543</v>
      </c>
      <c r="J188" s="94" t="s">
        <v>811</v>
      </c>
      <c r="K188" s="94" t="s">
        <v>1803</v>
      </c>
      <c r="L188" s="94"/>
      <c r="M188" s="94" t="s">
        <v>2544</v>
      </c>
      <c r="N188" s="94" t="s">
        <v>2545</v>
      </c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</row>
    <row r="189">
      <c r="A189" s="284">
        <v>45995.0</v>
      </c>
      <c r="B189" s="94"/>
      <c r="C189" s="94"/>
      <c r="D189" s="81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</row>
    <row r="190">
      <c r="A190" s="243">
        <v>46001.0</v>
      </c>
      <c r="B190" s="94"/>
      <c r="C190" s="236" t="s">
        <v>2546</v>
      </c>
      <c r="D190" s="236" t="s">
        <v>2547</v>
      </c>
      <c r="E190" s="94" t="s">
        <v>2548</v>
      </c>
      <c r="F190" s="94" t="s">
        <v>1846</v>
      </c>
      <c r="G190" s="94" t="s">
        <v>2549</v>
      </c>
      <c r="H190" s="94" t="s">
        <v>2550</v>
      </c>
      <c r="I190" s="94" t="s">
        <v>2551</v>
      </c>
      <c r="J190" s="94" t="s">
        <v>811</v>
      </c>
      <c r="K190" s="94" t="s">
        <v>1803</v>
      </c>
      <c r="L190" s="94"/>
      <c r="M190" s="94" t="s">
        <v>2552</v>
      </c>
      <c r="N190" s="94" t="s">
        <v>2553</v>
      </c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</row>
    <row r="191">
      <c r="A191" s="243">
        <v>46001.0</v>
      </c>
      <c r="B191" s="94"/>
      <c r="C191" s="236" t="s">
        <v>922</v>
      </c>
      <c r="D191" s="236" t="s">
        <v>98</v>
      </c>
      <c r="E191" s="94" t="s">
        <v>99</v>
      </c>
      <c r="F191" s="94" t="s">
        <v>2269</v>
      </c>
      <c r="G191" s="94" t="s">
        <v>2554</v>
      </c>
      <c r="H191" s="94" t="s">
        <v>1383</v>
      </c>
      <c r="I191" s="94" t="s">
        <v>2555</v>
      </c>
      <c r="J191" s="94" t="s">
        <v>1802</v>
      </c>
      <c r="K191" s="94" t="s">
        <v>1803</v>
      </c>
      <c r="L191" s="94"/>
      <c r="M191" s="94" t="s">
        <v>2556</v>
      </c>
      <c r="N191" s="94" t="s">
        <v>429</v>
      </c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</row>
    <row r="192">
      <c r="A192" s="286">
        <v>46015.0</v>
      </c>
      <c r="B192" s="94"/>
      <c r="C192" s="25" t="s">
        <v>945</v>
      </c>
      <c r="D192" s="273" t="s">
        <v>36</v>
      </c>
      <c r="E192" s="273" t="s">
        <v>37</v>
      </c>
      <c r="F192" s="94" t="s">
        <v>2557</v>
      </c>
      <c r="G192" s="94" t="s">
        <v>2558</v>
      </c>
      <c r="H192" s="94"/>
      <c r="I192" s="94"/>
      <c r="J192" s="94" t="s">
        <v>811</v>
      </c>
      <c r="K192" s="94" t="s">
        <v>1803</v>
      </c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</row>
    <row r="193">
      <c r="A193" s="287">
        <v>46048.0</v>
      </c>
      <c r="B193" s="94"/>
      <c r="C193" s="236" t="s">
        <v>2559</v>
      </c>
      <c r="D193" s="244">
        <v>7.82212877E8</v>
      </c>
      <c r="E193" s="94"/>
      <c r="F193" s="94" t="s">
        <v>2002</v>
      </c>
      <c r="G193" s="94" t="s">
        <v>2560</v>
      </c>
      <c r="H193" s="94"/>
      <c r="I193" s="94"/>
      <c r="J193" s="94" t="s">
        <v>811</v>
      </c>
      <c r="K193" s="94" t="s">
        <v>1803</v>
      </c>
      <c r="L193" s="94"/>
      <c r="M193" s="94" t="s">
        <v>2561</v>
      </c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</row>
    <row r="194">
      <c r="A194" s="284">
        <v>46076.0</v>
      </c>
      <c r="B194" s="94"/>
      <c r="C194" s="236" t="s">
        <v>1317</v>
      </c>
      <c r="D194" s="236" t="s">
        <v>1318</v>
      </c>
      <c r="E194" s="94" t="s">
        <v>1319</v>
      </c>
      <c r="F194" s="94" t="s">
        <v>1380</v>
      </c>
      <c r="G194" s="94" t="s">
        <v>2562</v>
      </c>
      <c r="H194" s="94"/>
      <c r="I194" s="94"/>
      <c r="J194" s="94" t="s">
        <v>811</v>
      </c>
      <c r="K194" s="94" t="s">
        <v>1808</v>
      </c>
      <c r="L194" s="94"/>
      <c r="M194" s="94" t="s">
        <v>2563</v>
      </c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</row>
    <row r="195">
      <c r="A195" s="288">
        <v>46085.0</v>
      </c>
      <c r="C195" s="188" t="s">
        <v>2564</v>
      </c>
      <c r="D195" s="188" t="s">
        <v>2565</v>
      </c>
      <c r="F195" s="94" t="s">
        <v>1380</v>
      </c>
      <c r="G195" s="188" t="s">
        <v>2566</v>
      </c>
      <c r="J195" s="94" t="s">
        <v>811</v>
      </c>
      <c r="K195" s="94" t="s">
        <v>1808</v>
      </c>
      <c r="M195" s="188" t="s">
        <v>2567</v>
      </c>
    </row>
    <row r="196">
      <c r="A196" s="288">
        <v>46085.0</v>
      </c>
      <c r="C196" s="289" t="s">
        <v>1289</v>
      </c>
      <c r="D196" s="289" t="s">
        <v>988</v>
      </c>
      <c r="E196" s="289" t="s">
        <v>989</v>
      </c>
      <c r="F196" s="94" t="s">
        <v>1380</v>
      </c>
      <c r="G196" s="188" t="s">
        <v>1380</v>
      </c>
      <c r="J196" s="94" t="s">
        <v>811</v>
      </c>
      <c r="K196" s="94" t="s">
        <v>1808</v>
      </c>
    </row>
    <row r="197">
      <c r="A197" s="288">
        <v>46091.0</v>
      </c>
      <c r="C197" s="289" t="s">
        <v>1187</v>
      </c>
      <c r="D197" s="289" t="s">
        <v>612</v>
      </c>
      <c r="E197" s="289" t="s">
        <v>613</v>
      </c>
      <c r="F197" s="94" t="s">
        <v>1380</v>
      </c>
      <c r="G197" s="188" t="s">
        <v>2568</v>
      </c>
      <c r="J197" s="94" t="s">
        <v>811</v>
      </c>
      <c r="K197" s="94" t="s">
        <v>1808</v>
      </c>
    </row>
    <row r="198">
      <c r="A198" s="288">
        <v>46098.0</v>
      </c>
      <c r="C198" s="188" t="s">
        <v>2569</v>
      </c>
      <c r="D198" s="188" t="s">
        <v>2570</v>
      </c>
      <c r="E198" s="188" t="s">
        <v>2571</v>
      </c>
      <c r="F198" s="93" t="s">
        <v>1831</v>
      </c>
      <c r="G198" s="188" t="s">
        <v>2572</v>
      </c>
      <c r="J198" s="94" t="s">
        <v>811</v>
      </c>
      <c r="K198" s="94" t="s">
        <v>1808</v>
      </c>
      <c r="M198" s="188" t="s">
        <v>2572</v>
      </c>
    </row>
    <row r="199">
      <c r="A199" s="288">
        <v>46099.0</v>
      </c>
      <c r="C199" s="188" t="s">
        <v>2573</v>
      </c>
      <c r="D199" s="188" t="s">
        <v>1228</v>
      </c>
      <c r="E199" s="188" t="s">
        <v>809</v>
      </c>
      <c r="F199" s="93" t="s">
        <v>1831</v>
      </c>
      <c r="G199" s="188" t="s">
        <v>1413</v>
      </c>
      <c r="J199" s="94" t="s">
        <v>811</v>
      </c>
      <c r="K199" s="94" t="s">
        <v>1808</v>
      </c>
    </row>
    <row r="200">
      <c r="A200" s="288">
        <v>46099.0</v>
      </c>
      <c r="C200" s="188" t="s">
        <v>2574</v>
      </c>
      <c r="D200" s="188" t="s">
        <v>2575</v>
      </c>
      <c r="E200" s="188" t="s">
        <v>809</v>
      </c>
      <c r="F200" s="93" t="s">
        <v>1831</v>
      </c>
      <c r="G200" s="188" t="s">
        <v>1413</v>
      </c>
      <c r="J200" s="94" t="s">
        <v>811</v>
      </c>
      <c r="K200" s="94" t="s">
        <v>1808</v>
      </c>
    </row>
    <row r="201">
      <c r="A201" s="288">
        <v>46099.0</v>
      </c>
      <c r="C201" s="188" t="s">
        <v>2576</v>
      </c>
      <c r="D201" s="188" t="s">
        <v>2577</v>
      </c>
      <c r="E201" s="188" t="s">
        <v>2578</v>
      </c>
      <c r="F201" s="93" t="s">
        <v>1831</v>
      </c>
      <c r="G201" s="188" t="s">
        <v>1960</v>
      </c>
      <c r="H201" s="188">
        <v>9.77977216E8</v>
      </c>
      <c r="J201" s="94" t="s">
        <v>811</v>
      </c>
      <c r="K201" s="94" t="s">
        <v>1808</v>
      </c>
    </row>
    <row r="202">
      <c r="A202" s="288">
        <v>46099.0</v>
      </c>
      <c r="C202" s="188" t="s">
        <v>2564</v>
      </c>
      <c r="D202" s="188" t="s">
        <v>2565</v>
      </c>
      <c r="E202" s="188" t="s">
        <v>809</v>
      </c>
      <c r="F202" s="93" t="s">
        <v>1380</v>
      </c>
      <c r="G202" s="188" t="s">
        <v>2579</v>
      </c>
      <c r="J202" s="94" t="s">
        <v>811</v>
      </c>
      <c r="K202" s="93" t="s">
        <v>1821</v>
      </c>
      <c r="M202" s="188" t="s">
        <v>2580</v>
      </c>
    </row>
    <row r="203">
      <c r="A203" s="288">
        <v>46099.0</v>
      </c>
      <c r="C203" s="188" t="s">
        <v>2581</v>
      </c>
      <c r="D203" s="188" t="s">
        <v>2582</v>
      </c>
      <c r="E203" s="188" t="s">
        <v>809</v>
      </c>
      <c r="F203" s="93" t="s">
        <v>1831</v>
      </c>
      <c r="J203" s="94" t="s">
        <v>811</v>
      </c>
      <c r="K203" s="94" t="s">
        <v>1808</v>
      </c>
    </row>
    <row r="204">
      <c r="A204" s="288">
        <v>46104.0</v>
      </c>
      <c r="C204" s="188" t="s">
        <v>2287</v>
      </c>
      <c r="D204" s="188" t="s">
        <v>2288</v>
      </c>
      <c r="E204" s="188" t="s">
        <v>2289</v>
      </c>
      <c r="F204" s="93" t="s">
        <v>1852</v>
      </c>
      <c r="G204" s="188" t="s">
        <v>2583</v>
      </c>
      <c r="J204" s="94" t="s">
        <v>811</v>
      </c>
      <c r="K204" s="94" t="s">
        <v>1808</v>
      </c>
    </row>
    <row r="205">
      <c r="A205" s="288">
        <v>46104.0</v>
      </c>
      <c r="C205" s="188" t="s">
        <v>2584</v>
      </c>
      <c r="D205" s="188" t="s">
        <v>1291</v>
      </c>
      <c r="E205" s="188" t="s">
        <v>1292</v>
      </c>
      <c r="F205" s="93" t="s">
        <v>1831</v>
      </c>
    </row>
  </sheetData>
  <autoFilter ref="$A$1:$AF$205"/>
  <mergeCells count="7">
    <mergeCell ref="O10:P10"/>
    <mergeCell ref="O18:P18"/>
    <mergeCell ref="M44:N44"/>
    <mergeCell ref="O44:P44"/>
    <mergeCell ref="O47:P47"/>
    <mergeCell ref="M88:N88"/>
    <mergeCell ref="O91:P91"/>
  </mergeCells>
  <dataValidations>
    <dataValidation type="list" allowBlank="1" showErrorMessage="1" sqref="J2:J185 J186:K186 J187:J204">
      <formula1>"PENDIENTE,REALIZADO"</formula1>
    </dataValidation>
    <dataValidation type="list" allowBlank="1" showErrorMessage="1" sqref="F1:F205">
      <formula1>"AMPLIAR GIRO,AUDITORIA,BAJA SERVICIO,BALANCE 2024,CAMBIO REGIMEN TRIBUTARIO,CARGAR NOMINA DE PREVIRED,CONSULTA GETNET,CONTRATO DE TRABAJO,CONTRATOS,CREACION DE EMPRESA,CUENTA BANCO EMPRESA,DEVOLVER VALOR DE LA PATENTE,DUDAS CARGA GETNET,FACTURAR,FINIQUITO"&amp;" DOS TRABAJADORES,FINIQUITO LIQUIDACIONES,FINIQUITO UN TRABAJADOR,FORMALIZA TU PYME + OFV,GESTION PATENTE,HACER FACTURA TUU,HACER UNA FACTURA,LICENCIA MEDICA,LIQUIDACIONES,MODIFICACION SOCIEDAD,NORMALIZACION,NOTA DE CREDITO,NUEVO CONTRATO OFV,OBTENER RESU"&amp;"MEN LIBRO DE REMUNERACIONES,OFICINA VIRTUAL Y PATENTE,PAGINA WEB,PAGO GIROS Y CONDONACIONES,PAGOS CON GIRO F29 PENDIENTE,PATENTE COMERCIAL,PATENTE COMERCIAL/ FRANCES,POSTERGACION IVA,PREVIRED,PROPIEDAD,RECALCULAR PREVIRED,RECTIFICACION IVA/ me meti a revi"&amp;"sar el iva y esta bien revisar termino de giro,RECTIFICACION RENTA 2024,RECURSOS HUMANOS,REGISTRO DIN,REGISTRO MARCA,REMUNERACIONES,RENTA 2025,RENTA PENDIENTE,REUNION,SESION DE DOMICILIO,SOLICITAR USO DE VEHICULO PERSONAL,TAREAS VARIAS,TERMINO DE GIRO,VEH"&amp;"ICULO,VEHICULO/AMPLIAR GIRO,VERIFICACION ACTIVIDADES,VERIFICACION GOOGLE,VOLVER A SUBIR F29,FOLIOS,MATERIA,CUENTA BANCARIA USA,Libro de accionistas"</formula1>
    </dataValidation>
    <dataValidation type="list" allowBlank="1" showErrorMessage="1" sqref="K2:K185 K187:K204">
      <formula1>"ALTA,MEDIA,BAJA,PRIORIDAD,URGENTE"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290" t="s">
        <v>2585</v>
      </c>
      <c r="B1" s="291" t="s">
        <v>2586</v>
      </c>
      <c r="C1" s="292" t="s">
        <v>2587</v>
      </c>
      <c r="D1" s="291" t="s">
        <v>2588</v>
      </c>
      <c r="E1" s="291" t="s">
        <v>2586</v>
      </c>
      <c r="F1" s="291" t="s">
        <v>2589</v>
      </c>
      <c r="G1" s="291" t="s">
        <v>2590</v>
      </c>
    </row>
    <row r="2">
      <c r="A2" s="188" t="s">
        <v>2591</v>
      </c>
      <c r="B2" s="188" t="s">
        <v>1772</v>
      </c>
    </row>
    <row r="3">
      <c r="A3" s="188" t="s">
        <v>2592</v>
      </c>
      <c r="B3" s="188" t="s">
        <v>2063</v>
      </c>
    </row>
    <row r="4">
      <c r="A4" s="188" t="s">
        <v>2593</v>
      </c>
      <c r="B4" s="188" t="s">
        <v>478</v>
      </c>
    </row>
    <row r="5">
      <c r="A5" s="188" t="s">
        <v>2594</v>
      </c>
      <c r="B5" s="188" t="s">
        <v>2595</v>
      </c>
    </row>
    <row r="6">
      <c r="A6" s="188" t="s">
        <v>2596</v>
      </c>
      <c r="B6" s="188" t="s">
        <v>2595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4.5"/>
  </cols>
  <sheetData>
    <row r="1">
      <c r="A1" s="293" t="s">
        <v>1790</v>
      </c>
      <c r="B1" s="294" t="s">
        <v>786</v>
      </c>
      <c r="C1" s="294" t="s">
        <v>789</v>
      </c>
      <c r="D1" s="294" t="s">
        <v>787</v>
      </c>
      <c r="E1" s="294" t="s">
        <v>788</v>
      </c>
      <c r="F1" s="295" t="s">
        <v>2597</v>
      </c>
      <c r="G1" s="295" t="s">
        <v>2598</v>
      </c>
      <c r="H1" s="294" t="s">
        <v>2599</v>
      </c>
      <c r="I1" s="293" t="s">
        <v>2600</v>
      </c>
      <c r="J1" s="294" t="s">
        <v>2601</v>
      </c>
      <c r="K1" s="294" t="s">
        <v>1790</v>
      </c>
      <c r="L1" s="294" t="s">
        <v>2602</v>
      </c>
      <c r="M1" s="281" t="s">
        <v>1791</v>
      </c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</row>
    <row r="2">
      <c r="A2" s="296" t="str">
        <f t="shared" ref="A2:A19" si="1">IF(G2&lt;TODAY(),"VENCIDA",IF(G2=TODAY(),"HOY","VIGENTE "&amp;G2-TODAY()&amp;" DÍAS"))</f>
        <v>VIGENTE 212 DÍAS</v>
      </c>
      <c r="B2" s="297" t="s">
        <v>88</v>
      </c>
      <c r="C2" s="297" t="s">
        <v>2460</v>
      </c>
      <c r="D2" s="297" t="s">
        <v>89</v>
      </c>
      <c r="E2" s="297" t="s">
        <v>90</v>
      </c>
      <c r="F2" s="298">
        <v>45958.0</v>
      </c>
      <c r="G2" s="299">
        <f t="shared" ref="G2:G19" si="2">DATE(YEAR(F2)+1,MONTH(F2),DAY(F2))</f>
        <v>46323</v>
      </c>
      <c r="H2" s="300" t="s">
        <v>2178</v>
      </c>
      <c r="I2" s="301">
        <f t="shared" ref="I2:I19" si="3">TODAY()-G2</f>
        <v>-212</v>
      </c>
      <c r="J2" s="297" t="s">
        <v>2603</v>
      </c>
      <c r="K2" s="297" t="s">
        <v>2178</v>
      </c>
      <c r="L2" s="297" t="s">
        <v>2604</v>
      </c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>
      <c r="A3" s="302" t="str">
        <f t="shared" si="1"/>
        <v>VENCIDA</v>
      </c>
      <c r="B3" s="300" t="s">
        <v>859</v>
      </c>
      <c r="C3" s="300" t="s">
        <v>2605</v>
      </c>
      <c r="D3" s="300" t="s">
        <v>860</v>
      </c>
      <c r="E3" s="300" t="s">
        <v>364</v>
      </c>
      <c r="F3" s="298">
        <v>45321.0</v>
      </c>
      <c r="G3" s="298">
        <f t="shared" si="2"/>
        <v>45687</v>
      </c>
      <c r="H3" s="300" t="s">
        <v>2606</v>
      </c>
      <c r="I3" s="303">
        <f t="shared" si="3"/>
        <v>424</v>
      </c>
      <c r="J3" s="300" t="s">
        <v>2607</v>
      </c>
      <c r="K3" s="300" t="s">
        <v>2608</v>
      </c>
      <c r="L3" s="300" t="s">
        <v>2609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</row>
    <row r="4">
      <c r="A4" s="302" t="str">
        <f t="shared" si="1"/>
        <v>VENCIDA</v>
      </c>
      <c r="B4" s="304" t="s">
        <v>596</v>
      </c>
      <c r="C4" s="304" t="s">
        <v>2610</v>
      </c>
      <c r="D4" s="304" t="s">
        <v>597</v>
      </c>
      <c r="E4" s="304" t="s">
        <v>598</v>
      </c>
      <c r="F4" s="298">
        <v>45363.0</v>
      </c>
      <c r="G4" s="298">
        <f t="shared" si="2"/>
        <v>45728</v>
      </c>
      <c r="H4" s="300"/>
      <c r="I4" s="303">
        <f t="shared" si="3"/>
        <v>383</v>
      </c>
      <c r="J4" s="300" t="s">
        <v>2607</v>
      </c>
      <c r="K4" s="300" t="s">
        <v>2608</v>
      </c>
      <c r="L4" s="300" t="s">
        <v>2604</v>
      </c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>
      <c r="A5" s="302" t="str">
        <f t="shared" si="1"/>
        <v>VENCIDA</v>
      </c>
      <c r="B5" s="304" t="s">
        <v>819</v>
      </c>
      <c r="C5" s="304" t="s">
        <v>2611</v>
      </c>
      <c r="D5" s="304" t="s">
        <v>725</v>
      </c>
      <c r="E5" s="304" t="s">
        <v>726</v>
      </c>
      <c r="F5" s="298">
        <v>45379.0</v>
      </c>
      <c r="G5" s="298">
        <f t="shared" si="2"/>
        <v>45744</v>
      </c>
      <c r="H5" s="300" t="s">
        <v>2606</v>
      </c>
      <c r="I5" s="303">
        <f t="shared" si="3"/>
        <v>367</v>
      </c>
      <c r="J5" s="300" t="s">
        <v>2607</v>
      </c>
      <c r="K5" s="300" t="s">
        <v>2608</v>
      </c>
      <c r="L5" s="300" t="s">
        <v>2604</v>
      </c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>
      <c r="A6" s="305" t="str">
        <f t="shared" si="1"/>
        <v>VIGENTE 25 DÍAS</v>
      </c>
      <c r="B6" s="304" t="s">
        <v>882</v>
      </c>
      <c r="C6" s="304" t="s">
        <v>2612</v>
      </c>
      <c r="D6" s="304" t="s">
        <v>439</v>
      </c>
      <c r="E6" s="304" t="s">
        <v>440</v>
      </c>
      <c r="F6" s="298">
        <v>45771.0</v>
      </c>
      <c r="G6" s="298">
        <f t="shared" si="2"/>
        <v>46136</v>
      </c>
      <c r="H6" s="300" t="s">
        <v>2606</v>
      </c>
      <c r="I6" s="306">
        <f t="shared" si="3"/>
        <v>-25</v>
      </c>
      <c r="J6" s="300" t="s">
        <v>2603</v>
      </c>
      <c r="K6" s="300" t="s">
        <v>2178</v>
      </c>
      <c r="L6" s="307" t="s">
        <v>313</v>
      </c>
      <c r="M6" s="94" t="s">
        <v>1832</v>
      </c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>
      <c r="A7" s="305" t="str">
        <f t="shared" si="1"/>
        <v>VIGENTE 212 DÍAS</v>
      </c>
      <c r="B7" s="304" t="s">
        <v>897</v>
      </c>
      <c r="C7" s="304" t="s">
        <v>2613</v>
      </c>
      <c r="D7" s="304" t="s">
        <v>404</v>
      </c>
      <c r="E7" s="304" t="s">
        <v>405</v>
      </c>
      <c r="F7" s="298">
        <v>45958.0</v>
      </c>
      <c r="G7" s="298">
        <f t="shared" si="2"/>
        <v>46323</v>
      </c>
      <c r="H7" s="300" t="s">
        <v>2178</v>
      </c>
      <c r="I7" s="306">
        <f t="shared" si="3"/>
        <v>-212</v>
      </c>
      <c r="J7" s="300" t="s">
        <v>2603</v>
      </c>
      <c r="K7" s="300" t="s">
        <v>2178</v>
      </c>
      <c r="L7" s="300" t="s">
        <v>2604</v>
      </c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>
      <c r="A8" s="302" t="str">
        <f t="shared" si="1"/>
        <v>VENCIDA</v>
      </c>
      <c r="B8" s="304" t="s">
        <v>2047</v>
      </c>
      <c r="C8" s="304" t="s">
        <v>2614</v>
      </c>
      <c r="D8" s="304" t="s">
        <v>2048</v>
      </c>
      <c r="E8" s="304" t="s">
        <v>2049</v>
      </c>
      <c r="F8" s="298">
        <v>45469.0</v>
      </c>
      <c r="G8" s="298">
        <f t="shared" si="2"/>
        <v>45834</v>
      </c>
      <c r="H8" s="300" t="s">
        <v>2606</v>
      </c>
      <c r="I8" s="303">
        <f t="shared" si="3"/>
        <v>277</v>
      </c>
      <c r="J8" s="300" t="s">
        <v>2607</v>
      </c>
      <c r="K8" s="300" t="s">
        <v>2608</v>
      </c>
      <c r="L8" s="300" t="s">
        <v>2604</v>
      </c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>
      <c r="A9" s="305" t="str">
        <f t="shared" si="1"/>
        <v>VIGENTE 233 DÍAS</v>
      </c>
      <c r="B9" s="304" t="s">
        <v>900</v>
      </c>
      <c r="C9" s="304" t="s">
        <v>2615</v>
      </c>
      <c r="D9" s="304" t="s">
        <v>539</v>
      </c>
      <c r="E9" s="304" t="s">
        <v>901</v>
      </c>
      <c r="F9" s="298">
        <v>45979.0</v>
      </c>
      <c r="G9" s="298">
        <f t="shared" si="2"/>
        <v>46344</v>
      </c>
      <c r="H9" s="300" t="s">
        <v>2616</v>
      </c>
      <c r="I9" s="306">
        <f t="shared" si="3"/>
        <v>-233</v>
      </c>
      <c r="J9" s="300" t="s">
        <v>2603</v>
      </c>
      <c r="K9" s="300" t="s">
        <v>2617</v>
      </c>
      <c r="L9" s="307" t="s">
        <v>313</v>
      </c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</row>
    <row r="10">
      <c r="A10" s="302" t="str">
        <f t="shared" si="1"/>
        <v>VIGENTE 176 DÍAS</v>
      </c>
      <c r="B10" s="304" t="s">
        <v>1897</v>
      </c>
      <c r="C10" s="304" t="s">
        <v>2618</v>
      </c>
      <c r="D10" s="304" t="s">
        <v>1898</v>
      </c>
      <c r="E10" s="304" t="s">
        <v>1899</v>
      </c>
      <c r="F10" s="308">
        <v>45922.0</v>
      </c>
      <c r="G10" s="298">
        <f t="shared" si="2"/>
        <v>46287</v>
      </c>
      <c r="H10" s="300"/>
      <c r="I10" s="303">
        <f t="shared" si="3"/>
        <v>-176</v>
      </c>
      <c r="J10" s="300" t="s">
        <v>2603</v>
      </c>
      <c r="K10" s="307" t="s">
        <v>2178</v>
      </c>
      <c r="L10" s="300" t="s">
        <v>2604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</row>
    <row r="11">
      <c r="A11" s="305" t="str">
        <f t="shared" si="1"/>
        <v>VIGENTE 73 DÍAS</v>
      </c>
      <c r="B11" s="304" t="s">
        <v>1068</v>
      </c>
      <c r="C11" s="304" t="s">
        <v>2619</v>
      </c>
      <c r="D11" s="304" t="s">
        <v>395</v>
      </c>
      <c r="E11" s="304" t="s">
        <v>396</v>
      </c>
      <c r="F11" s="298">
        <v>45819.0</v>
      </c>
      <c r="G11" s="298">
        <f t="shared" si="2"/>
        <v>46184</v>
      </c>
      <c r="H11" s="300" t="s">
        <v>2178</v>
      </c>
      <c r="I11" s="306">
        <f t="shared" si="3"/>
        <v>-73</v>
      </c>
      <c r="J11" s="300" t="s">
        <v>2603</v>
      </c>
      <c r="K11" s="300" t="s">
        <v>2178</v>
      </c>
      <c r="L11" s="300" t="s">
        <v>2604</v>
      </c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</row>
    <row r="12">
      <c r="A12" s="305" t="str">
        <f t="shared" si="1"/>
        <v>VIGENTE 64 DÍAS</v>
      </c>
      <c r="B12" s="304" t="s">
        <v>2620</v>
      </c>
      <c r="C12" s="304" t="s">
        <v>2621</v>
      </c>
      <c r="D12" s="304" t="s">
        <v>2622</v>
      </c>
      <c r="E12" s="304" t="s">
        <v>2623</v>
      </c>
      <c r="F12" s="298">
        <v>45810.0</v>
      </c>
      <c r="G12" s="298">
        <f t="shared" si="2"/>
        <v>46175</v>
      </c>
      <c r="H12" s="300"/>
      <c r="I12" s="306">
        <f t="shared" si="3"/>
        <v>-64</v>
      </c>
      <c r="J12" s="300" t="s">
        <v>2607</v>
      </c>
      <c r="K12" s="300" t="s">
        <v>2617</v>
      </c>
      <c r="L12" s="300" t="s">
        <v>2604</v>
      </c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</row>
    <row r="13">
      <c r="A13" s="302" t="str">
        <f t="shared" si="1"/>
        <v>VENCIDA</v>
      </c>
      <c r="B13" s="304" t="s">
        <v>271</v>
      </c>
      <c r="C13" s="304" t="s">
        <v>2624</v>
      </c>
      <c r="D13" s="304" t="s">
        <v>272</v>
      </c>
      <c r="E13" s="304" t="s">
        <v>273</v>
      </c>
      <c r="F13" s="298">
        <v>45560.0</v>
      </c>
      <c r="G13" s="298">
        <f t="shared" si="2"/>
        <v>45925</v>
      </c>
      <c r="H13" s="300" t="s">
        <v>2606</v>
      </c>
      <c r="I13" s="303">
        <f t="shared" si="3"/>
        <v>186</v>
      </c>
      <c r="J13" s="300" t="s">
        <v>2607</v>
      </c>
      <c r="K13" s="300" t="s">
        <v>2608</v>
      </c>
      <c r="L13" s="300" t="s">
        <v>2609</v>
      </c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</row>
    <row r="14">
      <c r="A14" s="305" t="str">
        <f t="shared" si="1"/>
        <v>VIGENTE 211 DÍAS</v>
      </c>
      <c r="B14" s="304" t="s">
        <v>922</v>
      </c>
      <c r="C14" s="304" t="s">
        <v>2625</v>
      </c>
      <c r="D14" s="304" t="s">
        <v>98</v>
      </c>
      <c r="E14" s="304" t="s">
        <v>99</v>
      </c>
      <c r="F14" s="298">
        <v>45957.0</v>
      </c>
      <c r="G14" s="298">
        <f t="shared" si="2"/>
        <v>46322</v>
      </c>
      <c r="H14" s="300" t="s">
        <v>2606</v>
      </c>
      <c r="I14" s="306">
        <f t="shared" si="3"/>
        <v>-211</v>
      </c>
      <c r="J14" s="300" t="s">
        <v>2603</v>
      </c>
      <c r="K14" s="300" t="s">
        <v>2178</v>
      </c>
      <c r="L14" s="307" t="s">
        <v>313</v>
      </c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</row>
    <row r="15">
      <c r="A15" s="305" t="str">
        <f t="shared" si="1"/>
        <v>VIGENTE 219 DÍAS</v>
      </c>
      <c r="B15" s="304" t="s">
        <v>929</v>
      </c>
      <c r="C15" s="304" t="s">
        <v>2626</v>
      </c>
      <c r="D15" s="304" t="s">
        <v>681</v>
      </c>
      <c r="E15" s="304" t="s">
        <v>932</v>
      </c>
      <c r="F15" s="298">
        <v>45965.0</v>
      </c>
      <c r="G15" s="298">
        <f t="shared" si="2"/>
        <v>46330</v>
      </c>
      <c r="H15" s="300" t="s">
        <v>2616</v>
      </c>
      <c r="I15" s="306">
        <f t="shared" si="3"/>
        <v>-219</v>
      </c>
      <c r="J15" s="300" t="s">
        <v>2603</v>
      </c>
      <c r="K15" s="307" t="s">
        <v>2178</v>
      </c>
      <c r="L15" s="307" t="s">
        <v>313</v>
      </c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>
      <c r="A16" s="302" t="str">
        <f t="shared" si="1"/>
        <v>VENCIDA</v>
      </c>
      <c r="B16" s="304" t="s">
        <v>1424</v>
      </c>
      <c r="C16" s="304" t="s">
        <v>2627</v>
      </c>
      <c r="D16" s="304" t="s">
        <v>1425</v>
      </c>
      <c r="E16" s="304" t="s">
        <v>2628</v>
      </c>
      <c r="F16" s="298">
        <v>45579.0</v>
      </c>
      <c r="G16" s="298">
        <f t="shared" si="2"/>
        <v>45944</v>
      </c>
      <c r="H16" s="300" t="s">
        <v>2606</v>
      </c>
      <c r="I16" s="303">
        <f t="shared" si="3"/>
        <v>167</v>
      </c>
      <c r="J16" s="300" t="s">
        <v>2607</v>
      </c>
      <c r="K16" s="300" t="s">
        <v>2608</v>
      </c>
      <c r="L16" s="300" t="s">
        <v>2604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>
      <c r="A17" s="305" t="str">
        <f t="shared" si="1"/>
        <v>VIGENTE 233 DÍAS</v>
      </c>
      <c r="B17" s="304" t="s">
        <v>904</v>
      </c>
      <c r="C17" s="304" t="s">
        <v>2629</v>
      </c>
      <c r="D17" s="304" t="s">
        <v>204</v>
      </c>
      <c r="E17" s="304" t="s">
        <v>205</v>
      </c>
      <c r="F17" s="298">
        <v>45979.0</v>
      </c>
      <c r="G17" s="298">
        <f t="shared" si="2"/>
        <v>46344</v>
      </c>
      <c r="H17" s="300"/>
      <c r="I17" s="306">
        <f t="shared" si="3"/>
        <v>-233</v>
      </c>
      <c r="J17" s="300" t="s">
        <v>2603</v>
      </c>
      <c r="K17" s="300" t="s">
        <v>2178</v>
      </c>
      <c r="L17" s="300" t="s">
        <v>2604</v>
      </c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>
      <c r="A18" s="302" t="str">
        <f t="shared" si="1"/>
        <v>VENCIDA</v>
      </c>
      <c r="B18" s="304" t="s">
        <v>940</v>
      </c>
      <c r="C18" s="304" t="s">
        <v>2630</v>
      </c>
      <c r="D18" s="304" t="s">
        <v>634</v>
      </c>
      <c r="E18" s="304" t="s">
        <v>941</v>
      </c>
      <c r="F18" s="298">
        <v>45615.0</v>
      </c>
      <c r="G18" s="298">
        <f t="shared" si="2"/>
        <v>45980</v>
      </c>
      <c r="H18" s="300"/>
      <c r="I18" s="303">
        <f t="shared" si="3"/>
        <v>131</v>
      </c>
      <c r="J18" s="300" t="s">
        <v>2607</v>
      </c>
      <c r="K18" s="300" t="s">
        <v>2608</v>
      </c>
      <c r="L18" s="300" t="s">
        <v>2604</v>
      </c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</row>
    <row r="19">
      <c r="A19" s="302" t="str">
        <f t="shared" si="1"/>
        <v>VENCIDA</v>
      </c>
      <c r="B19" s="304" t="s">
        <v>2631</v>
      </c>
      <c r="C19" s="304" t="s">
        <v>2632</v>
      </c>
      <c r="D19" s="304" t="s">
        <v>2633</v>
      </c>
      <c r="E19" s="304" t="s">
        <v>2634</v>
      </c>
      <c r="F19" s="298">
        <v>45646.0</v>
      </c>
      <c r="G19" s="298">
        <f t="shared" si="2"/>
        <v>46011</v>
      </c>
      <c r="H19" s="300"/>
      <c r="I19" s="303">
        <f t="shared" si="3"/>
        <v>100</v>
      </c>
      <c r="J19" s="300" t="s">
        <v>2607</v>
      </c>
      <c r="K19" s="300" t="s">
        <v>2608</v>
      </c>
      <c r="L19" s="300" t="s">
        <v>2604</v>
      </c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</row>
    <row r="20">
      <c r="A20" s="300" t="s">
        <v>1207</v>
      </c>
      <c r="B20" s="304" t="s">
        <v>2635</v>
      </c>
      <c r="C20" s="300" t="s">
        <v>1207</v>
      </c>
      <c r="D20" s="304" t="s">
        <v>2636</v>
      </c>
      <c r="E20" s="304" t="s">
        <v>2637</v>
      </c>
      <c r="F20" s="300" t="s">
        <v>1207</v>
      </c>
      <c r="G20" s="300" t="s">
        <v>1207</v>
      </c>
      <c r="H20" s="300" t="s">
        <v>1207</v>
      </c>
      <c r="I20" s="300" t="s">
        <v>1207</v>
      </c>
      <c r="J20" s="300" t="s">
        <v>1207</v>
      </c>
      <c r="K20" s="300" t="s">
        <v>1207</v>
      </c>
      <c r="L20" s="300" t="s">
        <v>1207</v>
      </c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</row>
    <row r="21">
      <c r="A21" s="302" t="str">
        <f t="shared" ref="A21:A83" si="4">IF(G21&lt;TODAY(),"VENCIDA",IF(G21=TODAY(),"HOY","VIGENTE "&amp;G21-TODAY()&amp;" DÍAS"))</f>
        <v>VENCIDA</v>
      </c>
      <c r="B21" s="304" t="s">
        <v>1457</v>
      </c>
      <c r="C21" s="304" t="s">
        <v>1458</v>
      </c>
      <c r="D21" s="304" t="s">
        <v>688</v>
      </c>
      <c r="E21" s="304" t="s">
        <v>689</v>
      </c>
      <c r="F21" s="298">
        <v>45690.0</v>
      </c>
      <c r="G21" s="298">
        <f t="shared" ref="G21:G28" si="5">DATE(YEAR(F21)+1,MONTH(F21),DAY(F21))</f>
        <v>46055</v>
      </c>
      <c r="H21" s="300"/>
      <c r="I21" s="303">
        <f t="shared" ref="I21:I83" si="6">TODAY()-G21</f>
        <v>56</v>
      </c>
      <c r="J21" s="300" t="s">
        <v>2607</v>
      </c>
      <c r="K21" s="307" t="s">
        <v>2608</v>
      </c>
      <c r="L21" s="300" t="s">
        <v>2609</v>
      </c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</row>
    <row r="22">
      <c r="A22" s="305" t="str">
        <f t="shared" si="4"/>
        <v>VIGENTE 275 DÍAS</v>
      </c>
      <c r="B22" s="304" t="s">
        <v>2258</v>
      </c>
      <c r="C22" s="304" t="s">
        <v>2638</v>
      </c>
      <c r="D22" s="304" t="s">
        <v>411</v>
      </c>
      <c r="E22" s="304" t="s">
        <v>2259</v>
      </c>
      <c r="F22" s="298">
        <v>46021.0</v>
      </c>
      <c r="G22" s="298">
        <f t="shared" si="5"/>
        <v>46386</v>
      </c>
      <c r="H22" s="300"/>
      <c r="I22" s="306">
        <f t="shared" si="6"/>
        <v>-275</v>
      </c>
      <c r="J22" s="300" t="s">
        <v>2603</v>
      </c>
      <c r="K22" s="300" t="s">
        <v>2178</v>
      </c>
      <c r="L22" s="300" t="s">
        <v>2604</v>
      </c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</row>
    <row r="23">
      <c r="A23" s="305" t="str">
        <f t="shared" si="4"/>
        <v>VENCIDA</v>
      </c>
      <c r="B23" s="304" t="s">
        <v>232</v>
      </c>
      <c r="C23" s="304" t="s">
        <v>2639</v>
      </c>
      <c r="D23" s="304" t="s">
        <v>980</v>
      </c>
      <c r="E23" s="304" t="s">
        <v>234</v>
      </c>
      <c r="F23" s="298">
        <v>45721.0</v>
      </c>
      <c r="G23" s="298">
        <f t="shared" si="5"/>
        <v>46086</v>
      </c>
      <c r="H23" s="300"/>
      <c r="I23" s="309">
        <f t="shared" si="6"/>
        <v>25</v>
      </c>
      <c r="J23" s="300" t="s">
        <v>2607</v>
      </c>
      <c r="K23" s="300" t="s">
        <v>2617</v>
      </c>
      <c r="L23" s="300" t="s">
        <v>2604</v>
      </c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>
      <c r="A24" s="305" t="str">
        <f t="shared" si="4"/>
        <v>VIGENTE 106 DÍAS</v>
      </c>
      <c r="B24" s="304" t="s">
        <v>1501</v>
      </c>
      <c r="C24" s="304" t="s">
        <v>2640</v>
      </c>
      <c r="D24" s="304" t="s">
        <v>1502</v>
      </c>
      <c r="E24" s="304" t="s">
        <v>1503</v>
      </c>
      <c r="F24" s="298">
        <v>45852.0</v>
      </c>
      <c r="G24" s="298">
        <f t="shared" si="5"/>
        <v>46217</v>
      </c>
      <c r="H24" s="300"/>
      <c r="I24" s="306">
        <f t="shared" si="6"/>
        <v>-106</v>
      </c>
      <c r="J24" s="300" t="s">
        <v>2607</v>
      </c>
      <c r="K24" s="300" t="s">
        <v>2617</v>
      </c>
      <c r="L24" s="300" t="s">
        <v>2604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305" t="str">
        <f t="shared" si="4"/>
        <v>VIGENTE 4 DÍAS</v>
      </c>
      <c r="B25" s="304" t="s">
        <v>2641</v>
      </c>
      <c r="C25" s="304" t="s">
        <v>2642</v>
      </c>
      <c r="D25" s="304" t="s">
        <v>2643</v>
      </c>
      <c r="E25" s="304" t="s">
        <v>2644</v>
      </c>
      <c r="F25" s="298">
        <v>45750.0</v>
      </c>
      <c r="G25" s="298">
        <f t="shared" si="5"/>
        <v>46115</v>
      </c>
      <c r="H25" s="300"/>
      <c r="I25" s="306">
        <f t="shared" si="6"/>
        <v>-4</v>
      </c>
      <c r="J25" s="300" t="s">
        <v>2607</v>
      </c>
      <c r="K25" s="300" t="s">
        <v>2617</v>
      </c>
      <c r="L25" s="300" t="s">
        <v>2604</v>
      </c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305" t="str">
        <f t="shared" si="4"/>
        <v>VIGENTE 6 DÍAS</v>
      </c>
      <c r="B26" s="304" t="s">
        <v>2645</v>
      </c>
      <c r="C26" s="304" t="s">
        <v>2646</v>
      </c>
      <c r="D26" s="304" t="s">
        <v>2647</v>
      </c>
      <c r="E26" s="304" t="s">
        <v>2648</v>
      </c>
      <c r="F26" s="298">
        <v>45752.0</v>
      </c>
      <c r="G26" s="298">
        <f t="shared" si="5"/>
        <v>46117</v>
      </c>
      <c r="H26" s="300"/>
      <c r="I26" s="306">
        <f t="shared" si="6"/>
        <v>-6</v>
      </c>
      <c r="J26" s="300" t="s">
        <v>2607</v>
      </c>
      <c r="K26" s="300" t="s">
        <v>2617</v>
      </c>
      <c r="L26" s="300" t="s">
        <v>2604</v>
      </c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305" t="str">
        <f t="shared" si="4"/>
        <v>VIGENTE 9 DÍAS</v>
      </c>
      <c r="B27" s="304" t="s">
        <v>997</v>
      </c>
      <c r="C27" s="304" t="s">
        <v>998</v>
      </c>
      <c r="D27" s="304" t="s">
        <v>140</v>
      </c>
      <c r="E27" s="304" t="s">
        <v>141</v>
      </c>
      <c r="F27" s="298">
        <v>45755.0</v>
      </c>
      <c r="G27" s="298">
        <f t="shared" si="5"/>
        <v>46120</v>
      </c>
      <c r="H27" s="300"/>
      <c r="I27" s="306">
        <f t="shared" si="6"/>
        <v>-9</v>
      </c>
      <c r="J27" s="300" t="s">
        <v>2607</v>
      </c>
      <c r="K27" s="300" t="s">
        <v>2617</v>
      </c>
      <c r="L27" s="300" t="s">
        <v>2604</v>
      </c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305" t="str">
        <f t="shared" si="4"/>
        <v>VIGENTE 26 DÍAS</v>
      </c>
      <c r="B28" s="304" t="s">
        <v>2649</v>
      </c>
      <c r="C28" s="304" t="s">
        <v>2650</v>
      </c>
      <c r="D28" s="304" t="s">
        <v>2651</v>
      </c>
      <c r="E28" s="304" t="s">
        <v>2652</v>
      </c>
      <c r="F28" s="298">
        <v>45772.0</v>
      </c>
      <c r="G28" s="298">
        <f t="shared" si="5"/>
        <v>46137</v>
      </c>
      <c r="H28" s="300"/>
      <c r="I28" s="306">
        <f t="shared" si="6"/>
        <v>-26</v>
      </c>
      <c r="J28" s="300" t="s">
        <v>2607</v>
      </c>
      <c r="K28" s="300" t="s">
        <v>2617</v>
      </c>
      <c r="L28" s="300" t="s">
        <v>2604</v>
      </c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305" t="str">
        <f t="shared" si="4"/>
        <v>VIGENTE 135 DÍAS</v>
      </c>
      <c r="B29" s="304" t="s">
        <v>1940</v>
      </c>
      <c r="C29" s="304" t="s">
        <v>2653</v>
      </c>
      <c r="D29" s="304" t="s">
        <v>1941</v>
      </c>
      <c r="E29" s="304" t="s">
        <v>1942</v>
      </c>
      <c r="F29" s="298">
        <v>45881.0</v>
      </c>
      <c r="G29" s="298">
        <v>46246.0</v>
      </c>
      <c r="H29" s="300"/>
      <c r="I29" s="306">
        <f t="shared" si="6"/>
        <v>-135</v>
      </c>
      <c r="J29" s="300" t="s">
        <v>2603</v>
      </c>
      <c r="K29" s="300" t="s">
        <v>2178</v>
      </c>
      <c r="L29" s="300" t="s">
        <v>2604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305" t="str">
        <f t="shared" si="4"/>
        <v>VIGENTE 38 DÍAS</v>
      </c>
      <c r="B30" s="304" t="s">
        <v>1089</v>
      </c>
      <c r="C30" s="304" t="s">
        <v>2654</v>
      </c>
      <c r="D30" s="304" t="s">
        <v>515</v>
      </c>
      <c r="E30" s="304" t="s">
        <v>1090</v>
      </c>
      <c r="F30" s="298">
        <v>45784.0</v>
      </c>
      <c r="G30" s="298">
        <f t="shared" ref="G30:G52" si="7">DATE(YEAR(F30)+1,MONTH(F30),DAY(F30))</f>
        <v>46149</v>
      </c>
      <c r="H30" s="300"/>
      <c r="I30" s="306">
        <f t="shared" si="6"/>
        <v>-38</v>
      </c>
      <c r="J30" s="300" t="s">
        <v>2607</v>
      </c>
      <c r="K30" s="300" t="s">
        <v>2617</v>
      </c>
      <c r="L30" s="300" t="s">
        <v>2604</v>
      </c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305" t="str">
        <f t="shared" si="4"/>
        <v>VIGENTE 66 DÍAS</v>
      </c>
      <c r="B31" s="304" t="s">
        <v>1110</v>
      </c>
      <c r="C31" s="304" t="s">
        <v>2655</v>
      </c>
      <c r="D31" s="304" t="s">
        <v>1111</v>
      </c>
      <c r="E31" s="304" t="s">
        <v>283</v>
      </c>
      <c r="F31" s="298">
        <v>45812.0</v>
      </c>
      <c r="G31" s="298">
        <f t="shared" si="7"/>
        <v>46177</v>
      </c>
      <c r="H31" s="300"/>
      <c r="I31" s="306">
        <f t="shared" si="6"/>
        <v>-66</v>
      </c>
      <c r="J31" s="300" t="s">
        <v>2607</v>
      </c>
      <c r="K31" s="300" t="s">
        <v>2617</v>
      </c>
      <c r="L31" s="300" t="s">
        <v>2604</v>
      </c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305" t="str">
        <f t="shared" si="4"/>
        <v>VIGENTE 72 DÍAS</v>
      </c>
      <c r="B32" s="304" t="s">
        <v>1132</v>
      </c>
      <c r="C32" s="304" t="s">
        <v>2656</v>
      </c>
      <c r="D32" s="304" t="s">
        <v>619</v>
      </c>
      <c r="E32" s="304" t="s">
        <v>1133</v>
      </c>
      <c r="F32" s="298">
        <v>45818.0</v>
      </c>
      <c r="G32" s="298">
        <f t="shared" si="7"/>
        <v>46183</v>
      </c>
      <c r="H32" s="300"/>
      <c r="I32" s="306">
        <f t="shared" si="6"/>
        <v>-72</v>
      </c>
      <c r="J32" s="300" t="s">
        <v>2607</v>
      </c>
      <c r="K32" s="300" t="s">
        <v>2617</v>
      </c>
      <c r="L32" s="300" t="s">
        <v>2604</v>
      </c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305" t="str">
        <f t="shared" si="4"/>
        <v>VIGENTE 74 DÍAS</v>
      </c>
      <c r="B33" s="304" t="s">
        <v>1000</v>
      </c>
      <c r="C33" s="304" t="s">
        <v>2657</v>
      </c>
      <c r="D33" s="304" t="s">
        <v>1001</v>
      </c>
      <c r="E33" s="304" t="s">
        <v>1002</v>
      </c>
      <c r="F33" s="298">
        <v>45820.0</v>
      </c>
      <c r="G33" s="298">
        <f t="shared" si="7"/>
        <v>46185</v>
      </c>
      <c r="H33" s="300"/>
      <c r="I33" s="306">
        <f t="shared" si="6"/>
        <v>-74</v>
      </c>
      <c r="J33" s="300" t="s">
        <v>2607</v>
      </c>
      <c r="K33" s="300" t="s">
        <v>2617</v>
      </c>
      <c r="L33" s="300" t="s">
        <v>2604</v>
      </c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305" t="str">
        <f t="shared" si="4"/>
        <v>VIGENTE 89 DÍAS</v>
      </c>
      <c r="B34" s="304" t="s">
        <v>1483</v>
      </c>
      <c r="C34" s="304" t="s">
        <v>2658</v>
      </c>
      <c r="D34" s="304" t="s">
        <v>1484</v>
      </c>
      <c r="E34" s="304" t="s">
        <v>1485</v>
      </c>
      <c r="F34" s="298">
        <v>45835.0</v>
      </c>
      <c r="G34" s="298">
        <f t="shared" si="7"/>
        <v>46200</v>
      </c>
      <c r="H34" s="300"/>
      <c r="I34" s="306">
        <f t="shared" si="6"/>
        <v>-89</v>
      </c>
      <c r="J34" s="300" t="s">
        <v>2607</v>
      </c>
      <c r="K34" s="300" t="s">
        <v>2617</v>
      </c>
      <c r="L34" s="300" t="s">
        <v>2604</v>
      </c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305" t="str">
        <f t="shared" si="4"/>
        <v>VIGENTE 183 DÍAS</v>
      </c>
      <c r="B35" s="304" t="s">
        <v>2659</v>
      </c>
      <c r="C35" s="304" t="s">
        <v>2660</v>
      </c>
      <c r="D35" s="304" t="s">
        <v>2207</v>
      </c>
      <c r="E35" s="304" t="s">
        <v>2661</v>
      </c>
      <c r="F35" s="310">
        <v>45929.0</v>
      </c>
      <c r="G35" s="298">
        <f t="shared" si="7"/>
        <v>46294</v>
      </c>
      <c r="H35" s="300"/>
      <c r="I35" s="306">
        <f t="shared" si="6"/>
        <v>-183</v>
      </c>
      <c r="J35" s="300" t="s">
        <v>2603</v>
      </c>
      <c r="K35" s="300" t="s">
        <v>2178</v>
      </c>
      <c r="L35" s="300" t="s">
        <v>2604</v>
      </c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305" t="str">
        <f t="shared" si="4"/>
        <v>VIGENTE 96 DÍAS</v>
      </c>
      <c r="B36" s="304" t="s">
        <v>2662</v>
      </c>
      <c r="C36" s="304" t="s">
        <v>2663</v>
      </c>
      <c r="D36" s="304" t="s">
        <v>2664</v>
      </c>
      <c r="E36" s="304" t="s">
        <v>2665</v>
      </c>
      <c r="F36" s="298">
        <v>45842.0</v>
      </c>
      <c r="G36" s="298">
        <f t="shared" si="7"/>
        <v>46207</v>
      </c>
      <c r="H36" s="300"/>
      <c r="I36" s="306">
        <f t="shared" si="6"/>
        <v>-96</v>
      </c>
      <c r="J36" s="300" t="s">
        <v>2607</v>
      </c>
      <c r="K36" s="300" t="s">
        <v>2617</v>
      </c>
      <c r="L36" s="300" t="s">
        <v>2604</v>
      </c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305" t="str">
        <f t="shared" si="4"/>
        <v>VIGENTE 194 DÍAS</v>
      </c>
      <c r="B37" s="304" t="s">
        <v>2081</v>
      </c>
      <c r="C37" s="304" t="s">
        <v>2666</v>
      </c>
      <c r="D37" s="304" t="s">
        <v>2082</v>
      </c>
      <c r="E37" s="304"/>
      <c r="F37" s="298">
        <v>45940.0</v>
      </c>
      <c r="G37" s="298">
        <f t="shared" si="7"/>
        <v>46305</v>
      </c>
      <c r="H37" s="300"/>
      <c r="I37" s="306">
        <f t="shared" si="6"/>
        <v>-194</v>
      </c>
      <c r="J37" s="300" t="s">
        <v>2603</v>
      </c>
      <c r="K37" s="300" t="s">
        <v>2178</v>
      </c>
      <c r="L37" s="300" t="s">
        <v>2604</v>
      </c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305" t="str">
        <f t="shared" si="4"/>
        <v>VIGENTE 204 DÍAS</v>
      </c>
      <c r="B38" s="304" t="s">
        <v>2667</v>
      </c>
      <c r="C38" s="304" t="s">
        <v>2668</v>
      </c>
      <c r="D38" s="304" t="s">
        <v>2669</v>
      </c>
      <c r="E38" s="304"/>
      <c r="F38" s="311">
        <v>45950.0</v>
      </c>
      <c r="G38" s="298">
        <f t="shared" si="7"/>
        <v>46315</v>
      </c>
      <c r="H38" s="300"/>
      <c r="I38" s="306">
        <f t="shared" si="6"/>
        <v>-204</v>
      </c>
      <c r="J38" s="300" t="s">
        <v>2603</v>
      </c>
      <c r="K38" s="300" t="s">
        <v>2178</v>
      </c>
      <c r="L38" s="300" t="s">
        <v>2604</v>
      </c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305" t="str">
        <f t="shared" si="4"/>
        <v>VIGENTE 180 DÍAS</v>
      </c>
      <c r="B39" s="312" t="s">
        <v>1244</v>
      </c>
      <c r="C39" s="304" t="s">
        <v>2670</v>
      </c>
      <c r="D39" s="304" t="s">
        <v>1245</v>
      </c>
      <c r="E39" s="304" t="s">
        <v>1246</v>
      </c>
      <c r="F39" s="311">
        <v>45926.0</v>
      </c>
      <c r="G39" s="298">
        <f t="shared" si="7"/>
        <v>46291</v>
      </c>
      <c r="H39" s="300"/>
      <c r="I39" s="306">
        <f t="shared" si="6"/>
        <v>-180</v>
      </c>
      <c r="J39" s="300" t="s">
        <v>2603</v>
      </c>
      <c r="K39" s="300" t="s">
        <v>2178</v>
      </c>
      <c r="L39" s="300" t="s">
        <v>313</v>
      </c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305" t="str">
        <f t="shared" si="4"/>
        <v>VIGENTE 183 DÍAS</v>
      </c>
      <c r="B40" s="304" t="s">
        <v>1241</v>
      </c>
      <c r="C40" s="304" t="s">
        <v>2671</v>
      </c>
      <c r="D40" s="304" t="s">
        <v>2672</v>
      </c>
      <c r="E40" s="304"/>
      <c r="F40" s="313">
        <v>45929.0</v>
      </c>
      <c r="G40" s="298">
        <f t="shared" si="7"/>
        <v>46294</v>
      </c>
      <c r="H40" s="300"/>
      <c r="I40" s="306">
        <f t="shared" si="6"/>
        <v>-183</v>
      </c>
      <c r="J40" s="300" t="s">
        <v>2603</v>
      </c>
      <c r="K40" s="300" t="s">
        <v>2178</v>
      </c>
      <c r="L40" s="300" t="s">
        <v>2604</v>
      </c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305" t="str">
        <f t="shared" si="4"/>
        <v>VIGENTE 197 DÍAS</v>
      </c>
      <c r="B41" s="304" t="s">
        <v>1258</v>
      </c>
      <c r="C41" s="304" t="s">
        <v>2673</v>
      </c>
      <c r="D41" s="304" t="s">
        <v>1259</v>
      </c>
      <c r="E41" s="304" t="s">
        <v>1260</v>
      </c>
      <c r="F41" s="311">
        <v>45943.0</v>
      </c>
      <c r="G41" s="298">
        <f t="shared" si="7"/>
        <v>46308</v>
      </c>
      <c r="H41" s="300"/>
      <c r="I41" s="306">
        <f t="shared" si="6"/>
        <v>-197</v>
      </c>
      <c r="J41" s="300" t="s">
        <v>2603</v>
      </c>
      <c r="K41" s="300" t="s">
        <v>2178</v>
      </c>
      <c r="L41" s="300" t="s">
        <v>2674</v>
      </c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305" t="str">
        <f t="shared" si="4"/>
        <v>VIGENTE 170 DÍAS</v>
      </c>
      <c r="B42" s="304" t="s">
        <v>2675</v>
      </c>
      <c r="C42" s="304" t="s">
        <v>2676</v>
      </c>
      <c r="D42" s="304" t="s">
        <v>1761</v>
      </c>
      <c r="E42" s="304" t="s">
        <v>1762</v>
      </c>
      <c r="F42" s="311">
        <v>45916.0</v>
      </c>
      <c r="G42" s="298">
        <f t="shared" si="7"/>
        <v>46281</v>
      </c>
      <c r="H42" s="300"/>
      <c r="I42" s="306">
        <f t="shared" si="6"/>
        <v>-170</v>
      </c>
      <c r="J42" s="300" t="s">
        <v>2603</v>
      </c>
      <c r="K42" s="300" t="s">
        <v>2178</v>
      </c>
      <c r="L42" s="300" t="s">
        <v>2604</v>
      </c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305" t="str">
        <f t="shared" si="4"/>
        <v>VIGENTE 176 DÍAS</v>
      </c>
      <c r="B43" s="304" t="s">
        <v>589</v>
      </c>
      <c r="C43" s="304" t="s">
        <v>2677</v>
      </c>
      <c r="D43" s="304" t="s">
        <v>2678</v>
      </c>
      <c r="E43" s="304"/>
      <c r="F43" s="313">
        <v>45922.0</v>
      </c>
      <c r="G43" s="298">
        <f t="shared" si="7"/>
        <v>46287</v>
      </c>
      <c r="H43" s="300"/>
      <c r="I43" s="306">
        <f t="shared" si="6"/>
        <v>-176</v>
      </c>
      <c r="J43" s="300" t="s">
        <v>2603</v>
      </c>
      <c r="K43" s="300" t="s">
        <v>2178</v>
      </c>
      <c r="L43" s="300" t="s">
        <v>2604</v>
      </c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305" t="str">
        <f t="shared" si="4"/>
        <v>VIGENTE 204 DÍAS</v>
      </c>
      <c r="B44" s="304" t="s">
        <v>1216</v>
      </c>
      <c r="C44" s="304" t="s">
        <v>2033</v>
      </c>
      <c r="D44" s="304" t="s">
        <v>1217</v>
      </c>
      <c r="E44" s="304"/>
      <c r="F44" s="311">
        <v>45950.0</v>
      </c>
      <c r="G44" s="298">
        <f t="shared" si="7"/>
        <v>46315</v>
      </c>
      <c r="H44" s="300"/>
      <c r="I44" s="306">
        <f t="shared" si="6"/>
        <v>-204</v>
      </c>
      <c r="J44" s="300" t="s">
        <v>2603</v>
      </c>
      <c r="K44" s="300" t="s">
        <v>2178</v>
      </c>
      <c r="L44" s="300" t="s">
        <v>2604</v>
      </c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305" t="str">
        <f t="shared" si="4"/>
        <v>VIGENTE 204 DÍAS</v>
      </c>
      <c r="B45" s="304" t="s">
        <v>2679</v>
      </c>
      <c r="C45" s="304" t="s">
        <v>2680</v>
      </c>
      <c r="D45" s="304" t="s">
        <v>2063</v>
      </c>
      <c r="E45" s="304"/>
      <c r="F45" s="311">
        <v>45950.0</v>
      </c>
      <c r="G45" s="298">
        <f t="shared" si="7"/>
        <v>46315</v>
      </c>
      <c r="H45" s="300"/>
      <c r="I45" s="306">
        <f t="shared" si="6"/>
        <v>-204</v>
      </c>
      <c r="J45" s="300" t="s">
        <v>2603</v>
      </c>
      <c r="K45" s="300" t="s">
        <v>2178</v>
      </c>
      <c r="L45" s="300" t="s">
        <v>2604</v>
      </c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305" t="str">
        <f t="shared" si="4"/>
        <v>VIGENTE 135 DÍAS</v>
      </c>
      <c r="B46" s="304" t="s">
        <v>2681</v>
      </c>
      <c r="C46" s="304" t="s">
        <v>2682</v>
      </c>
      <c r="D46" s="314" t="s">
        <v>2683</v>
      </c>
      <c r="E46" s="304"/>
      <c r="F46" s="313">
        <v>45881.0</v>
      </c>
      <c r="G46" s="298">
        <f t="shared" si="7"/>
        <v>46246</v>
      </c>
      <c r="H46" s="300"/>
      <c r="I46" s="306">
        <f t="shared" si="6"/>
        <v>-135</v>
      </c>
      <c r="J46" s="300" t="s">
        <v>2603</v>
      </c>
      <c r="K46" s="300" t="s">
        <v>2178</v>
      </c>
      <c r="L46" s="300" t="s">
        <v>2604</v>
      </c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305" t="str">
        <f t="shared" si="4"/>
        <v>VIGENTE 135 DÍAS</v>
      </c>
      <c r="B47" s="304" t="s">
        <v>2684</v>
      </c>
      <c r="C47" s="304" t="s">
        <v>1196</v>
      </c>
      <c r="D47" s="304" t="s">
        <v>1195</v>
      </c>
      <c r="E47" s="304"/>
      <c r="F47" s="313">
        <v>45881.0</v>
      </c>
      <c r="G47" s="298">
        <f t="shared" si="7"/>
        <v>46246</v>
      </c>
      <c r="H47" s="300"/>
      <c r="I47" s="306">
        <f t="shared" si="6"/>
        <v>-135</v>
      </c>
      <c r="J47" s="300" t="s">
        <v>2603</v>
      </c>
      <c r="K47" s="300" t="s">
        <v>2178</v>
      </c>
      <c r="L47" s="300" t="s">
        <v>2604</v>
      </c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305" t="str">
        <f t="shared" si="4"/>
        <v>VIGENTE 141 DÍAS</v>
      </c>
      <c r="B48" s="304" t="s">
        <v>2685</v>
      </c>
      <c r="C48" s="304" t="s">
        <v>2686</v>
      </c>
      <c r="D48" s="304" t="s">
        <v>2146</v>
      </c>
      <c r="E48" s="304"/>
      <c r="F48" s="313">
        <v>45887.0</v>
      </c>
      <c r="G48" s="298">
        <f t="shared" si="7"/>
        <v>46252</v>
      </c>
      <c r="H48" s="300"/>
      <c r="I48" s="306">
        <f t="shared" si="6"/>
        <v>-141</v>
      </c>
      <c r="J48" s="300" t="s">
        <v>2603</v>
      </c>
      <c r="K48" s="300" t="s">
        <v>1207</v>
      </c>
      <c r="L48" s="300" t="s">
        <v>2604</v>
      </c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302" t="str">
        <f t="shared" si="4"/>
        <v>VENCIDA</v>
      </c>
      <c r="B49" s="304" t="s">
        <v>2687</v>
      </c>
      <c r="C49" s="304" t="s">
        <v>2688</v>
      </c>
      <c r="D49" s="304" t="s">
        <v>2689</v>
      </c>
      <c r="E49" s="304"/>
      <c r="F49" s="315">
        <v>45434.0</v>
      </c>
      <c r="G49" s="298">
        <f t="shared" si="7"/>
        <v>45799</v>
      </c>
      <c r="H49" s="300" t="s">
        <v>2606</v>
      </c>
      <c r="I49" s="303">
        <f t="shared" si="6"/>
        <v>312</v>
      </c>
      <c r="J49" s="300" t="s">
        <v>2607</v>
      </c>
      <c r="K49" s="300" t="s">
        <v>2608</v>
      </c>
      <c r="L49" s="300" t="s">
        <v>2604</v>
      </c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305" t="str">
        <f t="shared" si="4"/>
        <v>VIGENTE 194 DÍAS</v>
      </c>
      <c r="B50" s="304" t="s">
        <v>2690</v>
      </c>
      <c r="C50" s="304" t="s">
        <v>1626</v>
      </c>
      <c r="D50" s="304" t="s">
        <v>1624</v>
      </c>
      <c r="E50" s="304" t="s">
        <v>1625</v>
      </c>
      <c r="F50" s="298">
        <v>45940.0</v>
      </c>
      <c r="G50" s="298">
        <f t="shared" si="7"/>
        <v>46305</v>
      </c>
      <c r="H50" s="300" t="s">
        <v>2348</v>
      </c>
      <c r="I50" s="306">
        <f t="shared" si="6"/>
        <v>-194</v>
      </c>
      <c r="J50" s="300" t="s">
        <v>2603</v>
      </c>
      <c r="K50" s="300" t="s">
        <v>2178</v>
      </c>
      <c r="L50" s="300" t="s">
        <v>2604</v>
      </c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305" t="str">
        <f t="shared" si="4"/>
        <v>VIGENTE 15 DÍAS</v>
      </c>
      <c r="B51" s="304" t="s">
        <v>2691</v>
      </c>
      <c r="C51" s="304" t="s">
        <v>2692</v>
      </c>
      <c r="D51" s="304" t="s">
        <v>2251</v>
      </c>
      <c r="E51" s="304"/>
      <c r="F51" s="313">
        <v>45761.0</v>
      </c>
      <c r="G51" s="298">
        <f t="shared" si="7"/>
        <v>46126</v>
      </c>
      <c r="H51" s="300"/>
      <c r="I51" s="306">
        <f t="shared" si="6"/>
        <v>-15</v>
      </c>
      <c r="J51" s="300" t="s">
        <v>2607</v>
      </c>
      <c r="K51" s="300" t="s">
        <v>2617</v>
      </c>
      <c r="L51" s="300" t="s">
        <v>2604</v>
      </c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305" t="str">
        <f t="shared" si="4"/>
        <v>VIGENTE 323 DÍAS</v>
      </c>
      <c r="B52" s="304" t="s">
        <v>2329</v>
      </c>
      <c r="C52" s="304" t="s">
        <v>2693</v>
      </c>
      <c r="D52" s="304" t="s">
        <v>288</v>
      </c>
      <c r="E52" s="304" t="s">
        <v>289</v>
      </c>
      <c r="F52" s="298">
        <v>46069.0</v>
      </c>
      <c r="G52" s="298">
        <f t="shared" si="7"/>
        <v>46434</v>
      </c>
      <c r="H52" s="300"/>
      <c r="I52" s="306">
        <f t="shared" si="6"/>
        <v>-323</v>
      </c>
      <c r="J52" s="300" t="s">
        <v>2603</v>
      </c>
      <c r="K52" s="300" t="s">
        <v>2178</v>
      </c>
      <c r="L52" s="307" t="s">
        <v>313</v>
      </c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305" t="str">
        <f t="shared" si="4"/>
        <v>VIGENTE 123 DÍAS</v>
      </c>
      <c r="B53" s="304" t="s">
        <v>2694</v>
      </c>
      <c r="C53" s="304" t="s">
        <v>2695</v>
      </c>
      <c r="D53" s="304" t="s">
        <v>2326</v>
      </c>
      <c r="E53" s="304" t="s">
        <v>2327</v>
      </c>
      <c r="F53" s="298">
        <v>45939.0</v>
      </c>
      <c r="G53" s="298">
        <v>46234.0</v>
      </c>
      <c r="H53" s="300"/>
      <c r="I53" s="306">
        <f t="shared" si="6"/>
        <v>-123</v>
      </c>
      <c r="J53" s="300" t="s">
        <v>2603</v>
      </c>
      <c r="K53" s="300" t="s">
        <v>2178</v>
      </c>
      <c r="L53" s="300" t="s">
        <v>2604</v>
      </c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305" t="str">
        <f t="shared" si="4"/>
        <v>VIGENTE 197 DÍAS</v>
      </c>
      <c r="B54" s="316" t="s">
        <v>2359</v>
      </c>
      <c r="C54" s="316" t="s">
        <v>2696</v>
      </c>
      <c r="D54" s="316" t="s">
        <v>2360</v>
      </c>
      <c r="E54" s="304" t="s">
        <v>2361</v>
      </c>
      <c r="F54" s="298">
        <v>45943.0</v>
      </c>
      <c r="G54" s="298">
        <f t="shared" ref="G54:G64" si="8">DATE(YEAR(F54)+1,MONTH(F54),DAY(F54))</f>
        <v>46308</v>
      </c>
      <c r="H54" s="300"/>
      <c r="I54" s="306">
        <f t="shared" si="6"/>
        <v>-197</v>
      </c>
      <c r="J54" s="300" t="s">
        <v>2603</v>
      </c>
      <c r="K54" s="300" t="s">
        <v>2178</v>
      </c>
      <c r="L54" s="300" t="s">
        <v>2604</v>
      </c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302" t="str">
        <f t="shared" si="4"/>
        <v>VENCIDA</v>
      </c>
      <c r="B55" s="316" t="s">
        <v>2697</v>
      </c>
      <c r="C55" s="316" t="s">
        <v>2698</v>
      </c>
      <c r="D55" s="316" t="s">
        <v>2699</v>
      </c>
      <c r="E55" s="304" t="s">
        <v>2700</v>
      </c>
      <c r="F55" s="298">
        <v>45580.0</v>
      </c>
      <c r="G55" s="298">
        <f t="shared" si="8"/>
        <v>45945</v>
      </c>
      <c r="H55" s="300" t="s">
        <v>2606</v>
      </c>
      <c r="I55" s="303">
        <f t="shared" si="6"/>
        <v>166</v>
      </c>
      <c r="J55" s="300" t="s">
        <v>2607</v>
      </c>
      <c r="K55" s="300" t="s">
        <v>2608</v>
      </c>
      <c r="L55" s="300" t="s">
        <v>2609</v>
      </c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302" t="str">
        <f t="shared" si="4"/>
        <v>VENCIDA</v>
      </c>
      <c r="B56" s="316" t="s">
        <v>2701</v>
      </c>
      <c r="C56" s="312" t="s">
        <v>2702</v>
      </c>
      <c r="D56" s="312" t="s">
        <v>2703</v>
      </c>
      <c r="E56" s="304"/>
      <c r="F56" s="298">
        <v>45527.0</v>
      </c>
      <c r="G56" s="298">
        <f t="shared" si="8"/>
        <v>45892</v>
      </c>
      <c r="H56" s="300" t="s">
        <v>2606</v>
      </c>
      <c r="I56" s="303">
        <f t="shared" si="6"/>
        <v>219</v>
      </c>
      <c r="J56" s="300" t="s">
        <v>2607</v>
      </c>
      <c r="K56" s="300" t="s">
        <v>2608</v>
      </c>
      <c r="L56" s="300" t="s">
        <v>2604</v>
      </c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305" t="str">
        <f t="shared" si="4"/>
        <v>VIGENTE 227 DÍAS</v>
      </c>
      <c r="B57" s="316" t="s">
        <v>2704</v>
      </c>
      <c r="C57" s="312" t="s">
        <v>1639</v>
      </c>
      <c r="D57" s="312" t="s">
        <v>1638</v>
      </c>
      <c r="E57" s="304"/>
      <c r="F57" s="298">
        <v>45973.0</v>
      </c>
      <c r="G57" s="298">
        <f t="shared" si="8"/>
        <v>46338</v>
      </c>
      <c r="H57" s="300" t="s">
        <v>2705</v>
      </c>
      <c r="I57" s="306">
        <f t="shared" si="6"/>
        <v>-227</v>
      </c>
      <c r="J57" s="300" t="s">
        <v>2603</v>
      </c>
      <c r="K57" s="300" t="s">
        <v>2178</v>
      </c>
      <c r="L57" s="300" t="s">
        <v>2604</v>
      </c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305" t="str">
        <f t="shared" si="4"/>
        <v>VIGENTE 204 DÍAS</v>
      </c>
      <c r="B58" s="304" t="s">
        <v>2040</v>
      </c>
      <c r="C58" s="304" t="s">
        <v>2706</v>
      </c>
      <c r="D58" s="304" t="s">
        <v>2041</v>
      </c>
      <c r="E58" s="304"/>
      <c r="F58" s="298">
        <v>45950.0</v>
      </c>
      <c r="G58" s="298">
        <f t="shared" si="8"/>
        <v>46315</v>
      </c>
      <c r="H58" s="300"/>
      <c r="I58" s="306">
        <f t="shared" si="6"/>
        <v>-204</v>
      </c>
      <c r="J58" s="300" t="s">
        <v>2603</v>
      </c>
      <c r="K58" s="300" t="s">
        <v>2178</v>
      </c>
      <c r="L58" s="300" t="s">
        <v>2674</v>
      </c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305" t="str">
        <f t="shared" si="4"/>
        <v>VIGENTE 204 DÍAS</v>
      </c>
      <c r="B59" s="304" t="s">
        <v>1983</v>
      </c>
      <c r="C59" s="304" t="s">
        <v>2707</v>
      </c>
      <c r="D59" s="304" t="s">
        <v>1984</v>
      </c>
      <c r="E59" s="304"/>
      <c r="F59" s="298">
        <v>45950.0</v>
      </c>
      <c r="G59" s="298">
        <f t="shared" si="8"/>
        <v>46315</v>
      </c>
      <c r="H59" s="300"/>
      <c r="I59" s="306">
        <f t="shared" si="6"/>
        <v>-204</v>
      </c>
      <c r="J59" s="300" t="s">
        <v>2603</v>
      </c>
      <c r="K59" s="300" t="s">
        <v>2178</v>
      </c>
      <c r="L59" s="300" t="s">
        <v>2604</v>
      </c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305" t="str">
        <f t="shared" si="4"/>
        <v>VIGENTE 262 DÍAS</v>
      </c>
      <c r="B60" s="304" t="s">
        <v>2708</v>
      </c>
      <c r="C60" s="304" t="s">
        <v>2709</v>
      </c>
      <c r="D60" s="304" t="s">
        <v>2710</v>
      </c>
      <c r="E60" s="304" t="s">
        <v>2711</v>
      </c>
      <c r="F60" s="298">
        <v>46008.0</v>
      </c>
      <c r="G60" s="298">
        <f t="shared" si="8"/>
        <v>46373</v>
      </c>
      <c r="H60" s="300" t="s">
        <v>2178</v>
      </c>
      <c r="I60" s="306">
        <f t="shared" si="6"/>
        <v>-262</v>
      </c>
      <c r="J60" s="300" t="s">
        <v>2603</v>
      </c>
      <c r="K60" s="300" t="s">
        <v>2178</v>
      </c>
      <c r="L60" s="307" t="s">
        <v>313</v>
      </c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305" t="str">
        <f t="shared" si="4"/>
        <v>VIGENTE 36 DÍAS</v>
      </c>
      <c r="B61" s="304" t="s">
        <v>2712</v>
      </c>
      <c r="C61" s="304" t="s">
        <v>2713</v>
      </c>
      <c r="D61" s="304" t="s">
        <v>2714</v>
      </c>
      <c r="E61" s="304" t="s">
        <v>2715</v>
      </c>
      <c r="F61" s="298">
        <v>45782.0</v>
      </c>
      <c r="G61" s="298">
        <f t="shared" si="8"/>
        <v>46147</v>
      </c>
      <c r="H61" s="300"/>
      <c r="I61" s="306">
        <f t="shared" si="6"/>
        <v>-36</v>
      </c>
      <c r="J61" s="300" t="s">
        <v>2607</v>
      </c>
      <c r="K61" s="307" t="s">
        <v>2608</v>
      </c>
      <c r="L61" s="300" t="s">
        <v>2609</v>
      </c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305" t="str">
        <f t="shared" si="4"/>
        <v>VIGENTE 64 DÍAS</v>
      </c>
      <c r="B62" s="304" t="s">
        <v>2716</v>
      </c>
      <c r="C62" s="304" t="s">
        <v>2717</v>
      </c>
      <c r="D62" s="304" t="s">
        <v>2718</v>
      </c>
      <c r="E62" s="304" t="s">
        <v>2719</v>
      </c>
      <c r="F62" s="298">
        <v>45810.0</v>
      </c>
      <c r="G62" s="298">
        <f t="shared" si="8"/>
        <v>46175</v>
      </c>
      <c r="H62" s="300"/>
      <c r="I62" s="306">
        <f t="shared" si="6"/>
        <v>-64</v>
      </c>
      <c r="J62" s="300" t="s">
        <v>2607</v>
      </c>
      <c r="K62" s="300" t="s">
        <v>2617</v>
      </c>
      <c r="L62" s="300" t="s">
        <v>2604</v>
      </c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305" t="str">
        <f t="shared" si="4"/>
        <v>VIGENTE 71 DÍAS</v>
      </c>
      <c r="B63" s="304" t="s">
        <v>2720</v>
      </c>
      <c r="C63" s="304" t="s">
        <v>2721</v>
      </c>
      <c r="D63" s="304" t="s">
        <v>2722</v>
      </c>
      <c r="E63" s="304" t="s">
        <v>2723</v>
      </c>
      <c r="F63" s="298">
        <v>45817.0</v>
      </c>
      <c r="G63" s="298">
        <f t="shared" si="8"/>
        <v>46182</v>
      </c>
      <c r="H63" s="300"/>
      <c r="I63" s="306">
        <f t="shared" si="6"/>
        <v>-71</v>
      </c>
      <c r="J63" s="300" t="s">
        <v>2607</v>
      </c>
      <c r="K63" s="300" t="s">
        <v>2617</v>
      </c>
      <c r="L63" s="300" t="s">
        <v>2604</v>
      </c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305" t="str">
        <f t="shared" si="4"/>
        <v>VIGENTE 78 DÍAS</v>
      </c>
      <c r="B64" s="304" t="s">
        <v>2724</v>
      </c>
      <c r="C64" s="304" t="s">
        <v>2725</v>
      </c>
      <c r="D64" s="304" t="s">
        <v>2726</v>
      </c>
      <c r="E64" s="304" t="s">
        <v>2727</v>
      </c>
      <c r="F64" s="298">
        <v>45824.0</v>
      </c>
      <c r="G64" s="298">
        <f t="shared" si="8"/>
        <v>46189</v>
      </c>
      <c r="H64" s="300" t="s">
        <v>2617</v>
      </c>
      <c r="I64" s="306">
        <f t="shared" si="6"/>
        <v>-78</v>
      </c>
      <c r="J64" s="300" t="s">
        <v>2603</v>
      </c>
      <c r="K64" s="307" t="s">
        <v>2178</v>
      </c>
      <c r="L64" s="307" t="s">
        <v>313</v>
      </c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305" t="str">
        <f t="shared" si="4"/>
        <v>VIGENTE 135 DÍAS</v>
      </c>
      <c r="B65" s="304" t="s">
        <v>1914</v>
      </c>
      <c r="C65" s="304" t="s">
        <v>2728</v>
      </c>
      <c r="D65" s="304" t="s">
        <v>1915</v>
      </c>
      <c r="E65" s="304" t="s">
        <v>1916</v>
      </c>
      <c r="F65" s="298">
        <v>45865.0</v>
      </c>
      <c r="G65" s="298">
        <v>46246.0</v>
      </c>
      <c r="H65" s="300"/>
      <c r="I65" s="306">
        <f t="shared" si="6"/>
        <v>-135</v>
      </c>
      <c r="J65" s="300" t="s">
        <v>2603</v>
      </c>
      <c r="K65" s="300" t="s">
        <v>2178</v>
      </c>
      <c r="L65" s="300" t="s">
        <v>2604</v>
      </c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305" t="str">
        <f t="shared" si="4"/>
        <v>VIGENTE 135 DÍAS</v>
      </c>
      <c r="B66" s="304" t="s">
        <v>2729</v>
      </c>
      <c r="C66" s="304" t="s">
        <v>2730</v>
      </c>
      <c r="D66" s="304" t="s">
        <v>2731</v>
      </c>
      <c r="E66" s="304"/>
      <c r="F66" s="298">
        <v>45881.0</v>
      </c>
      <c r="G66" s="298">
        <f t="shared" ref="G66:G83" si="9">DATE(YEAR(F66)+1,MONTH(F66),DAY(F66))</f>
        <v>46246</v>
      </c>
      <c r="H66" s="300"/>
      <c r="I66" s="306">
        <f t="shared" si="6"/>
        <v>-135</v>
      </c>
      <c r="J66" s="300" t="s">
        <v>2603</v>
      </c>
      <c r="K66" s="300" t="s">
        <v>2178</v>
      </c>
      <c r="L66" s="300" t="s">
        <v>2604</v>
      </c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305" t="str">
        <f t="shared" si="4"/>
        <v>VIGENTE 137 DÍAS</v>
      </c>
      <c r="B67" s="304" t="s">
        <v>1880</v>
      </c>
      <c r="C67" s="304" t="s">
        <v>2732</v>
      </c>
      <c r="D67" s="304" t="s">
        <v>1881</v>
      </c>
      <c r="E67" s="304" t="s">
        <v>1750</v>
      </c>
      <c r="F67" s="298">
        <v>45883.0</v>
      </c>
      <c r="G67" s="298">
        <f t="shared" si="9"/>
        <v>46248</v>
      </c>
      <c r="H67" s="300"/>
      <c r="I67" s="306">
        <f t="shared" si="6"/>
        <v>-137</v>
      </c>
      <c r="J67" s="300" t="s">
        <v>2603</v>
      </c>
      <c r="K67" s="300" t="s">
        <v>2178</v>
      </c>
      <c r="L67" s="300" t="s">
        <v>2604</v>
      </c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305" t="str">
        <f t="shared" si="4"/>
        <v>VIGENTE 120 DÍAS</v>
      </c>
      <c r="B68" s="304" t="s">
        <v>2733</v>
      </c>
      <c r="C68" s="304" t="s">
        <v>2734</v>
      </c>
      <c r="D68" s="304" t="s">
        <v>2735</v>
      </c>
      <c r="E68" s="304" t="s">
        <v>2736</v>
      </c>
      <c r="F68" s="298">
        <v>45866.0</v>
      </c>
      <c r="G68" s="298">
        <f t="shared" si="9"/>
        <v>46231</v>
      </c>
      <c r="H68" s="300"/>
      <c r="I68" s="306">
        <f t="shared" si="6"/>
        <v>-120</v>
      </c>
      <c r="J68" s="300" t="s">
        <v>2603</v>
      </c>
      <c r="K68" s="300" t="s">
        <v>2178</v>
      </c>
      <c r="L68" s="300" t="s">
        <v>313</v>
      </c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305" t="str">
        <f t="shared" si="4"/>
        <v>VIGENTE 135 DÍAS</v>
      </c>
      <c r="B69" s="304" t="s">
        <v>1935</v>
      </c>
      <c r="C69" s="304" t="s">
        <v>2737</v>
      </c>
      <c r="D69" s="304" t="s">
        <v>2738</v>
      </c>
      <c r="E69" s="304"/>
      <c r="F69" s="298">
        <v>45881.0</v>
      </c>
      <c r="G69" s="298">
        <f t="shared" si="9"/>
        <v>46246</v>
      </c>
      <c r="H69" s="300"/>
      <c r="I69" s="306">
        <f t="shared" si="6"/>
        <v>-135</v>
      </c>
      <c r="J69" s="300" t="s">
        <v>2603</v>
      </c>
      <c r="K69" s="300" t="s">
        <v>2178</v>
      </c>
      <c r="L69" s="307" t="s">
        <v>2739</v>
      </c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305" t="str">
        <f t="shared" si="4"/>
        <v>VIGENTE 176 DÍAS</v>
      </c>
      <c r="B70" s="304" t="s">
        <v>2740</v>
      </c>
      <c r="C70" s="304" t="s">
        <v>2741</v>
      </c>
      <c r="D70" s="304" t="s">
        <v>1756</v>
      </c>
      <c r="E70" s="304" t="s">
        <v>2123</v>
      </c>
      <c r="F70" s="298">
        <v>45922.0</v>
      </c>
      <c r="G70" s="298">
        <f t="shared" si="9"/>
        <v>46287</v>
      </c>
      <c r="H70" s="300"/>
      <c r="I70" s="306">
        <f t="shared" si="6"/>
        <v>-176</v>
      </c>
      <c r="J70" s="300" t="s">
        <v>2603</v>
      </c>
      <c r="K70" s="300" t="s">
        <v>2178</v>
      </c>
      <c r="L70" s="300" t="s">
        <v>313</v>
      </c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305" t="str">
        <f t="shared" si="4"/>
        <v>VIGENTE 190 DÍAS</v>
      </c>
      <c r="B71" s="304" t="s">
        <v>2742</v>
      </c>
      <c r="C71" s="317" t="s">
        <v>2743</v>
      </c>
      <c r="D71" s="318" t="s">
        <v>2173</v>
      </c>
      <c r="E71" s="304"/>
      <c r="F71" s="298">
        <v>45936.0</v>
      </c>
      <c r="G71" s="298">
        <f t="shared" si="9"/>
        <v>46301</v>
      </c>
      <c r="H71" s="300"/>
      <c r="I71" s="306">
        <f t="shared" si="6"/>
        <v>-190</v>
      </c>
      <c r="J71" s="300" t="s">
        <v>2603</v>
      </c>
      <c r="K71" s="300" t="s">
        <v>2178</v>
      </c>
      <c r="L71" s="300" t="s">
        <v>2604</v>
      </c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305" t="str">
        <f t="shared" si="4"/>
        <v>VIGENTE 197 DÍAS</v>
      </c>
      <c r="B72" s="304" t="s">
        <v>2744</v>
      </c>
      <c r="C72" s="304" t="s">
        <v>2745</v>
      </c>
      <c r="D72" s="304" t="s">
        <v>2356</v>
      </c>
      <c r="E72" s="304" t="s">
        <v>2357</v>
      </c>
      <c r="F72" s="298">
        <v>45943.0</v>
      </c>
      <c r="G72" s="298">
        <f t="shared" si="9"/>
        <v>46308</v>
      </c>
      <c r="H72" s="300"/>
      <c r="I72" s="306">
        <f t="shared" si="6"/>
        <v>-197</v>
      </c>
      <c r="J72" s="300" t="s">
        <v>2603</v>
      </c>
      <c r="K72" s="300" t="s">
        <v>2178</v>
      </c>
      <c r="L72" s="300" t="s">
        <v>2604</v>
      </c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305" t="str">
        <f t="shared" si="4"/>
        <v>VIGENTE 204 DÍAS</v>
      </c>
      <c r="B73" s="304" t="s">
        <v>2387</v>
      </c>
      <c r="C73" s="317" t="s">
        <v>2746</v>
      </c>
      <c r="D73" s="304" t="s">
        <v>2388</v>
      </c>
      <c r="E73" s="304" t="s">
        <v>2389</v>
      </c>
      <c r="F73" s="298">
        <v>45950.0</v>
      </c>
      <c r="G73" s="298">
        <f t="shared" si="9"/>
        <v>46315</v>
      </c>
      <c r="H73" s="300"/>
      <c r="I73" s="306">
        <f t="shared" si="6"/>
        <v>-204</v>
      </c>
      <c r="J73" s="300" t="s">
        <v>2603</v>
      </c>
      <c r="K73" s="300" t="s">
        <v>2178</v>
      </c>
      <c r="L73" s="300" t="s">
        <v>2604</v>
      </c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305" t="str">
        <f t="shared" si="4"/>
        <v>VIGENTE 207 DÍAS</v>
      </c>
      <c r="B74" s="304" t="s">
        <v>2420</v>
      </c>
      <c r="C74" s="304" t="s">
        <v>2747</v>
      </c>
      <c r="D74" s="304" t="s">
        <v>2421</v>
      </c>
      <c r="E74" s="304"/>
      <c r="F74" s="298">
        <v>45953.0</v>
      </c>
      <c r="G74" s="298">
        <f t="shared" si="9"/>
        <v>46318</v>
      </c>
      <c r="H74" s="300" t="s">
        <v>2705</v>
      </c>
      <c r="I74" s="306">
        <f t="shared" si="6"/>
        <v>-207</v>
      </c>
      <c r="J74" s="300" t="s">
        <v>2603</v>
      </c>
      <c r="K74" s="300" t="s">
        <v>2178</v>
      </c>
      <c r="L74" s="300" t="s">
        <v>2604</v>
      </c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305" t="str">
        <f t="shared" si="4"/>
        <v>VIGENTE 211 DÍAS</v>
      </c>
      <c r="B75" s="304" t="s">
        <v>2748</v>
      </c>
      <c r="C75" s="317" t="s">
        <v>2746</v>
      </c>
      <c r="D75" s="304" t="s">
        <v>1228</v>
      </c>
      <c r="E75" s="304"/>
      <c r="F75" s="298">
        <v>45957.0</v>
      </c>
      <c r="G75" s="298">
        <f t="shared" si="9"/>
        <v>46322</v>
      </c>
      <c r="H75" s="300" t="s">
        <v>2749</v>
      </c>
      <c r="I75" s="306">
        <f t="shared" si="6"/>
        <v>-211</v>
      </c>
      <c r="J75" s="300" t="s">
        <v>2603</v>
      </c>
      <c r="K75" s="300" t="s">
        <v>2178</v>
      </c>
      <c r="L75" s="300" t="s">
        <v>2604</v>
      </c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302" t="str">
        <f t="shared" si="4"/>
        <v>VENCIDA</v>
      </c>
      <c r="B76" s="304" t="s">
        <v>2750</v>
      </c>
      <c r="C76" s="304" t="s">
        <v>2751</v>
      </c>
      <c r="D76" s="304" t="s">
        <v>2752</v>
      </c>
      <c r="E76" s="304" t="s">
        <v>2753</v>
      </c>
      <c r="F76" s="298">
        <v>45498.0</v>
      </c>
      <c r="G76" s="298">
        <f t="shared" si="9"/>
        <v>45863</v>
      </c>
      <c r="H76" s="300" t="s">
        <v>2606</v>
      </c>
      <c r="I76" s="303">
        <f t="shared" si="6"/>
        <v>248</v>
      </c>
      <c r="J76" s="300" t="s">
        <v>2607</v>
      </c>
      <c r="K76" s="300" t="s">
        <v>2608</v>
      </c>
      <c r="L76" s="300" t="s">
        <v>2604</v>
      </c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302" t="str">
        <f t="shared" si="4"/>
        <v>VENCIDA</v>
      </c>
      <c r="B77" s="304" t="s">
        <v>2754</v>
      </c>
      <c r="C77" s="304" t="s">
        <v>2755</v>
      </c>
      <c r="D77" s="304" t="s">
        <v>2756</v>
      </c>
      <c r="E77" s="304" t="s">
        <v>2757</v>
      </c>
      <c r="F77" s="298">
        <v>45499.0</v>
      </c>
      <c r="G77" s="298">
        <f t="shared" si="9"/>
        <v>45864</v>
      </c>
      <c r="H77" s="300" t="s">
        <v>2606</v>
      </c>
      <c r="I77" s="303">
        <f t="shared" si="6"/>
        <v>247</v>
      </c>
      <c r="J77" s="300" t="s">
        <v>2607</v>
      </c>
      <c r="K77" s="300" t="s">
        <v>2608</v>
      </c>
      <c r="L77" s="300" t="s">
        <v>2604</v>
      </c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302" t="str">
        <f t="shared" si="4"/>
        <v>VENCIDA</v>
      </c>
      <c r="B78" s="304" t="s">
        <v>2758</v>
      </c>
      <c r="C78" s="304" t="s">
        <v>1719</v>
      </c>
      <c r="D78" s="304" t="s">
        <v>1717</v>
      </c>
      <c r="E78" s="304" t="s">
        <v>1718</v>
      </c>
      <c r="F78" s="298">
        <v>45314.0</v>
      </c>
      <c r="G78" s="298">
        <f t="shared" si="9"/>
        <v>45680</v>
      </c>
      <c r="H78" s="300" t="s">
        <v>2606</v>
      </c>
      <c r="I78" s="303">
        <f t="shared" si="6"/>
        <v>431</v>
      </c>
      <c r="J78" s="300" t="s">
        <v>2607</v>
      </c>
      <c r="K78" s="300" t="s">
        <v>2608</v>
      </c>
      <c r="L78" s="300" t="s">
        <v>2604</v>
      </c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302" t="str">
        <f t="shared" si="4"/>
        <v>VENCIDA</v>
      </c>
      <c r="B79" s="304" t="s">
        <v>2759</v>
      </c>
      <c r="C79" s="304" t="s">
        <v>2760</v>
      </c>
      <c r="D79" s="304" t="s">
        <v>2761</v>
      </c>
      <c r="E79" s="304" t="s">
        <v>2762</v>
      </c>
      <c r="F79" s="298">
        <v>45422.0</v>
      </c>
      <c r="G79" s="298">
        <f t="shared" si="9"/>
        <v>45787</v>
      </c>
      <c r="H79" s="300" t="s">
        <v>2606</v>
      </c>
      <c r="I79" s="303">
        <f t="shared" si="6"/>
        <v>324</v>
      </c>
      <c r="J79" s="300" t="s">
        <v>2607</v>
      </c>
      <c r="K79" s="300" t="s">
        <v>2608</v>
      </c>
      <c r="L79" s="300" t="s">
        <v>2604</v>
      </c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305" t="str">
        <f t="shared" si="4"/>
        <v>VIGENTE 220 DÍAS</v>
      </c>
      <c r="B80" s="304" t="s">
        <v>2763</v>
      </c>
      <c r="C80" s="304" t="s">
        <v>2764</v>
      </c>
      <c r="D80" s="304" t="s">
        <v>2488</v>
      </c>
      <c r="E80" s="304" t="s">
        <v>2489</v>
      </c>
      <c r="F80" s="298">
        <v>45966.0</v>
      </c>
      <c r="G80" s="298">
        <f t="shared" si="9"/>
        <v>46331</v>
      </c>
      <c r="H80" s="300" t="s">
        <v>2705</v>
      </c>
      <c r="I80" s="306">
        <f t="shared" si="6"/>
        <v>-220</v>
      </c>
      <c r="J80" s="300" t="s">
        <v>2603</v>
      </c>
      <c r="K80" s="300" t="s">
        <v>2178</v>
      </c>
      <c r="L80" s="300" t="s">
        <v>2604</v>
      </c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302" t="str">
        <f t="shared" si="4"/>
        <v>VENCIDA</v>
      </c>
      <c r="B81" s="304" t="s">
        <v>2765</v>
      </c>
      <c r="C81" s="317" t="s">
        <v>2766</v>
      </c>
      <c r="D81" s="304" t="s">
        <v>2767</v>
      </c>
      <c r="E81" s="304" t="s">
        <v>2768</v>
      </c>
      <c r="F81" s="298">
        <v>45617.0</v>
      </c>
      <c r="G81" s="298">
        <f t="shared" si="9"/>
        <v>45982</v>
      </c>
      <c r="H81" s="300"/>
      <c r="I81" s="303">
        <f t="shared" si="6"/>
        <v>129</v>
      </c>
      <c r="J81" s="300" t="s">
        <v>2607</v>
      </c>
      <c r="K81" s="300" t="s">
        <v>2608</v>
      </c>
      <c r="L81" s="300" t="s">
        <v>2604</v>
      </c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302" t="str">
        <f t="shared" si="4"/>
        <v>VENCIDA</v>
      </c>
      <c r="B82" s="304" t="s">
        <v>2769</v>
      </c>
      <c r="C82" s="304" t="s">
        <v>2770</v>
      </c>
      <c r="D82" s="304" t="s">
        <v>2771</v>
      </c>
      <c r="E82" s="304" t="s">
        <v>2772</v>
      </c>
      <c r="F82" s="298">
        <v>45482.0</v>
      </c>
      <c r="G82" s="298">
        <f t="shared" si="9"/>
        <v>45847</v>
      </c>
      <c r="H82" s="300" t="s">
        <v>2606</v>
      </c>
      <c r="I82" s="303">
        <f t="shared" si="6"/>
        <v>264</v>
      </c>
      <c r="J82" s="300" t="s">
        <v>2607</v>
      </c>
      <c r="K82" s="300" t="s">
        <v>2608</v>
      </c>
      <c r="L82" s="300" t="s">
        <v>2604</v>
      </c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302" t="str">
        <f t="shared" si="4"/>
        <v>VENCIDA</v>
      </c>
      <c r="B83" s="304" t="s">
        <v>2773</v>
      </c>
      <c r="C83" s="317" t="s">
        <v>2774</v>
      </c>
      <c r="D83" s="304" t="s">
        <v>2775</v>
      </c>
      <c r="E83" s="304" t="s">
        <v>2776</v>
      </c>
      <c r="F83" s="319">
        <v>45665.0</v>
      </c>
      <c r="G83" s="319">
        <f t="shared" si="9"/>
        <v>46030</v>
      </c>
      <c r="H83" s="304"/>
      <c r="I83" s="303">
        <f t="shared" si="6"/>
        <v>81</v>
      </c>
      <c r="J83" s="300" t="s">
        <v>2607</v>
      </c>
      <c r="K83" s="300" t="s">
        <v>2608</v>
      </c>
      <c r="L83" s="300" t="s">
        <v>2604</v>
      </c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>
      <c r="A84" s="300" t="s">
        <v>1207</v>
      </c>
      <c r="B84" s="320" t="s">
        <v>2777</v>
      </c>
      <c r="C84" s="304" t="s">
        <v>2778</v>
      </c>
      <c r="D84" s="304" t="s">
        <v>2779</v>
      </c>
      <c r="E84" s="304" t="s">
        <v>2780</v>
      </c>
      <c r="F84" s="321">
        <v>45137.0</v>
      </c>
      <c r="G84" s="298">
        <v>45137.0</v>
      </c>
      <c r="H84" s="300" t="s">
        <v>2606</v>
      </c>
      <c r="I84" s="300" t="s">
        <v>1207</v>
      </c>
      <c r="J84" s="300" t="s">
        <v>1207</v>
      </c>
      <c r="K84" s="300" t="s">
        <v>1207</v>
      </c>
      <c r="L84" s="300" t="s">
        <v>2604</v>
      </c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302" t="str">
        <f t="shared" ref="A85:A91" si="10">IF(G85&lt;TODAY(),"VENCIDA",IF(G85=TODAY(),"HOY","VIGENTE "&amp;G85-TODAY()&amp;" DÍAS"))</f>
        <v>VENCIDA</v>
      </c>
      <c r="B85" s="320" t="s">
        <v>2781</v>
      </c>
      <c r="C85" s="304" t="s">
        <v>2782</v>
      </c>
      <c r="D85" s="304" t="s">
        <v>2783</v>
      </c>
      <c r="E85" s="304" t="s">
        <v>2784</v>
      </c>
      <c r="F85" s="298">
        <v>45156.0</v>
      </c>
      <c r="G85" s="298">
        <f t="shared" ref="G85:G91" si="11">DATE(YEAR(F85)+1,MONTH(F85),DAY(F85))</f>
        <v>45522</v>
      </c>
      <c r="H85" s="300" t="s">
        <v>2606</v>
      </c>
      <c r="I85" s="303">
        <f t="shared" ref="I85:I91" si="12">TODAY()-G85</f>
        <v>589</v>
      </c>
      <c r="J85" s="300" t="s">
        <v>2607</v>
      </c>
      <c r="K85" s="300" t="s">
        <v>2608</v>
      </c>
      <c r="L85" s="300" t="s">
        <v>2609</v>
      </c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302" t="str">
        <f t="shared" si="10"/>
        <v>VENCIDA</v>
      </c>
      <c r="B86" s="320" t="s">
        <v>2785</v>
      </c>
      <c r="C86" s="304" t="s">
        <v>2786</v>
      </c>
      <c r="D86" s="304"/>
      <c r="E86" s="304" t="s">
        <v>2787</v>
      </c>
      <c r="F86" s="298">
        <v>45219.0</v>
      </c>
      <c r="G86" s="298">
        <f t="shared" si="11"/>
        <v>45585</v>
      </c>
      <c r="H86" s="300" t="s">
        <v>2606</v>
      </c>
      <c r="I86" s="303">
        <f t="shared" si="12"/>
        <v>526</v>
      </c>
      <c r="J86" s="300" t="s">
        <v>2607</v>
      </c>
      <c r="K86" s="300" t="s">
        <v>2608</v>
      </c>
      <c r="L86" s="300" t="s">
        <v>2604</v>
      </c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302" t="str">
        <f t="shared" si="10"/>
        <v>VENCIDA</v>
      </c>
      <c r="B87" s="320" t="s">
        <v>2788</v>
      </c>
      <c r="C87" s="304" t="s">
        <v>2789</v>
      </c>
      <c r="D87" s="304" t="s">
        <v>2790</v>
      </c>
      <c r="E87" s="304" t="s">
        <v>2791</v>
      </c>
      <c r="F87" s="298">
        <v>45301.0</v>
      </c>
      <c r="G87" s="298">
        <f t="shared" si="11"/>
        <v>45667</v>
      </c>
      <c r="H87" s="300" t="s">
        <v>2606</v>
      </c>
      <c r="I87" s="303">
        <f t="shared" si="12"/>
        <v>444</v>
      </c>
      <c r="J87" s="300" t="s">
        <v>2607</v>
      </c>
      <c r="K87" s="300" t="s">
        <v>2608</v>
      </c>
      <c r="L87" s="300" t="s">
        <v>2604</v>
      </c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302" t="str">
        <f t="shared" si="10"/>
        <v>VENCIDA</v>
      </c>
      <c r="B88" s="320" t="s">
        <v>2792</v>
      </c>
      <c r="C88" s="304" t="s">
        <v>2793</v>
      </c>
      <c r="D88" s="304" t="s">
        <v>2794</v>
      </c>
      <c r="E88" s="304" t="s">
        <v>1185</v>
      </c>
      <c r="F88" s="298">
        <v>45296.0</v>
      </c>
      <c r="G88" s="298">
        <f t="shared" si="11"/>
        <v>45662</v>
      </c>
      <c r="H88" s="300" t="s">
        <v>2606</v>
      </c>
      <c r="I88" s="303">
        <f t="shared" si="12"/>
        <v>449</v>
      </c>
      <c r="J88" s="300" t="s">
        <v>2607</v>
      </c>
      <c r="K88" s="300" t="s">
        <v>2608</v>
      </c>
      <c r="L88" s="300" t="s">
        <v>2604</v>
      </c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302" t="str">
        <f t="shared" si="10"/>
        <v>VENCIDA</v>
      </c>
      <c r="B89" s="320" t="s">
        <v>2795</v>
      </c>
      <c r="C89" s="304" t="s">
        <v>2796</v>
      </c>
      <c r="D89" s="304" t="s">
        <v>106</v>
      </c>
      <c r="E89" s="304" t="s">
        <v>107</v>
      </c>
      <c r="F89" s="298">
        <v>45358.0</v>
      </c>
      <c r="G89" s="298">
        <f t="shared" si="11"/>
        <v>45723</v>
      </c>
      <c r="H89" s="300" t="s">
        <v>2606</v>
      </c>
      <c r="I89" s="303">
        <f t="shared" si="12"/>
        <v>388</v>
      </c>
      <c r="J89" s="300" t="s">
        <v>2607</v>
      </c>
      <c r="K89" s="300" t="s">
        <v>2608</v>
      </c>
      <c r="L89" s="300" t="s">
        <v>2604</v>
      </c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302" t="str">
        <f t="shared" si="10"/>
        <v>VENCIDA</v>
      </c>
      <c r="B90" s="320" t="s">
        <v>2797</v>
      </c>
      <c r="C90" s="304" t="s">
        <v>2798</v>
      </c>
      <c r="D90" s="304" t="s">
        <v>2799</v>
      </c>
      <c r="E90" s="304" t="s">
        <v>2800</v>
      </c>
      <c r="F90" s="298">
        <v>45370.0</v>
      </c>
      <c r="G90" s="298">
        <f t="shared" si="11"/>
        <v>45735</v>
      </c>
      <c r="H90" s="300" t="s">
        <v>2606</v>
      </c>
      <c r="I90" s="303">
        <f t="shared" si="12"/>
        <v>376</v>
      </c>
      <c r="J90" s="300" t="s">
        <v>2607</v>
      </c>
      <c r="K90" s="300" t="s">
        <v>2608</v>
      </c>
      <c r="L90" s="300" t="s">
        <v>2604</v>
      </c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305" t="str">
        <f t="shared" si="10"/>
        <v>VIGENTE 2 DÍAS</v>
      </c>
      <c r="B91" s="320" t="s">
        <v>2801</v>
      </c>
      <c r="C91" s="304" t="s">
        <v>2802</v>
      </c>
      <c r="D91" s="304" t="s">
        <v>2803</v>
      </c>
      <c r="E91" s="304" t="s">
        <v>2723</v>
      </c>
      <c r="F91" s="298">
        <v>45748.0</v>
      </c>
      <c r="G91" s="298">
        <f t="shared" si="11"/>
        <v>46113</v>
      </c>
      <c r="H91" s="300" t="s">
        <v>2616</v>
      </c>
      <c r="I91" s="306">
        <f t="shared" si="12"/>
        <v>-2</v>
      </c>
      <c r="J91" s="300" t="s">
        <v>2603</v>
      </c>
      <c r="K91" s="300" t="s">
        <v>2617</v>
      </c>
      <c r="L91" s="300" t="s">
        <v>2604</v>
      </c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300" t="s">
        <v>1207</v>
      </c>
      <c r="B92" s="304" t="s">
        <v>2804</v>
      </c>
      <c r="C92" s="304" t="s">
        <v>2805</v>
      </c>
      <c r="D92" s="304" t="s">
        <v>2806</v>
      </c>
      <c r="E92" s="304" t="s">
        <v>2807</v>
      </c>
      <c r="F92" s="300" t="s">
        <v>1207</v>
      </c>
      <c r="G92" s="300" t="s">
        <v>1207</v>
      </c>
      <c r="H92" s="300" t="s">
        <v>1207</v>
      </c>
      <c r="I92" s="300" t="s">
        <v>1207</v>
      </c>
      <c r="J92" s="300" t="s">
        <v>1207</v>
      </c>
      <c r="K92" s="300" t="s">
        <v>1207</v>
      </c>
      <c r="L92" s="300" t="s">
        <v>2604</v>
      </c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300" t="s">
        <v>1207</v>
      </c>
      <c r="B93" s="304" t="s">
        <v>2808</v>
      </c>
      <c r="C93" s="317" t="s">
        <v>2809</v>
      </c>
      <c r="D93" s="304" t="s">
        <v>340</v>
      </c>
      <c r="E93" s="304" t="s">
        <v>341</v>
      </c>
      <c r="F93" s="298">
        <v>45839.0</v>
      </c>
      <c r="G93" s="298">
        <f>DATE(YEAR(F93)+1,MONTH(F93),DAY(F93))</f>
        <v>46204</v>
      </c>
      <c r="H93" s="300" t="s">
        <v>2606</v>
      </c>
      <c r="I93" s="306">
        <f>TODAY()-G93</f>
        <v>-93</v>
      </c>
      <c r="J93" s="300" t="s">
        <v>1207</v>
      </c>
      <c r="K93" s="300" t="s">
        <v>1207</v>
      </c>
      <c r="L93" s="300" t="s">
        <v>1207</v>
      </c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300" t="s">
        <v>1207</v>
      </c>
      <c r="B94" s="320" t="s">
        <v>2810</v>
      </c>
      <c r="C94" s="304" t="s">
        <v>2811</v>
      </c>
      <c r="D94" s="304" t="s">
        <v>2812</v>
      </c>
      <c r="E94" s="304" t="s">
        <v>2813</v>
      </c>
      <c r="F94" s="300" t="s">
        <v>1207</v>
      </c>
      <c r="G94" s="300" t="s">
        <v>1207</v>
      </c>
      <c r="H94" s="300" t="s">
        <v>1207</v>
      </c>
      <c r="I94" s="300" t="s">
        <v>1207</v>
      </c>
      <c r="J94" s="300" t="s">
        <v>1207</v>
      </c>
      <c r="K94" s="300" t="s">
        <v>1207</v>
      </c>
      <c r="L94" s="300" t="s">
        <v>1207</v>
      </c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302" t="str">
        <f t="shared" ref="A95:A96" si="13">IF(G95&lt;TODAY(),"VENCIDA",IF(G95=TODAY(),"HOY","VIGENTE "&amp;G95-TODAY()&amp;" DÍAS"))</f>
        <v>VENCIDA</v>
      </c>
      <c r="B95" s="320" t="s">
        <v>2814</v>
      </c>
      <c r="C95" s="304" t="s">
        <v>2815</v>
      </c>
      <c r="D95" s="304" t="s">
        <v>2816</v>
      </c>
      <c r="E95" s="304" t="s">
        <v>2817</v>
      </c>
      <c r="F95" s="322">
        <v>45490.0</v>
      </c>
      <c r="G95" s="298">
        <f t="shared" ref="G95:G96" si="14">DATE(YEAR(F95)+1,MONTH(F95),DAY(F95))</f>
        <v>45855</v>
      </c>
      <c r="H95" s="300" t="s">
        <v>2606</v>
      </c>
      <c r="I95" s="303">
        <f t="shared" ref="I95:I96" si="15">TODAY()-G95</f>
        <v>256</v>
      </c>
      <c r="J95" s="300" t="s">
        <v>2607</v>
      </c>
      <c r="K95" s="300" t="s">
        <v>2608</v>
      </c>
      <c r="L95" s="300" t="s">
        <v>2604</v>
      </c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302" t="str">
        <f t="shared" si="13"/>
        <v>VENCIDA</v>
      </c>
      <c r="B96" s="320" t="s">
        <v>1317</v>
      </c>
      <c r="C96" s="304" t="s">
        <v>1320</v>
      </c>
      <c r="D96" s="304" t="s">
        <v>1318</v>
      </c>
      <c r="E96" s="304" t="s">
        <v>1319</v>
      </c>
      <c r="F96" s="298">
        <v>45512.0</v>
      </c>
      <c r="G96" s="298">
        <f t="shared" si="14"/>
        <v>45877</v>
      </c>
      <c r="H96" s="300" t="s">
        <v>2606</v>
      </c>
      <c r="I96" s="303">
        <f t="shared" si="15"/>
        <v>234</v>
      </c>
      <c r="J96" s="300" t="s">
        <v>2607</v>
      </c>
      <c r="K96" s="300" t="s">
        <v>2608</v>
      </c>
      <c r="L96" s="300" t="s">
        <v>2604</v>
      </c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300" t="s">
        <v>1207</v>
      </c>
      <c r="B97" s="320" t="s">
        <v>2818</v>
      </c>
      <c r="C97" s="304" t="s">
        <v>2819</v>
      </c>
      <c r="D97" s="304" t="s">
        <v>2820</v>
      </c>
      <c r="E97" s="304" t="s">
        <v>2821</v>
      </c>
      <c r="F97" s="300" t="s">
        <v>1207</v>
      </c>
      <c r="G97" s="300" t="s">
        <v>1207</v>
      </c>
      <c r="H97" s="300" t="s">
        <v>1207</v>
      </c>
      <c r="I97" s="300" t="s">
        <v>1207</v>
      </c>
      <c r="J97" s="300" t="s">
        <v>1207</v>
      </c>
      <c r="K97" s="300" t="s">
        <v>1207</v>
      </c>
      <c r="L97" s="300" t="s">
        <v>1207</v>
      </c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302" t="str">
        <f t="shared" ref="A98:A103" si="16">IF(G98&lt;TODAY(),"VENCIDA",IF(G98=TODAY(),"HOY","VIGENTE "&amp;G98-TODAY()&amp;" DÍAS"))</f>
        <v>VENCIDA</v>
      </c>
      <c r="B98" s="320" t="s">
        <v>2822</v>
      </c>
      <c r="C98" s="304" t="s">
        <v>2823</v>
      </c>
      <c r="D98" s="304" t="s">
        <v>2824</v>
      </c>
      <c r="E98" s="304" t="s">
        <v>2825</v>
      </c>
      <c r="F98" s="298">
        <v>45692.0</v>
      </c>
      <c r="G98" s="298">
        <f t="shared" ref="G98:G103" si="17">DATE(YEAR(F98)+1,MONTH(F98),DAY(F98))</f>
        <v>46057</v>
      </c>
      <c r="H98" s="300"/>
      <c r="I98" s="303">
        <f t="shared" ref="I98:I103" si="18">TODAY()-G98</f>
        <v>54</v>
      </c>
      <c r="J98" s="300" t="s">
        <v>2607</v>
      </c>
      <c r="K98" s="300" t="s">
        <v>2826</v>
      </c>
      <c r="L98" s="300" t="s">
        <v>2604</v>
      </c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323" t="str">
        <f t="shared" si="16"/>
        <v>#VALUE!</v>
      </c>
      <c r="B99" s="320" t="s">
        <v>2827</v>
      </c>
      <c r="C99" s="304" t="s">
        <v>2828</v>
      </c>
      <c r="D99" s="304" t="s">
        <v>2829</v>
      </c>
      <c r="E99" s="304" t="s">
        <v>2830</v>
      </c>
      <c r="F99" s="300" t="s">
        <v>811</v>
      </c>
      <c r="G99" s="298" t="str">
        <f t="shared" si="17"/>
        <v>#VALUE!</v>
      </c>
      <c r="H99" s="300"/>
      <c r="I99" s="324" t="str">
        <f t="shared" si="18"/>
        <v>#VALUE!</v>
      </c>
      <c r="J99" s="300" t="s">
        <v>2607</v>
      </c>
      <c r="K99" s="300"/>
      <c r="L99" s="300" t="s">
        <v>2604</v>
      </c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302" t="str">
        <f t="shared" si="16"/>
        <v>VENCIDA</v>
      </c>
      <c r="B100" s="320" t="s">
        <v>2831</v>
      </c>
      <c r="C100" s="304" t="s">
        <v>2832</v>
      </c>
      <c r="D100" s="304" t="s">
        <v>2833</v>
      </c>
      <c r="E100" s="304" t="s">
        <v>2834</v>
      </c>
      <c r="F100" s="298">
        <v>45099.0</v>
      </c>
      <c r="G100" s="298">
        <f t="shared" si="17"/>
        <v>45465</v>
      </c>
      <c r="H100" s="300" t="s">
        <v>2606</v>
      </c>
      <c r="I100" s="303">
        <f t="shared" si="18"/>
        <v>646</v>
      </c>
      <c r="J100" s="300" t="s">
        <v>2607</v>
      </c>
      <c r="K100" s="300" t="s">
        <v>2608</v>
      </c>
      <c r="L100" s="300" t="s">
        <v>2604</v>
      </c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302" t="str">
        <f t="shared" si="16"/>
        <v>VENCIDA</v>
      </c>
      <c r="B101" s="320" t="s">
        <v>2835</v>
      </c>
      <c r="C101" s="304" t="s">
        <v>2836</v>
      </c>
      <c r="D101" s="304" t="s">
        <v>2837</v>
      </c>
      <c r="E101" s="304" t="s">
        <v>2838</v>
      </c>
      <c r="F101" s="298">
        <v>45099.0</v>
      </c>
      <c r="G101" s="298">
        <f t="shared" si="17"/>
        <v>45465</v>
      </c>
      <c r="H101" s="300" t="s">
        <v>2606</v>
      </c>
      <c r="I101" s="303">
        <f t="shared" si="18"/>
        <v>646</v>
      </c>
      <c r="J101" s="300" t="s">
        <v>2607</v>
      </c>
      <c r="K101" s="300" t="s">
        <v>2608</v>
      </c>
      <c r="L101" s="300" t="s">
        <v>2604</v>
      </c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302" t="str">
        <f t="shared" si="16"/>
        <v>VENCIDA</v>
      </c>
      <c r="B102" s="320" t="s">
        <v>2839</v>
      </c>
      <c r="C102" s="304" t="s">
        <v>2840</v>
      </c>
      <c r="D102" s="304" t="s">
        <v>2841</v>
      </c>
      <c r="E102" s="304" t="s">
        <v>2842</v>
      </c>
      <c r="F102" s="298">
        <v>45103.0</v>
      </c>
      <c r="G102" s="298">
        <f t="shared" si="17"/>
        <v>45469</v>
      </c>
      <c r="H102" s="300" t="s">
        <v>2606</v>
      </c>
      <c r="I102" s="303">
        <f t="shared" si="18"/>
        <v>642</v>
      </c>
      <c r="J102" s="300" t="s">
        <v>2607</v>
      </c>
      <c r="K102" s="300" t="s">
        <v>2608</v>
      </c>
      <c r="L102" s="300" t="s">
        <v>2604</v>
      </c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302" t="str">
        <f t="shared" si="16"/>
        <v>VENCIDA</v>
      </c>
      <c r="B103" s="320" t="s">
        <v>2843</v>
      </c>
      <c r="C103" s="304" t="s">
        <v>2844</v>
      </c>
      <c r="D103" s="304" t="s">
        <v>2845</v>
      </c>
      <c r="E103" s="304" t="s">
        <v>2846</v>
      </c>
      <c r="F103" s="298">
        <v>45113.0</v>
      </c>
      <c r="G103" s="298">
        <f t="shared" si="17"/>
        <v>45479</v>
      </c>
      <c r="H103" s="300" t="s">
        <v>2606</v>
      </c>
      <c r="I103" s="303">
        <f t="shared" si="18"/>
        <v>632</v>
      </c>
      <c r="J103" s="300" t="s">
        <v>2607</v>
      </c>
      <c r="K103" s="300" t="s">
        <v>2608</v>
      </c>
      <c r="L103" s="300" t="s">
        <v>2604</v>
      </c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300" t="s">
        <v>1207</v>
      </c>
      <c r="B104" s="320" t="s">
        <v>827</v>
      </c>
      <c r="C104" s="304" t="s">
        <v>2847</v>
      </c>
      <c r="D104" s="304" t="s">
        <v>828</v>
      </c>
      <c r="E104" s="304" t="s">
        <v>829</v>
      </c>
      <c r="F104" s="300" t="s">
        <v>1207</v>
      </c>
      <c r="G104" s="300" t="s">
        <v>1207</v>
      </c>
      <c r="H104" s="300" t="s">
        <v>1207</v>
      </c>
      <c r="I104" s="300" t="s">
        <v>1207</v>
      </c>
      <c r="J104" s="300" t="s">
        <v>1207</v>
      </c>
      <c r="K104" s="300" t="s">
        <v>1207</v>
      </c>
      <c r="L104" s="300" t="s">
        <v>1207</v>
      </c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302" t="str">
        <f t="shared" ref="A105:A109" si="19">IF(G105&lt;TODAY(),"VENCIDA",IF(G105=TODAY(),"HOY","VIGENTE "&amp;G105-TODAY()&amp;" DÍAS"))</f>
        <v>VENCIDA</v>
      </c>
      <c r="B105" s="320" t="s">
        <v>2848</v>
      </c>
      <c r="C105" s="304" t="s">
        <v>2849</v>
      </c>
      <c r="D105" s="304" t="s">
        <v>2850</v>
      </c>
      <c r="E105" s="304" t="s">
        <v>2851</v>
      </c>
      <c r="F105" s="298">
        <v>45140.0</v>
      </c>
      <c r="G105" s="298">
        <f t="shared" ref="G105:G109" si="20">DATE(YEAR(F105)+1,MONTH(F105),DAY(F105))</f>
        <v>45506</v>
      </c>
      <c r="H105" s="300" t="s">
        <v>2606</v>
      </c>
      <c r="I105" s="303">
        <f t="shared" ref="I105:I109" si="21">TODAY()-G105</f>
        <v>605</v>
      </c>
      <c r="J105" s="300" t="s">
        <v>2607</v>
      </c>
      <c r="K105" s="300" t="s">
        <v>2608</v>
      </c>
      <c r="L105" s="300" t="s">
        <v>2604</v>
      </c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302" t="str">
        <f t="shared" si="19"/>
        <v>VENCIDA</v>
      </c>
      <c r="B106" s="320" t="s">
        <v>2852</v>
      </c>
      <c r="C106" s="304" t="s">
        <v>2853</v>
      </c>
      <c r="D106" s="304" t="s">
        <v>2854</v>
      </c>
      <c r="E106" s="304" t="s">
        <v>2855</v>
      </c>
      <c r="F106" s="298">
        <v>45119.0</v>
      </c>
      <c r="G106" s="298">
        <f t="shared" si="20"/>
        <v>45485</v>
      </c>
      <c r="H106" s="300" t="s">
        <v>2606</v>
      </c>
      <c r="I106" s="303">
        <f t="shared" si="21"/>
        <v>626</v>
      </c>
      <c r="J106" s="300" t="s">
        <v>2607</v>
      </c>
      <c r="K106" s="300" t="s">
        <v>2608</v>
      </c>
      <c r="L106" s="300" t="s">
        <v>2604</v>
      </c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302" t="str">
        <f t="shared" si="19"/>
        <v>VENCIDA</v>
      </c>
      <c r="B107" s="320" t="s">
        <v>2856</v>
      </c>
      <c r="C107" s="304" t="s">
        <v>2857</v>
      </c>
      <c r="D107" s="304" t="s">
        <v>2858</v>
      </c>
      <c r="E107" s="304" t="s">
        <v>2859</v>
      </c>
      <c r="F107" s="298">
        <v>45107.0</v>
      </c>
      <c r="G107" s="298">
        <f t="shared" si="20"/>
        <v>45473</v>
      </c>
      <c r="H107" s="300" t="s">
        <v>2606</v>
      </c>
      <c r="I107" s="303">
        <f t="shared" si="21"/>
        <v>638</v>
      </c>
      <c r="J107" s="300" t="s">
        <v>2607</v>
      </c>
      <c r="K107" s="300" t="s">
        <v>2608</v>
      </c>
      <c r="L107" s="300" t="s">
        <v>2604</v>
      </c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302" t="str">
        <f t="shared" si="19"/>
        <v>VENCIDA</v>
      </c>
      <c r="B108" s="320" t="s">
        <v>2860</v>
      </c>
      <c r="C108" s="304" t="s">
        <v>2861</v>
      </c>
      <c r="D108" s="304" t="s">
        <v>2862</v>
      </c>
      <c r="E108" s="304" t="s">
        <v>2863</v>
      </c>
      <c r="F108" s="298">
        <v>45112.0</v>
      </c>
      <c r="G108" s="298">
        <f t="shared" si="20"/>
        <v>45478</v>
      </c>
      <c r="H108" s="300" t="s">
        <v>2606</v>
      </c>
      <c r="I108" s="303">
        <f t="shared" si="21"/>
        <v>633</v>
      </c>
      <c r="J108" s="300" t="s">
        <v>2607</v>
      </c>
      <c r="K108" s="300" t="s">
        <v>2608</v>
      </c>
      <c r="L108" s="300" t="s">
        <v>2604</v>
      </c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302" t="str">
        <f t="shared" si="19"/>
        <v>VENCIDA</v>
      </c>
      <c r="B109" s="320" t="s">
        <v>2864</v>
      </c>
      <c r="C109" s="304" t="s">
        <v>2865</v>
      </c>
      <c r="D109" s="304" t="s">
        <v>2866</v>
      </c>
      <c r="E109" s="304" t="s">
        <v>2867</v>
      </c>
      <c r="F109" s="298">
        <v>45134.0</v>
      </c>
      <c r="G109" s="298">
        <f t="shared" si="20"/>
        <v>45500</v>
      </c>
      <c r="H109" s="300" t="s">
        <v>2606</v>
      </c>
      <c r="I109" s="303">
        <f t="shared" si="21"/>
        <v>611</v>
      </c>
      <c r="J109" s="300" t="s">
        <v>2607</v>
      </c>
      <c r="K109" s="300" t="s">
        <v>2608</v>
      </c>
      <c r="L109" s="300" t="s">
        <v>2604</v>
      </c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300" t="s">
        <v>1207</v>
      </c>
      <c r="B110" s="320" t="s">
        <v>2868</v>
      </c>
      <c r="C110" s="304" t="s">
        <v>2869</v>
      </c>
      <c r="D110" s="304" t="s">
        <v>2870</v>
      </c>
      <c r="E110" s="304" t="s">
        <v>2871</v>
      </c>
      <c r="F110" s="300" t="s">
        <v>1207</v>
      </c>
      <c r="G110" s="300" t="s">
        <v>1207</v>
      </c>
      <c r="H110" s="300" t="s">
        <v>1207</v>
      </c>
      <c r="I110" s="300" t="s">
        <v>1207</v>
      </c>
      <c r="J110" s="300" t="s">
        <v>1207</v>
      </c>
      <c r="K110" s="300" t="s">
        <v>1207</v>
      </c>
      <c r="L110" s="300" t="s">
        <v>1207</v>
      </c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300" t="s">
        <v>1207</v>
      </c>
      <c r="B111" s="320" t="s">
        <v>2872</v>
      </c>
      <c r="C111" s="304" t="s">
        <v>2873</v>
      </c>
      <c r="D111" s="304" t="s">
        <v>2874</v>
      </c>
      <c r="E111" s="304" t="s">
        <v>2875</v>
      </c>
      <c r="F111" s="300" t="s">
        <v>1207</v>
      </c>
      <c r="G111" s="300" t="s">
        <v>1207</v>
      </c>
      <c r="H111" s="300" t="s">
        <v>1207</v>
      </c>
      <c r="I111" s="300" t="s">
        <v>1207</v>
      </c>
      <c r="J111" s="300" t="s">
        <v>1207</v>
      </c>
      <c r="K111" s="300" t="s">
        <v>1207</v>
      </c>
      <c r="L111" s="300" t="s">
        <v>1207</v>
      </c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302" t="str">
        <f t="shared" ref="A112:A114" si="22">IF(G112&lt;TODAY(),"VENCIDA",IF(G112=TODAY(),"HOY","VIGENTE "&amp;G112-TODAY()&amp;" DÍAS"))</f>
        <v>VENCIDA</v>
      </c>
      <c r="B112" s="320" t="s">
        <v>2876</v>
      </c>
      <c r="C112" s="304" t="s">
        <v>2877</v>
      </c>
      <c r="D112" s="304" t="s">
        <v>2878</v>
      </c>
      <c r="E112" s="304" t="s">
        <v>2879</v>
      </c>
      <c r="F112" s="298">
        <v>45135.0</v>
      </c>
      <c r="G112" s="298">
        <f t="shared" ref="G112:G114" si="23">DATE(YEAR(F112)+1,MONTH(F112),DAY(F112))</f>
        <v>45501</v>
      </c>
      <c r="H112" s="300" t="s">
        <v>2606</v>
      </c>
      <c r="I112" s="303">
        <f t="shared" ref="I112:I114" si="24">TODAY()-G112</f>
        <v>610</v>
      </c>
      <c r="J112" s="300" t="s">
        <v>2607</v>
      </c>
      <c r="K112" s="300" t="s">
        <v>2608</v>
      </c>
      <c r="L112" s="300" t="s">
        <v>2604</v>
      </c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302" t="str">
        <f t="shared" si="22"/>
        <v>VENCIDA</v>
      </c>
      <c r="B113" s="320" t="s">
        <v>2880</v>
      </c>
      <c r="C113" s="304" t="s">
        <v>2881</v>
      </c>
      <c r="D113" s="304" t="s">
        <v>2882</v>
      </c>
      <c r="E113" s="304" t="s">
        <v>2883</v>
      </c>
      <c r="F113" s="298">
        <v>45137.0</v>
      </c>
      <c r="G113" s="298">
        <f t="shared" si="23"/>
        <v>45503</v>
      </c>
      <c r="H113" s="300" t="s">
        <v>2606</v>
      </c>
      <c r="I113" s="303">
        <f t="shared" si="24"/>
        <v>608</v>
      </c>
      <c r="J113" s="300" t="s">
        <v>2607</v>
      </c>
      <c r="K113" s="300" t="s">
        <v>2608</v>
      </c>
      <c r="L113" s="300" t="s">
        <v>2604</v>
      </c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302" t="str">
        <f t="shared" si="22"/>
        <v>VENCIDA</v>
      </c>
      <c r="B114" s="320" t="s">
        <v>2884</v>
      </c>
      <c r="C114" s="304" t="s">
        <v>2885</v>
      </c>
      <c r="D114" s="304" t="s">
        <v>2886</v>
      </c>
      <c r="E114" s="304" t="s">
        <v>2887</v>
      </c>
      <c r="F114" s="298">
        <v>45229.0</v>
      </c>
      <c r="G114" s="298">
        <f t="shared" si="23"/>
        <v>45595</v>
      </c>
      <c r="H114" s="300" t="s">
        <v>2606</v>
      </c>
      <c r="I114" s="303">
        <f t="shared" si="24"/>
        <v>516</v>
      </c>
      <c r="J114" s="300" t="s">
        <v>2607</v>
      </c>
      <c r="K114" s="300" t="s">
        <v>2608</v>
      </c>
      <c r="L114" s="300" t="s">
        <v>2604</v>
      </c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300" t="s">
        <v>1207</v>
      </c>
      <c r="B115" s="320" t="s">
        <v>2888</v>
      </c>
      <c r="C115" s="304" t="s">
        <v>2889</v>
      </c>
      <c r="D115" s="304" t="s">
        <v>925</v>
      </c>
      <c r="E115" s="304" t="s">
        <v>926</v>
      </c>
      <c r="F115" s="300" t="s">
        <v>1207</v>
      </c>
      <c r="G115" s="300" t="s">
        <v>1207</v>
      </c>
      <c r="H115" s="300" t="s">
        <v>1207</v>
      </c>
      <c r="I115" s="300" t="s">
        <v>1207</v>
      </c>
      <c r="J115" s="300" t="s">
        <v>1207</v>
      </c>
      <c r="K115" s="300" t="s">
        <v>1207</v>
      </c>
      <c r="L115" s="300" t="s">
        <v>1207</v>
      </c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305" t="str">
        <f t="shared" ref="A116:A119" si="25">IF(G116&lt;TODAY(),"VENCIDA",IF(G116=TODAY(),"HOY","VIGENTE "&amp;G116-TODAY()&amp;" DÍAS"))</f>
        <v>VIGENTE 222 DÍAS</v>
      </c>
      <c r="B116" s="320" t="s">
        <v>2102</v>
      </c>
      <c r="C116" s="304" t="s">
        <v>2890</v>
      </c>
      <c r="D116" s="304" t="s">
        <v>256</v>
      </c>
      <c r="E116" s="304" t="s">
        <v>257</v>
      </c>
      <c r="F116" s="298">
        <v>45968.0</v>
      </c>
      <c r="G116" s="298">
        <f t="shared" ref="G116:G119" si="26">DATE(YEAR(F116)+1,MONTH(F116),DAY(F116))</f>
        <v>46333</v>
      </c>
      <c r="H116" s="300" t="s">
        <v>2616</v>
      </c>
      <c r="I116" s="306">
        <f t="shared" ref="I116:I119" si="27">TODAY()-G116</f>
        <v>-222</v>
      </c>
      <c r="J116" s="300" t="s">
        <v>2603</v>
      </c>
      <c r="K116" s="300" t="s">
        <v>2617</v>
      </c>
      <c r="L116" s="300" t="s">
        <v>2604</v>
      </c>
      <c r="M116" s="94"/>
      <c r="N116" s="94" t="s">
        <v>2891</v>
      </c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302" t="str">
        <f t="shared" si="25"/>
        <v>VENCIDA</v>
      </c>
      <c r="B117" s="320" t="s">
        <v>2892</v>
      </c>
      <c r="C117" s="304" t="s">
        <v>2893</v>
      </c>
      <c r="D117" s="304" t="s">
        <v>2894</v>
      </c>
      <c r="E117" s="304" t="s">
        <v>2895</v>
      </c>
      <c r="F117" s="298">
        <v>45146.0</v>
      </c>
      <c r="G117" s="298">
        <f t="shared" si="26"/>
        <v>45512</v>
      </c>
      <c r="H117" s="300" t="s">
        <v>2606</v>
      </c>
      <c r="I117" s="303">
        <f t="shared" si="27"/>
        <v>599</v>
      </c>
      <c r="J117" s="300" t="s">
        <v>2607</v>
      </c>
      <c r="K117" s="300" t="s">
        <v>2608</v>
      </c>
      <c r="L117" s="300" t="s">
        <v>2604</v>
      </c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302" t="str">
        <f t="shared" si="25"/>
        <v>VENCIDA</v>
      </c>
      <c r="B118" s="320" t="s">
        <v>2896</v>
      </c>
      <c r="C118" s="304" t="s">
        <v>2897</v>
      </c>
      <c r="D118" s="304" t="s">
        <v>2898</v>
      </c>
      <c r="E118" s="304" t="s">
        <v>2899</v>
      </c>
      <c r="F118" s="298">
        <v>45160.0</v>
      </c>
      <c r="G118" s="298">
        <f t="shared" si="26"/>
        <v>45526</v>
      </c>
      <c r="H118" s="300" t="s">
        <v>2606</v>
      </c>
      <c r="I118" s="303">
        <f t="shared" si="27"/>
        <v>585</v>
      </c>
      <c r="J118" s="300" t="s">
        <v>2607</v>
      </c>
      <c r="K118" s="300" t="s">
        <v>2608</v>
      </c>
      <c r="L118" s="300" t="s">
        <v>2604</v>
      </c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302" t="str">
        <f t="shared" si="25"/>
        <v>VENCIDA</v>
      </c>
      <c r="B119" s="320" t="s">
        <v>2900</v>
      </c>
      <c r="C119" s="304" t="s">
        <v>2901</v>
      </c>
      <c r="D119" s="304" t="s">
        <v>2902</v>
      </c>
      <c r="E119" s="304" t="s">
        <v>2903</v>
      </c>
      <c r="F119" s="298">
        <v>45173.0</v>
      </c>
      <c r="G119" s="298">
        <f t="shared" si="26"/>
        <v>45539</v>
      </c>
      <c r="H119" s="300" t="s">
        <v>2606</v>
      </c>
      <c r="I119" s="303">
        <f t="shared" si="27"/>
        <v>572</v>
      </c>
      <c r="J119" s="300" t="s">
        <v>2607</v>
      </c>
      <c r="K119" s="300" t="s">
        <v>2608</v>
      </c>
      <c r="L119" s="300" t="s">
        <v>2604</v>
      </c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300" t="s">
        <v>1207</v>
      </c>
      <c r="B120" s="320" t="s">
        <v>2904</v>
      </c>
      <c r="C120" s="304" t="s">
        <v>2905</v>
      </c>
      <c r="D120" s="304" t="s">
        <v>2906</v>
      </c>
      <c r="E120" s="304" t="s">
        <v>2907</v>
      </c>
      <c r="F120" s="325" t="s">
        <v>1207</v>
      </c>
      <c r="G120" s="325" t="s">
        <v>1207</v>
      </c>
      <c r="H120" s="300" t="s">
        <v>1207</v>
      </c>
      <c r="I120" s="300" t="s">
        <v>1207</v>
      </c>
      <c r="J120" s="300" t="s">
        <v>1207</v>
      </c>
      <c r="K120" s="300" t="s">
        <v>1207</v>
      </c>
      <c r="L120" s="300" t="s">
        <v>1207</v>
      </c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302" t="str">
        <f>IF(G121&lt;TODAY(),"VENCIDA",IF(G121=TODAY(),"HOY","VIGENTE "&amp;G121-TODAY()&amp;" DÍAS"))</f>
        <v>VENCIDA</v>
      </c>
      <c r="B121" s="320" t="s">
        <v>2908</v>
      </c>
      <c r="C121" s="304" t="s">
        <v>2909</v>
      </c>
      <c r="D121" s="304" t="s">
        <v>2910</v>
      </c>
      <c r="E121" s="304" t="s">
        <v>2911</v>
      </c>
      <c r="F121" s="298">
        <v>45174.0</v>
      </c>
      <c r="G121" s="298">
        <f>DATE(YEAR(F121)+1,MONTH(F121),DAY(F121))</f>
        <v>45540</v>
      </c>
      <c r="H121" s="300" t="s">
        <v>2606</v>
      </c>
      <c r="I121" s="303">
        <f>TODAY()-G121</f>
        <v>571</v>
      </c>
      <c r="J121" s="300" t="s">
        <v>2607</v>
      </c>
      <c r="K121" s="300" t="s">
        <v>2608</v>
      </c>
      <c r="L121" s="300" t="s">
        <v>2604</v>
      </c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300" t="s">
        <v>1207</v>
      </c>
      <c r="B122" s="320" t="s">
        <v>2912</v>
      </c>
      <c r="C122" s="304" t="s">
        <v>2913</v>
      </c>
      <c r="D122" s="304" t="s">
        <v>2914</v>
      </c>
      <c r="E122" s="304" t="s">
        <v>2915</v>
      </c>
      <c r="F122" s="300" t="s">
        <v>1207</v>
      </c>
      <c r="G122" s="300" t="s">
        <v>1207</v>
      </c>
      <c r="H122" s="300" t="s">
        <v>1207</v>
      </c>
      <c r="I122" s="300" t="s">
        <v>1207</v>
      </c>
      <c r="J122" s="300" t="s">
        <v>1207</v>
      </c>
      <c r="K122" s="300" t="s">
        <v>1207</v>
      </c>
      <c r="L122" s="300" t="s">
        <v>1207</v>
      </c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302" t="str">
        <f t="shared" ref="A123:A125" si="28">IF(G123&lt;TODAY(),"VENCIDA",IF(G123=TODAY(),"HOY","VIGENTE "&amp;G123-TODAY()&amp;" DÍAS"))</f>
        <v>VENCIDA</v>
      </c>
      <c r="B123" s="320" t="s">
        <v>2916</v>
      </c>
      <c r="C123" s="304" t="s">
        <v>2917</v>
      </c>
      <c r="D123" s="304" t="s">
        <v>2918</v>
      </c>
      <c r="E123" s="304" t="s">
        <v>2919</v>
      </c>
      <c r="F123" s="298">
        <v>45181.0</v>
      </c>
      <c r="G123" s="298">
        <f t="shared" ref="G123:G125" si="29">DATE(YEAR(F123)+1,MONTH(F123),DAY(F123))</f>
        <v>45547</v>
      </c>
      <c r="H123" s="300" t="s">
        <v>2606</v>
      </c>
      <c r="I123" s="303">
        <f t="shared" ref="I123:I125" si="30">TODAY()-G123</f>
        <v>564</v>
      </c>
      <c r="J123" s="300" t="s">
        <v>2607</v>
      </c>
      <c r="K123" s="300" t="s">
        <v>2608</v>
      </c>
      <c r="L123" s="300" t="s">
        <v>2604</v>
      </c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302" t="str">
        <f t="shared" si="28"/>
        <v>VENCIDA</v>
      </c>
      <c r="B124" s="320" t="s">
        <v>2920</v>
      </c>
      <c r="C124" s="304" t="s">
        <v>2921</v>
      </c>
      <c r="D124" s="304" t="s">
        <v>2922</v>
      </c>
      <c r="E124" s="304" t="s">
        <v>2923</v>
      </c>
      <c r="F124" s="298">
        <v>45194.0</v>
      </c>
      <c r="G124" s="298">
        <f t="shared" si="29"/>
        <v>45560</v>
      </c>
      <c r="H124" s="300" t="s">
        <v>2606</v>
      </c>
      <c r="I124" s="303">
        <f t="shared" si="30"/>
        <v>551</v>
      </c>
      <c r="J124" s="300" t="s">
        <v>2607</v>
      </c>
      <c r="K124" s="300" t="s">
        <v>2608</v>
      </c>
      <c r="L124" s="300" t="s">
        <v>2604</v>
      </c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302" t="str">
        <f t="shared" si="28"/>
        <v>VENCIDA</v>
      </c>
      <c r="B125" s="320" t="s">
        <v>2924</v>
      </c>
      <c r="C125" s="304" t="s">
        <v>2925</v>
      </c>
      <c r="D125" s="304" t="s">
        <v>2926</v>
      </c>
      <c r="E125" s="304" t="s">
        <v>2927</v>
      </c>
      <c r="F125" s="298">
        <v>45175.0</v>
      </c>
      <c r="G125" s="298">
        <f t="shared" si="29"/>
        <v>45541</v>
      </c>
      <c r="H125" s="300" t="s">
        <v>2606</v>
      </c>
      <c r="I125" s="303">
        <f t="shared" si="30"/>
        <v>570</v>
      </c>
      <c r="J125" s="300" t="s">
        <v>2607</v>
      </c>
      <c r="K125" s="300" t="s">
        <v>2608</v>
      </c>
      <c r="L125" s="300" t="s">
        <v>2604</v>
      </c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300" t="s">
        <v>1207</v>
      </c>
      <c r="B126" s="320" t="s">
        <v>2928</v>
      </c>
      <c r="C126" s="304" t="s">
        <v>2929</v>
      </c>
      <c r="D126" s="304" t="s">
        <v>2930</v>
      </c>
      <c r="E126" s="304" t="s">
        <v>2931</v>
      </c>
      <c r="F126" s="300" t="s">
        <v>1207</v>
      </c>
      <c r="G126" s="300" t="s">
        <v>1207</v>
      </c>
      <c r="H126" s="300" t="s">
        <v>1207</v>
      </c>
      <c r="I126" s="300" t="s">
        <v>1207</v>
      </c>
      <c r="J126" s="300" t="s">
        <v>1207</v>
      </c>
      <c r="K126" s="300" t="s">
        <v>1207</v>
      </c>
      <c r="L126" s="300" t="s">
        <v>1207</v>
      </c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302" t="str">
        <f t="shared" ref="A127:A129" si="31">IF(G127&lt;TODAY(),"VENCIDA",IF(G127=TODAY(),"HOY","VIGENTE "&amp;G127-TODAY()&amp;" DÍAS"))</f>
        <v>VENCIDA</v>
      </c>
      <c r="B127" s="320" t="s">
        <v>2932</v>
      </c>
      <c r="C127" s="304" t="s">
        <v>2933</v>
      </c>
      <c r="D127" s="304" t="s">
        <v>2934</v>
      </c>
      <c r="E127" s="304" t="s">
        <v>2935</v>
      </c>
      <c r="F127" s="298">
        <v>45198.0</v>
      </c>
      <c r="G127" s="298">
        <f t="shared" ref="G127:G129" si="32">DATE(YEAR(F127)+1,MONTH(F127),DAY(F127))</f>
        <v>45564</v>
      </c>
      <c r="H127" s="300" t="s">
        <v>2606</v>
      </c>
      <c r="I127" s="303">
        <f t="shared" ref="I127:I129" si="33">TODAY()-G127</f>
        <v>547</v>
      </c>
      <c r="J127" s="300" t="s">
        <v>2607</v>
      </c>
      <c r="K127" s="300" t="s">
        <v>2608</v>
      </c>
      <c r="L127" s="300" t="s">
        <v>2604</v>
      </c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302" t="str">
        <f t="shared" si="31"/>
        <v>VENCIDA</v>
      </c>
      <c r="B128" s="320" t="s">
        <v>2936</v>
      </c>
      <c r="C128" s="304" t="s">
        <v>2937</v>
      </c>
      <c r="D128" s="304" t="s">
        <v>2938</v>
      </c>
      <c r="E128" s="304" t="s">
        <v>2939</v>
      </c>
      <c r="F128" s="298">
        <v>45246.0</v>
      </c>
      <c r="G128" s="298">
        <f t="shared" si="32"/>
        <v>45612</v>
      </c>
      <c r="H128" s="300" t="s">
        <v>2606</v>
      </c>
      <c r="I128" s="303">
        <f t="shared" si="33"/>
        <v>499</v>
      </c>
      <c r="J128" s="300" t="s">
        <v>2607</v>
      </c>
      <c r="K128" s="300" t="s">
        <v>2608</v>
      </c>
      <c r="L128" s="300" t="s">
        <v>2604</v>
      </c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302" t="str">
        <f t="shared" si="31"/>
        <v>VENCIDA</v>
      </c>
      <c r="B129" s="320" t="s">
        <v>2940</v>
      </c>
      <c r="C129" s="304" t="s">
        <v>2941</v>
      </c>
      <c r="D129" s="304" t="s">
        <v>2942</v>
      </c>
      <c r="E129" s="304" t="s">
        <v>2939</v>
      </c>
      <c r="F129" s="298">
        <v>45203.0</v>
      </c>
      <c r="G129" s="298">
        <f t="shared" si="32"/>
        <v>45569</v>
      </c>
      <c r="H129" s="300" t="s">
        <v>2606</v>
      </c>
      <c r="I129" s="303">
        <f t="shared" si="33"/>
        <v>542</v>
      </c>
      <c r="J129" s="300" t="s">
        <v>2607</v>
      </c>
      <c r="K129" s="300" t="s">
        <v>2608</v>
      </c>
      <c r="L129" s="300" t="s">
        <v>2604</v>
      </c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300" t="s">
        <v>1207</v>
      </c>
      <c r="B130" s="320" t="s">
        <v>2943</v>
      </c>
      <c r="C130" s="304" t="s">
        <v>2944</v>
      </c>
      <c r="D130" s="304" t="s">
        <v>2945</v>
      </c>
      <c r="E130" s="304" t="s">
        <v>2946</v>
      </c>
      <c r="F130" s="300" t="s">
        <v>1207</v>
      </c>
      <c r="G130" s="300" t="s">
        <v>1207</v>
      </c>
      <c r="H130" s="300" t="s">
        <v>1207</v>
      </c>
      <c r="I130" s="300" t="s">
        <v>1207</v>
      </c>
      <c r="J130" s="300" t="s">
        <v>1207</v>
      </c>
      <c r="K130" s="300" t="s">
        <v>1207</v>
      </c>
      <c r="L130" s="300" t="s">
        <v>1207</v>
      </c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302" t="str">
        <f t="shared" ref="A131:A137" si="34">IF(G131&lt;TODAY(),"VENCIDA",IF(G131=TODAY(),"HOY","VIGENTE "&amp;G131-TODAY()&amp;" DÍAS"))</f>
        <v>VENCIDA</v>
      </c>
      <c r="B131" s="320" t="s">
        <v>2947</v>
      </c>
      <c r="C131" s="304" t="s">
        <v>2948</v>
      </c>
      <c r="D131" s="304" t="s">
        <v>2949</v>
      </c>
      <c r="E131" s="304" t="s">
        <v>2950</v>
      </c>
      <c r="F131" s="298">
        <v>45215.0</v>
      </c>
      <c r="G131" s="298">
        <f t="shared" ref="G131:G137" si="35">DATE(YEAR(F131)+1,MONTH(F131),DAY(F131))</f>
        <v>45581</v>
      </c>
      <c r="H131" s="300" t="s">
        <v>2606</v>
      </c>
      <c r="I131" s="303">
        <f t="shared" ref="I131:I137" si="36">TODAY()-G131</f>
        <v>530</v>
      </c>
      <c r="J131" s="300" t="s">
        <v>2607</v>
      </c>
      <c r="K131" s="300" t="s">
        <v>2608</v>
      </c>
      <c r="L131" s="300" t="s">
        <v>2604</v>
      </c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305" t="str">
        <f t="shared" si="34"/>
        <v>VIGENTE 213 DÍAS</v>
      </c>
      <c r="B132" s="320" t="s">
        <v>2951</v>
      </c>
      <c r="C132" s="304" t="s">
        <v>2952</v>
      </c>
      <c r="D132" s="304" t="s">
        <v>2953</v>
      </c>
      <c r="E132" s="304" t="s">
        <v>2954</v>
      </c>
      <c r="F132" s="308">
        <v>45959.0</v>
      </c>
      <c r="G132" s="298">
        <f t="shared" si="35"/>
        <v>46324</v>
      </c>
      <c r="H132" s="304" t="s">
        <v>2178</v>
      </c>
      <c r="I132" s="306">
        <f t="shared" si="36"/>
        <v>-213</v>
      </c>
      <c r="J132" s="300" t="s">
        <v>2603</v>
      </c>
      <c r="K132" s="300" t="s">
        <v>2178</v>
      </c>
      <c r="L132" s="300" t="s">
        <v>2604</v>
      </c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302" t="str">
        <f t="shared" si="34"/>
        <v>VENCIDA</v>
      </c>
      <c r="B133" s="320" t="s">
        <v>2955</v>
      </c>
      <c r="C133" s="304" t="s">
        <v>2956</v>
      </c>
      <c r="D133" s="304" t="s">
        <v>2957</v>
      </c>
      <c r="E133" s="304" t="s">
        <v>2887</v>
      </c>
      <c r="F133" s="298">
        <v>45216.0</v>
      </c>
      <c r="G133" s="298">
        <f t="shared" si="35"/>
        <v>45582</v>
      </c>
      <c r="H133" s="300" t="s">
        <v>2606</v>
      </c>
      <c r="I133" s="303">
        <f t="shared" si="36"/>
        <v>529</v>
      </c>
      <c r="J133" s="300" t="s">
        <v>2607</v>
      </c>
      <c r="K133" s="300" t="s">
        <v>2608</v>
      </c>
      <c r="L133" s="300" t="s">
        <v>2604</v>
      </c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302" t="str">
        <f t="shared" si="34"/>
        <v>VENCIDA</v>
      </c>
      <c r="B134" s="320" t="s">
        <v>2958</v>
      </c>
      <c r="C134" s="304" t="s">
        <v>2959</v>
      </c>
      <c r="D134" s="304" t="s">
        <v>2960</v>
      </c>
      <c r="E134" s="304" t="s">
        <v>2961</v>
      </c>
      <c r="F134" s="298">
        <v>45223.0</v>
      </c>
      <c r="G134" s="298">
        <f t="shared" si="35"/>
        <v>45589</v>
      </c>
      <c r="H134" s="300" t="s">
        <v>2606</v>
      </c>
      <c r="I134" s="303">
        <f t="shared" si="36"/>
        <v>522</v>
      </c>
      <c r="J134" s="300" t="s">
        <v>2607</v>
      </c>
      <c r="K134" s="300" t="s">
        <v>2608</v>
      </c>
      <c r="L134" s="300" t="s">
        <v>2604</v>
      </c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302" t="str">
        <f t="shared" si="34"/>
        <v>VENCIDA</v>
      </c>
      <c r="B135" s="320" t="s">
        <v>2962</v>
      </c>
      <c r="C135" s="304" t="s">
        <v>2963</v>
      </c>
      <c r="D135" s="304" t="s">
        <v>2964</v>
      </c>
      <c r="E135" s="304" t="s">
        <v>2965</v>
      </c>
      <c r="F135" s="298">
        <v>45237.0</v>
      </c>
      <c r="G135" s="298">
        <f t="shared" si="35"/>
        <v>45603</v>
      </c>
      <c r="H135" s="300" t="s">
        <v>2606</v>
      </c>
      <c r="I135" s="303">
        <f t="shared" si="36"/>
        <v>508</v>
      </c>
      <c r="J135" s="300" t="s">
        <v>2607</v>
      </c>
      <c r="K135" s="300" t="s">
        <v>2608</v>
      </c>
      <c r="L135" s="300" t="s">
        <v>2604</v>
      </c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302" t="str">
        <f t="shared" si="34"/>
        <v>VENCIDA</v>
      </c>
      <c r="B136" s="320" t="s">
        <v>2966</v>
      </c>
      <c r="C136" s="304" t="s">
        <v>2967</v>
      </c>
      <c r="D136" s="304" t="s">
        <v>2968</v>
      </c>
      <c r="E136" s="304" t="s">
        <v>2969</v>
      </c>
      <c r="F136" s="298">
        <v>45238.0</v>
      </c>
      <c r="G136" s="298">
        <f t="shared" si="35"/>
        <v>45604</v>
      </c>
      <c r="H136" s="300" t="s">
        <v>2606</v>
      </c>
      <c r="I136" s="303">
        <f t="shared" si="36"/>
        <v>507</v>
      </c>
      <c r="J136" s="300" t="s">
        <v>2607</v>
      </c>
      <c r="K136" s="300" t="s">
        <v>2608</v>
      </c>
      <c r="L136" s="300" t="s">
        <v>2604</v>
      </c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302" t="str">
        <f t="shared" si="34"/>
        <v>VENCIDA</v>
      </c>
      <c r="B137" s="320" t="s">
        <v>2970</v>
      </c>
      <c r="C137" s="304" t="s">
        <v>2971</v>
      </c>
      <c r="D137" s="304" t="s">
        <v>2972</v>
      </c>
      <c r="E137" s="304" t="s">
        <v>2973</v>
      </c>
      <c r="F137" s="298">
        <v>45240.0</v>
      </c>
      <c r="G137" s="298">
        <f t="shared" si="35"/>
        <v>45606</v>
      </c>
      <c r="H137" s="300" t="s">
        <v>2606</v>
      </c>
      <c r="I137" s="303">
        <f t="shared" si="36"/>
        <v>505</v>
      </c>
      <c r="J137" s="300" t="s">
        <v>2607</v>
      </c>
      <c r="K137" s="300" t="s">
        <v>2608</v>
      </c>
      <c r="L137" s="300" t="s">
        <v>2604</v>
      </c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300" t="s">
        <v>1207</v>
      </c>
      <c r="B138" s="320" t="s">
        <v>2974</v>
      </c>
      <c r="C138" s="304" t="s">
        <v>2975</v>
      </c>
      <c r="D138" s="304" t="s">
        <v>2976</v>
      </c>
      <c r="E138" s="304" t="s">
        <v>2977</v>
      </c>
      <c r="F138" s="300" t="s">
        <v>1207</v>
      </c>
      <c r="G138" s="300" t="s">
        <v>1207</v>
      </c>
      <c r="H138" s="300" t="s">
        <v>1207</v>
      </c>
      <c r="I138" s="300" t="s">
        <v>1207</v>
      </c>
      <c r="J138" s="300" t="s">
        <v>1207</v>
      </c>
      <c r="K138" s="300" t="s">
        <v>1207</v>
      </c>
      <c r="L138" s="300" t="s">
        <v>1207</v>
      </c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302" t="str">
        <f t="shared" ref="A139:A144" si="37">IF(G139&lt;TODAY(),"VENCIDA",IF(G139=TODAY(),"HOY","VIGENTE "&amp;G139-TODAY()&amp;" DÍAS"))</f>
        <v>VENCIDA</v>
      </c>
      <c r="B139" s="320" t="s">
        <v>2978</v>
      </c>
      <c r="C139" s="304" t="s">
        <v>2979</v>
      </c>
      <c r="D139" s="304" t="s">
        <v>2980</v>
      </c>
      <c r="E139" s="304" t="s">
        <v>2981</v>
      </c>
      <c r="F139" s="298">
        <v>45254.0</v>
      </c>
      <c r="G139" s="298">
        <f t="shared" ref="G139:G144" si="38">DATE(YEAR(F139)+1,MONTH(F139),DAY(F139))</f>
        <v>45620</v>
      </c>
      <c r="H139" s="300" t="s">
        <v>2606</v>
      </c>
      <c r="I139" s="303">
        <f t="shared" ref="I139:I144" si="39">TODAY()-G139</f>
        <v>491</v>
      </c>
      <c r="J139" s="300" t="s">
        <v>2607</v>
      </c>
      <c r="K139" s="300" t="s">
        <v>2608</v>
      </c>
      <c r="L139" s="300" t="s">
        <v>2609</v>
      </c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302" t="str">
        <f t="shared" si="37"/>
        <v>VENCIDA</v>
      </c>
      <c r="B140" s="320" t="s">
        <v>2982</v>
      </c>
      <c r="C140" s="304" t="s">
        <v>2983</v>
      </c>
      <c r="D140" s="304" t="s">
        <v>2984</v>
      </c>
      <c r="E140" s="304" t="s">
        <v>2985</v>
      </c>
      <c r="F140" s="298">
        <v>45252.0</v>
      </c>
      <c r="G140" s="298">
        <f t="shared" si="38"/>
        <v>45618</v>
      </c>
      <c r="H140" s="300" t="s">
        <v>2606</v>
      </c>
      <c r="I140" s="303">
        <f t="shared" si="39"/>
        <v>493</v>
      </c>
      <c r="J140" s="300" t="s">
        <v>2607</v>
      </c>
      <c r="K140" s="300" t="s">
        <v>2608</v>
      </c>
      <c r="L140" s="300" t="s">
        <v>2604</v>
      </c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302" t="str">
        <f t="shared" si="37"/>
        <v>VENCIDA</v>
      </c>
      <c r="B141" s="320" t="s">
        <v>2986</v>
      </c>
      <c r="C141" s="304" t="s">
        <v>2987</v>
      </c>
      <c r="D141" s="304" t="s">
        <v>2988</v>
      </c>
      <c r="E141" s="304" t="s">
        <v>2989</v>
      </c>
      <c r="F141" s="298">
        <v>45278.0</v>
      </c>
      <c r="G141" s="298">
        <f t="shared" si="38"/>
        <v>45644</v>
      </c>
      <c r="H141" s="300" t="s">
        <v>2606</v>
      </c>
      <c r="I141" s="303">
        <f t="shared" si="39"/>
        <v>467</v>
      </c>
      <c r="J141" s="300" t="s">
        <v>2607</v>
      </c>
      <c r="K141" s="300" t="s">
        <v>2608</v>
      </c>
      <c r="L141" s="300" t="s">
        <v>2609</v>
      </c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302" t="str">
        <f t="shared" si="37"/>
        <v>VENCIDA</v>
      </c>
      <c r="B142" s="320" t="s">
        <v>2990</v>
      </c>
      <c r="C142" s="304" t="s">
        <v>2991</v>
      </c>
      <c r="D142" s="304" t="s">
        <v>2992</v>
      </c>
      <c r="E142" s="304" t="s">
        <v>2993</v>
      </c>
      <c r="F142" s="298">
        <v>45296.0</v>
      </c>
      <c r="G142" s="298">
        <f t="shared" si="38"/>
        <v>45662</v>
      </c>
      <c r="H142" s="300" t="s">
        <v>2606</v>
      </c>
      <c r="I142" s="303">
        <f t="shared" si="39"/>
        <v>449</v>
      </c>
      <c r="J142" s="300" t="s">
        <v>2607</v>
      </c>
      <c r="K142" s="300" t="s">
        <v>2608</v>
      </c>
      <c r="L142" s="300" t="s">
        <v>2609</v>
      </c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302" t="str">
        <f t="shared" si="37"/>
        <v>VENCIDA</v>
      </c>
      <c r="B143" s="320" t="s">
        <v>2994</v>
      </c>
      <c r="C143" s="304" t="s">
        <v>2995</v>
      </c>
      <c r="D143" s="304" t="s">
        <v>1184</v>
      </c>
      <c r="E143" s="304" t="s">
        <v>1185</v>
      </c>
      <c r="F143" s="298">
        <v>45343.0</v>
      </c>
      <c r="G143" s="298">
        <f t="shared" si="38"/>
        <v>45709</v>
      </c>
      <c r="H143" s="300" t="s">
        <v>2606</v>
      </c>
      <c r="I143" s="303">
        <f t="shared" si="39"/>
        <v>402</v>
      </c>
      <c r="J143" s="300" t="s">
        <v>2607</v>
      </c>
      <c r="K143" s="300" t="s">
        <v>2608</v>
      </c>
      <c r="L143" s="300" t="s">
        <v>2604</v>
      </c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302" t="str">
        <f t="shared" si="37"/>
        <v>VENCIDA</v>
      </c>
      <c r="B144" s="320" t="s">
        <v>2996</v>
      </c>
      <c r="C144" s="304" t="s">
        <v>2997</v>
      </c>
      <c r="D144" s="304" t="s">
        <v>2998</v>
      </c>
      <c r="E144" s="304" t="s">
        <v>2289</v>
      </c>
      <c r="F144" s="298">
        <v>45343.0</v>
      </c>
      <c r="G144" s="298">
        <f t="shared" si="38"/>
        <v>45709</v>
      </c>
      <c r="H144" s="300" t="s">
        <v>2606</v>
      </c>
      <c r="I144" s="303">
        <f t="shared" si="39"/>
        <v>402</v>
      </c>
      <c r="J144" s="300" t="s">
        <v>2607</v>
      </c>
      <c r="K144" s="300" t="s">
        <v>2608</v>
      </c>
      <c r="L144" s="300" t="s">
        <v>2604</v>
      </c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300" t="s">
        <v>1207</v>
      </c>
      <c r="B145" s="320" t="s">
        <v>2999</v>
      </c>
      <c r="C145" s="304" t="s">
        <v>3000</v>
      </c>
      <c r="D145" s="304" t="s">
        <v>3001</v>
      </c>
      <c r="E145" s="304" t="s">
        <v>3002</v>
      </c>
      <c r="F145" s="300" t="s">
        <v>1207</v>
      </c>
      <c r="G145" s="300" t="s">
        <v>1207</v>
      </c>
      <c r="H145" s="300" t="s">
        <v>1207</v>
      </c>
      <c r="I145" s="300" t="s">
        <v>1207</v>
      </c>
      <c r="J145" s="300" t="s">
        <v>1207</v>
      </c>
      <c r="K145" s="300" t="s">
        <v>1207</v>
      </c>
      <c r="L145" s="300" t="s">
        <v>2609</v>
      </c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302" t="str">
        <f t="shared" ref="A146:A148" si="40">IF(G146&lt;TODAY(),"VENCIDA",IF(G146=TODAY(),"HOY","VIGENTE "&amp;G146-TODAY()&amp;" DÍAS"))</f>
        <v>VENCIDA</v>
      </c>
      <c r="B146" s="320" t="s">
        <v>3003</v>
      </c>
      <c r="C146" s="304" t="s">
        <v>3004</v>
      </c>
      <c r="D146" s="304" t="s">
        <v>3005</v>
      </c>
      <c r="E146" s="304" t="s">
        <v>3006</v>
      </c>
      <c r="F146" s="298">
        <v>45379.0</v>
      </c>
      <c r="G146" s="298">
        <f t="shared" ref="G146:G148" si="41">DATE(YEAR(F146)+1,MONTH(F146),DAY(F146))</f>
        <v>45744</v>
      </c>
      <c r="H146" s="300" t="s">
        <v>2606</v>
      </c>
      <c r="I146" s="303">
        <f t="shared" ref="I146:I148" si="42">TODAY()-G146</f>
        <v>367</v>
      </c>
      <c r="J146" s="300" t="s">
        <v>2607</v>
      </c>
      <c r="K146" s="300" t="s">
        <v>2608</v>
      </c>
      <c r="L146" s="300" t="s">
        <v>2604</v>
      </c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302" t="str">
        <f t="shared" si="40"/>
        <v>VENCIDA</v>
      </c>
      <c r="B147" s="320" t="s">
        <v>3007</v>
      </c>
      <c r="C147" s="304" t="s">
        <v>3008</v>
      </c>
      <c r="D147" s="304" t="s">
        <v>3009</v>
      </c>
      <c r="E147" s="304" t="s">
        <v>3010</v>
      </c>
      <c r="F147" s="298">
        <v>45392.0</v>
      </c>
      <c r="G147" s="298">
        <f t="shared" si="41"/>
        <v>45757</v>
      </c>
      <c r="H147" s="300" t="s">
        <v>2606</v>
      </c>
      <c r="I147" s="303">
        <f t="shared" si="42"/>
        <v>354</v>
      </c>
      <c r="J147" s="300" t="s">
        <v>2607</v>
      </c>
      <c r="K147" s="300" t="s">
        <v>2608</v>
      </c>
      <c r="L147" s="300" t="s">
        <v>2604</v>
      </c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305" t="str">
        <f t="shared" si="40"/>
        <v>VIGENTE 2 DÍAS</v>
      </c>
      <c r="B148" s="320" t="s">
        <v>3011</v>
      </c>
      <c r="C148" s="304" t="s">
        <v>3012</v>
      </c>
      <c r="D148" s="304" t="s">
        <v>3013</v>
      </c>
      <c r="E148" s="304" t="s">
        <v>3014</v>
      </c>
      <c r="F148" s="298">
        <v>45748.0</v>
      </c>
      <c r="G148" s="298">
        <f t="shared" si="41"/>
        <v>46113</v>
      </c>
      <c r="H148" s="317" t="s">
        <v>3015</v>
      </c>
      <c r="I148" s="306">
        <f t="shared" si="42"/>
        <v>-2</v>
      </c>
      <c r="J148" s="300" t="s">
        <v>2607</v>
      </c>
      <c r="K148" s="300" t="s">
        <v>2617</v>
      </c>
      <c r="L148" s="300" t="s">
        <v>2604</v>
      </c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300" t="s">
        <v>1207</v>
      </c>
      <c r="B149" s="320" t="s">
        <v>3016</v>
      </c>
      <c r="C149" s="304" t="s">
        <v>3017</v>
      </c>
      <c r="D149" s="304" t="s">
        <v>3018</v>
      </c>
      <c r="E149" s="304" t="s">
        <v>3019</v>
      </c>
      <c r="F149" s="300" t="s">
        <v>1207</v>
      </c>
      <c r="G149" s="300" t="s">
        <v>1207</v>
      </c>
      <c r="H149" s="300" t="s">
        <v>1207</v>
      </c>
      <c r="I149" s="300" t="s">
        <v>1207</v>
      </c>
      <c r="J149" s="300" t="s">
        <v>1207</v>
      </c>
      <c r="K149" s="300" t="s">
        <v>1207</v>
      </c>
      <c r="L149" s="300" t="s">
        <v>1207</v>
      </c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302" t="str">
        <f t="shared" ref="A150:A161" si="43">IF(G150&lt;TODAY(),"VENCIDA",IF(G150=TODAY(),"HOY","VIGENTE "&amp;G150-TODAY()&amp;" DÍAS"))</f>
        <v>VENCIDA</v>
      </c>
      <c r="B150" s="320" t="s">
        <v>3020</v>
      </c>
      <c r="C150" s="304" t="s">
        <v>3021</v>
      </c>
      <c r="D150" s="304" t="s">
        <v>3022</v>
      </c>
      <c r="E150" s="304" t="s">
        <v>2727</v>
      </c>
      <c r="F150" s="298">
        <v>45418.0</v>
      </c>
      <c r="G150" s="298">
        <f t="shared" ref="G150:G161" si="44">DATE(YEAR(F150)+1,MONTH(F150),DAY(F150))</f>
        <v>45783</v>
      </c>
      <c r="H150" s="300" t="s">
        <v>2606</v>
      </c>
      <c r="I150" s="303">
        <f t="shared" ref="I150:I161" si="45">TODAY()-G150</f>
        <v>328</v>
      </c>
      <c r="J150" s="300" t="s">
        <v>2607</v>
      </c>
      <c r="K150" s="300" t="s">
        <v>2608</v>
      </c>
      <c r="L150" s="300" t="s">
        <v>2604</v>
      </c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302" t="str">
        <f t="shared" si="43"/>
        <v>VENCIDA</v>
      </c>
      <c r="B151" s="320" t="s">
        <v>3023</v>
      </c>
      <c r="C151" s="304" t="s">
        <v>3024</v>
      </c>
      <c r="D151" s="304" t="s">
        <v>3025</v>
      </c>
      <c r="E151" s="304" t="s">
        <v>3026</v>
      </c>
      <c r="F151" s="298">
        <v>45426.0</v>
      </c>
      <c r="G151" s="298">
        <f t="shared" si="44"/>
        <v>45791</v>
      </c>
      <c r="H151" s="300" t="s">
        <v>2606</v>
      </c>
      <c r="I151" s="303">
        <f t="shared" si="45"/>
        <v>320</v>
      </c>
      <c r="J151" s="300" t="s">
        <v>2607</v>
      </c>
      <c r="K151" s="300" t="s">
        <v>2608</v>
      </c>
      <c r="L151" s="300" t="s">
        <v>2604</v>
      </c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302" t="str">
        <f t="shared" si="43"/>
        <v>VENCIDA</v>
      </c>
      <c r="B152" s="320" t="s">
        <v>3027</v>
      </c>
      <c r="C152" s="304" t="s">
        <v>3028</v>
      </c>
      <c r="D152" s="304" t="s">
        <v>3029</v>
      </c>
      <c r="E152" s="304" t="s">
        <v>3030</v>
      </c>
      <c r="F152" s="298">
        <v>45455.0</v>
      </c>
      <c r="G152" s="298">
        <f t="shared" si="44"/>
        <v>45820</v>
      </c>
      <c r="H152" s="300" t="s">
        <v>2606</v>
      </c>
      <c r="I152" s="303">
        <f t="shared" si="45"/>
        <v>291</v>
      </c>
      <c r="J152" s="300" t="s">
        <v>2607</v>
      </c>
      <c r="K152" s="300" t="s">
        <v>2608</v>
      </c>
      <c r="L152" s="300" t="s">
        <v>2604</v>
      </c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302" t="str">
        <f t="shared" si="43"/>
        <v>VENCIDA</v>
      </c>
      <c r="B153" s="320" t="s">
        <v>3031</v>
      </c>
      <c r="C153" s="304" t="s">
        <v>3032</v>
      </c>
      <c r="D153" s="304" t="s">
        <v>3033</v>
      </c>
      <c r="E153" s="304" t="s">
        <v>3034</v>
      </c>
      <c r="F153" s="298">
        <v>45453.0</v>
      </c>
      <c r="G153" s="298">
        <f t="shared" si="44"/>
        <v>45818</v>
      </c>
      <c r="H153" s="300" t="s">
        <v>2606</v>
      </c>
      <c r="I153" s="303">
        <f t="shared" si="45"/>
        <v>293</v>
      </c>
      <c r="J153" s="300" t="s">
        <v>2607</v>
      </c>
      <c r="K153" s="300" t="s">
        <v>2608</v>
      </c>
      <c r="L153" s="300" t="s">
        <v>2604</v>
      </c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305" t="str">
        <f t="shared" si="43"/>
        <v>VIGENTE 109 DÍAS</v>
      </c>
      <c r="B154" s="320" t="s">
        <v>3035</v>
      </c>
      <c r="C154" s="304" t="s">
        <v>3036</v>
      </c>
      <c r="D154" s="304" t="s">
        <v>3037</v>
      </c>
      <c r="E154" s="304" t="s">
        <v>3038</v>
      </c>
      <c r="F154" s="298">
        <v>45855.0</v>
      </c>
      <c r="G154" s="298">
        <f t="shared" si="44"/>
        <v>46220</v>
      </c>
      <c r="H154" s="300" t="s">
        <v>2616</v>
      </c>
      <c r="I154" s="306">
        <f t="shared" si="45"/>
        <v>-109</v>
      </c>
      <c r="J154" s="300" t="s">
        <v>2603</v>
      </c>
      <c r="K154" s="300" t="s">
        <v>2617</v>
      </c>
      <c r="L154" s="300" t="s">
        <v>2604</v>
      </c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302" t="str">
        <f t="shared" si="43"/>
        <v>VENCIDA</v>
      </c>
      <c r="B155" s="320" t="s">
        <v>3039</v>
      </c>
      <c r="C155" s="304" t="s">
        <v>3040</v>
      </c>
      <c r="D155" s="304" t="s">
        <v>3041</v>
      </c>
      <c r="E155" s="304" t="s">
        <v>3042</v>
      </c>
      <c r="F155" s="298">
        <v>45468.0</v>
      </c>
      <c r="G155" s="298">
        <f t="shared" si="44"/>
        <v>45833</v>
      </c>
      <c r="H155" s="300" t="s">
        <v>2606</v>
      </c>
      <c r="I155" s="303">
        <f t="shared" si="45"/>
        <v>278</v>
      </c>
      <c r="J155" s="300" t="s">
        <v>2607</v>
      </c>
      <c r="K155" s="300" t="s">
        <v>2608</v>
      </c>
      <c r="L155" s="300" t="s">
        <v>2604</v>
      </c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302" t="str">
        <f t="shared" si="43"/>
        <v>VENCIDA</v>
      </c>
      <c r="B156" s="320" t="s">
        <v>3043</v>
      </c>
      <c r="C156" s="304" t="s">
        <v>3044</v>
      </c>
      <c r="D156" s="304" t="s">
        <v>3045</v>
      </c>
      <c r="E156" s="304" t="s">
        <v>3046</v>
      </c>
      <c r="F156" s="298">
        <v>45468.0</v>
      </c>
      <c r="G156" s="298">
        <f t="shared" si="44"/>
        <v>45833</v>
      </c>
      <c r="H156" s="300" t="s">
        <v>2606</v>
      </c>
      <c r="I156" s="303">
        <f t="shared" si="45"/>
        <v>278</v>
      </c>
      <c r="J156" s="300" t="s">
        <v>2607</v>
      </c>
      <c r="K156" s="300" t="s">
        <v>2608</v>
      </c>
      <c r="L156" s="300" t="s">
        <v>2604</v>
      </c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302" t="str">
        <f t="shared" si="43"/>
        <v>VENCIDA</v>
      </c>
      <c r="B157" s="320" t="s">
        <v>3047</v>
      </c>
      <c r="C157" s="304" t="s">
        <v>3048</v>
      </c>
      <c r="D157" s="304" t="s">
        <v>3049</v>
      </c>
      <c r="E157" s="304" t="s">
        <v>3050</v>
      </c>
      <c r="F157" s="298">
        <v>45462.0</v>
      </c>
      <c r="G157" s="298">
        <f t="shared" si="44"/>
        <v>45827</v>
      </c>
      <c r="H157" s="300" t="s">
        <v>2606</v>
      </c>
      <c r="I157" s="303">
        <f t="shared" si="45"/>
        <v>284</v>
      </c>
      <c r="J157" s="300" t="s">
        <v>2607</v>
      </c>
      <c r="K157" s="300" t="s">
        <v>2608</v>
      </c>
      <c r="L157" s="300" t="s">
        <v>2604</v>
      </c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302" t="str">
        <f t="shared" si="43"/>
        <v>VENCIDA</v>
      </c>
      <c r="B158" s="320" t="s">
        <v>3051</v>
      </c>
      <c r="C158" s="304" t="s">
        <v>3052</v>
      </c>
      <c r="D158" s="304" t="s">
        <v>3053</v>
      </c>
      <c r="E158" s="304" t="s">
        <v>3019</v>
      </c>
      <c r="F158" s="298">
        <v>45469.0</v>
      </c>
      <c r="G158" s="298">
        <f t="shared" si="44"/>
        <v>45834</v>
      </c>
      <c r="H158" s="300" t="s">
        <v>2606</v>
      </c>
      <c r="I158" s="303">
        <f t="shared" si="45"/>
        <v>277</v>
      </c>
      <c r="J158" s="300" t="s">
        <v>2607</v>
      </c>
      <c r="K158" s="300" t="s">
        <v>2608</v>
      </c>
      <c r="L158" s="300" t="s">
        <v>2604</v>
      </c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305" t="str">
        <f t="shared" si="43"/>
        <v>VIGENTE 183 DÍAS</v>
      </c>
      <c r="B159" s="320" t="s">
        <v>3054</v>
      </c>
      <c r="C159" s="304" t="s">
        <v>3055</v>
      </c>
      <c r="D159" s="304" t="s">
        <v>2288</v>
      </c>
      <c r="E159" s="304" t="s">
        <v>2289</v>
      </c>
      <c r="F159" s="298">
        <v>45929.0</v>
      </c>
      <c r="G159" s="298">
        <f t="shared" si="44"/>
        <v>46294</v>
      </c>
      <c r="H159" s="300" t="s">
        <v>2616</v>
      </c>
      <c r="I159" s="306">
        <f t="shared" si="45"/>
        <v>-183</v>
      </c>
      <c r="J159" s="300" t="s">
        <v>2603</v>
      </c>
      <c r="K159" s="300" t="s">
        <v>2617</v>
      </c>
      <c r="L159" s="300" t="s">
        <v>2604</v>
      </c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302" t="str">
        <f t="shared" si="43"/>
        <v>VENCIDA</v>
      </c>
      <c r="B160" s="320" t="s">
        <v>3056</v>
      </c>
      <c r="C160" s="304" t="s">
        <v>3057</v>
      </c>
      <c r="D160" s="304" t="s">
        <v>3058</v>
      </c>
      <c r="E160" s="304" t="s">
        <v>3059</v>
      </c>
      <c r="F160" s="298">
        <v>45474.0</v>
      </c>
      <c r="G160" s="298">
        <f t="shared" si="44"/>
        <v>45839</v>
      </c>
      <c r="H160" s="300" t="s">
        <v>2606</v>
      </c>
      <c r="I160" s="303">
        <f t="shared" si="45"/>
        <v>272</v>
      </c>
      <c r="J160" s="300" t="s">
        <v>2607</v>
      </c>
      <c r="K160" s="300" t="s">
        <v>2608</v>
      </c>
      <c r="L160" s="300" t="s">
        <v>2604</v>
      </c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302" t="str">
        <f t="shared" si="43"/>
        <v>VENCIDA</v>
      </c>
      <c r="B161" s="320" t="s">
        <v>3060</v>
      </c>
      <c r="C161" s="304" t="s">
        <v>3061</v>
      </c>
      <c r="D161" s="304" t="s">
        <v>3062</v>
      </c>
      <c r="E161" s="304" t="s">
        <v>1185</v>
      </c>
      <c r="F161" s="298">
        <v>45474.0</v>
      </c>
      <c r="G161" s="298">
        <f t="shared" si="44"/>
        <v>45839</v>
      </c>
      <c r="H161" s="300" t="s">
        <v>2606</v>
      </c>
      <c r="I161" s="303">
        <f t="shared" si="45"/>
        <v>272</v>
      </c>
      <c r="J161" s="300" t="s">
        <v>2607</v>
      </c>
      <c r="K161" s="300" t="s">
        <v>2608</v>
      </c>
      <c r="L161" s="300" t="s">
        <v>2604</v>
      </c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300" t="s">
        <v>1207</v>
      </c>
      <c r="B162" s="320" t="s">
        <v>3063</v>
      </c>
      <c r="C162" s="304" t="s">
        <v>3064</v>
      </c>
      <c r="D162" s="304" t="s">
        <v>3065</v>
      </c>
      <c r="E162" s="304" t="s">
        <v>3066</v>
      </c>
      <c r="F162" s="300" t="s">
        <v>1207</v>
      </c>
      <c r="G162" s="300" t="s">
        <v>1207</v>
      </c>
      <c r="H162" s="300" t="s">
        <v>1207</v>
      </c>
      <c r="I162" s="300" t="s">
        <v>1207</v>
      </c>
      <c r="J162" s="300" t="s">
        <v>1207</v>
      </c>
      <c r="K162" s="300" t="s">
        <v>1207</v>
      </c>
      <c r="L162" s="300" t="s">
        <v>2604</v>
      </c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302" t="str">
        <f t="shared" ref="A163:A164" si="46">IF(G163&lt;TODAY(),"VENCIDA",IF(G163=TODAY(),"HOY","VIGENTE "&amp;G163-TODAY()&amp;" DÍAS"))</f>
        <v>VENCIDA</v>
      </c>
      <c r="B163" s="320" t="s">
        <v>3067</v>
      </c>
      <c r="C163" s="304" t="s">
        <v>3068</v>
      </c>
      <c r="D163" s="304" t="s">
        <v>3069</v>
      </c>
      <c r="E163" s="304" t="s">
        <v>3070</v>
      </c>
      <c r="F163" s="298">
        <v>45491.0</v>
      </c>
      <c r="G163" s="298">
        <f t="shared" ref="G163:G164" si="47">DATE(YEAR(F163)+1,MONTH(F163),DAY(F163))</f>
        <v>45856</v>
      </c>
      <c r="H163" s="300" t="s">
        <v>2606</v>
      </c>
      <c r="I163" s="303">
        <f t="shared" ref="I163:I164" si="48">TODAY()-G163</f>
        <v>255</v>
      </c>
      <c r="J163" s="300" t="s">
        <v>2607</v>
      </c>
      <c r="K163" s="300" t="s">
        <v>2608</v>
      </c>
      <c r="L163" s="300" t="s">
        <v>2604</v>
      </c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305" t="str">
        <f t="shared" si="46"/>
        <v>VIGENTE 225 DÍAS</v>
      </c>
      <c r="B164" s="320" t="s">
        <v>3071</v>
      </c>
      <c r="C164" s="304" t="s">
        <v>3072</v>
      </c>
      <c r="D164" s="304" t="s">
        <v>3073</v>
      </c>
      <c r="E164" s="304" t="s">
        <v>3074</v>
      </c>
      <c r="F164" s="298">
        <v>45971.0</v>
      </c>
      <c r="G164" s="298">
        <f t="shared" si="47"/>
        <v>46336</v>
      </c>
      <c r="H164" s="300" t="s">
        <v>3075</v>
      </c>
      <c r="I164" s="306">
        <f t="shared" si="48"/>
        <v>-225</v>
      </c>
      <c r="J164" s="300" t="s">
        <v>2603</v>
      </c>
      <c r="K164" s="300" t="s">
        <v>2178</v>
      </c>
      <c r="L164" s="300" t="s">
        <v>2604</v>
      </c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300" t="s">
        <v>1207</v>
      </c>
      <c r="B165" s="320" t="s">
        <v>3076</v>
      </c>
      <c r="C165" s="304" t="s">
        <v>3077</v>
      </c>
      <c r="D165" s="304" t="s">
        <v>3078</v>
      </c>
      <c r="E165" s="304" t="s">
        <v>3079</v>
      </c>
      <c r="F165" s="300" t="s">
        <v>1207</v>
      </c>
      <c r="G165" s="300" t="s">
        <v>1207</v>
      </c>
      <c r="H165" s="300" t="s">
        <v>1207</v>
      </c>
      <c r="I165" s="300" t="s">
        <v>1207</v>
      </c>
      <c r="J165" s="300" t="s">
        <v>1207</v>
      </c>
      <c r="K165" s="300" t="s">
        <v>1207</v>
      </c>
      <c r="L165" s="300" t="s">
        <v>1207</v>
      </c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302" t="str">
        <f t="shared" ref="A166:A168" si="49">IF(G166&lt;TODAY(),"VENCIDA",IF(G166=TODAY(),"HOY","VIGENTE "&amp;G166-TODAY()&amp;" DÍAS"))</f>
        <v>VENCIDA</v>
      </c>
      <c r="B166" s="320" t="s">
        <v>3080</v>
      </c>
      <c r="C166" s="317" t="s">
        <v>2743</v>
      </c>
      <c r="D166" s="304" t="s">
        <v>3081</v>
      </c>
      <c r="E166" s="304" t="s">
        <v>3082</v>
      </c>
      <c r="F166" s="298">
        <v>45496.0</v>
      </c>
      <c r="G166" s="298">
        <f t="shared" ref="G166:G168" si="50">DATE(YEAR(F166)+1,MONTH(F166),DAY(F166))</f>
        <v>45861</v>
      </c>
      <c r="H166" s="300" t="s">
        <v>2606</v>
      </c>
      <c r="I166" s="303">
        <f t="shared" ref="I166:I168" si="51">TODAY()-G166</f>
        <v>250</v>
      </c>
      <c r="J166" s="300" t="s">
        <v>2607</v>
      </c>
      <c r="K166" s="300" t="s">
        <v>2608</v>
      </c>
      <c r="L166" s="300" t="s">
        <v>2604</v>
      </c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305" t="str">
        <f t="shared" si="49"/>
        <v>VIGENTE 222 DÍAS</v>
      </c>
      <c r="B167" s="320" t="s">
        <v>3083</v>
      </c>
      <c r="C167" s="304" t="s">
        <v>3084</v>
      </c>
      <c r="D167" s="304" t="s">
        <v>331</v>
      </c>
      <c r="E167" s="304" t="s">
        <v>3085</v>
      </c>
      <c r="F167" s="298">
        <v>45968.0</v>
      </c>
      <c r="G167" s="298">
        <f t="shared" si="50"/>
        <v>46333</v>
      </c>
      <c r="H167" s="300" t="s">
        <v>2178</v>
      </c>
      <c r="I167" s="306">
        <f t="shared" si="51"/>
        <v>-222</v>
      </c>
      <c r="J167" s="300" t="s">
        <v>2603</v>
      </c>
      <c r="K167" s="300" t="s">
        <v>2178</v>
      </c>
      <c r="L167" s="300" t="s">
        <v>2604</v>
      </c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305" t="str">
        <f t="shared" si="49"/>
        <v>VIGENTE 271 DÍAS</v>
      </c>
      <c r="B168" s="320" t="s">
        <v>1857</v>
      </c>
      <c r="C168" s="304" t="s">
        <v>3086</v>
      </c>
      <c r="D168" s="304" t="s">
        <v>1858</v>
      </c>
      <c r="E168" s="304" t="s">
        <v>1859</v>
      </c>
      <c r="F168" s="298">
        <v>46017.0</v>
      </c>
      <c r="G168" s="298">
        <f t="shared" si="50"/>
        <v>46382</v>
      </c>
      <c r="H168" s="300" t="s">
        <v>2606</v>
      </c>
      <c r="I168" s="306">
        <f t="shared" si="51"/>
        <v>-271</v>
      </c>
      <c r="J168" s="300" t="s">
        <v>2603</v>
      </c>
      <c r="K168" s="300" t="s">
        <v>2178</v>
      </c>
      <c r="L168" s="300" t="s">
        <v>2604</v>
      </c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300" t="s">
        <v>1207</v>
      </c>
      <c r="B169" s="320" t="s">
        <v>3087</v>
      </c>
      <c r="C169" s="304" t="s">
        <v>3088</v>
      </c>
      <c r="D169" s="304" t="s">
        <v>2414</v>
      </c>
      <c r="E169" s="304" t="s">
        <v>2415</v>
      </c>
      <c r="F169" s="300" t="s">
        <v>1207</v>
      </c>
      <c r="G169" s="300" t="s">
        <v>1207</v>
      </c>
      <c r="H169" s="300" t="s">
        <v>1207</v>
      </c>
      <c r="I169" s="300" t="s">
        <v>1207</v>
      </c>
      <c r="J169" s="300" t="s">
        <v>1207</v>
      </c>
      <c r="K169" s="300" t="s">
        <v>1207</v>
      </c>
      <c r="L169" s="300" t="s">
        <v>1207</v>
      </c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305" t="str">
        <f t="shared" ref="A170:A181" si="52">IF(G170&lt;TODAY(),"VENCIDA",IF(G170=TODAY(),"HOY","VIGENTE "&amp;G170-TODAY()&amp;" DÍAS"))</f>
        <v>VIGENTE 255 DÍAS</v>
      </c>
      <c r="B170" s="320" t="s">
        <v>3089</v>
      </c>
      <c r="C170" s="304" t="s">
        <v>3090</v>
      </c>
      <c r="D170" s="304" t="s">
        <v>3091</v>
      </c>
      <c r="E170" s="304" t="s">
        <v>3092</v>
      </c>
      <c r="F170" s="298">
        <v>46001.0</v>
      </c>
      <c r="G170" s="298">
        <f t="shared" ref="G170:G181" si="53">DATE(YEAR(F170)+1,MONTH(F170),DAY(F170))</f>
        <v>46366</v>
      </c>
      <c r="H170" s="300" t="s">
        <v>2617</v>
      </c>
      <c r="I170" s="306">
        <f t="shared" ref="I170:I181" si="54">TODAY()-G170</f>
        <v>-255</v>
      </c>
      <c r="J170" s="300" t="s">
        <v>2603</v>
      </c>
      <c r="K170" s="300" t="s">
        <v>2178</v>
      </c>
      <c r="L170" s="300" t="s">
        <v>2604</v>
      </c>
      <c r="M170" s="94" t="s">
        <v>3093</v>
      </c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302" t="str">
        <f t="shared" si="52"/>
        <v>VENCIDA</v>
      </c>
      <c r="B171" s="320" t="s">
        <v>3094</v>
      </c>
      <c r="C171" s="304" t="s">
        <v>3095</v>
      </c>
      <c r="D171" s="304" t="s">
        <v>3096</v>
      </c>
      <c r="E171" s="304" t="s">
        <v>3097</v>
      </c>
      <c r="F171" s="298">
        <v>45530.0</v>
      </c>
      <c r="G171" s="298">
        <f t="shared" si="53"/>
        <v>45895</v>
      </c>
      <c r="H171" s="300" t="s">
        <v>2606</v>
      </c>
      <c r="I171" s="303">
        <f t="shared" si="54"/>
        <v>216</v>
      </c>
      <c r="J171" s="300" t="s">
        <v>2607</v>
      </c>
      <c r="K171" s="300" t="s">
        <v>2608</v>
      </c>
      <c r="L171" s="300" t="s">
        <v>2604</v>
      </c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305" t="str">
        <f t="shared" si="52"/>
        <v>VIGENTE 218 DÍAS</v>
      </c>
      <c r="B172" s="320" t="s">
        <v>917</v>
      </c>
      <c r="C172" s="304" t="s">
        <v>918</v>
      </c>
      <c r="D172" s="304" t="s">
        <v>85</v>
      </c>
      <c r="E172" s="304" t="s">
        <v>86</v>
      </c>
      <c r="F172" s="298">
        <v>45964.0</v>
      </c>
      <c r="G172" s="298">
        <f t="shared" si="53"/>
        <v>46329</v>
      </c>
      <c r="H172" s="300" t="s">
        <v>2705</v>
      </c>
      <c r="I172" s="306">
        <f t="shared" si="54"/>
        <v>-218</v>
      </c>
      <c r="J172" s="300" t="s">
        <v>2603</v>
      </c>
      <c r="K172" s="300" t="s">
        <v>2178</v>
      </c>
      <c r="L172" s="300" t="s">
        <v>2604</v>
      </c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302" t="str">
        <f t="shared" si="52"/>
        <v>VENCIDA</v>
      </c>
      <c r="B173" s="320" t="s">
        <v>3098</v>
      </c>
      <c r="C173" s="304" t="s">
        <v>3099</v>
      </c>
      <c r="D173" s="304" t="s">
        <v>3100</v>
      </c>
      <c r="E173" s="304" t="s">
        <v>3101</v>
      </c>
      <c r="F173" s="298">
        <v>45526.0</v>
      </c>
      <c r="G173" s="298">
        <f t="shared" si="53"/>
        <v>45891</v>
      </c>
      <c r="H173" s="300" t="s">
        <v>2606</v>
      </c>
      <c r="I173" s="303">
        <f t="shared" si="54"/>
        <v>220</v>
      </c>
      <c r="J173" s="300" t="s">
        <v>2607</v>
      </c>
      <c r="K173" s="300" t="s">
        <v>2608</v>
      </c>
      <c r="L173" s="300" t="s">
        <v>2604</v>
      </c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302" t="str">
        <f t="shared" si="52"/>
        <v>VENCIDA</v>
      </c>
      <c r="B174" s="320" t="s">
        <v>3102</v>
      </c>
      <c r="C174" s="304" t="s">
        <v>3103</v>
      </c>
      <c r="D174" s="304" t="s">
        <v>3104</v>
      </c>
      <c r="E174" s="304" t="s">
        <v>3105</v>
      </c>
      <c r="F174" s="298">
        <v>45527.0</v>
      </c>
      <c r="G174" s="298">
        <f t="shared" si="53"/>
        <v>45892</v>
      </c>
      <c r="H174" s="300" t="s">
        <v>2606</v>
      </c>
      <c r="I174" s="303">
        <f t="shared" si="54"/>
        <v>219</v>
      </c>
      <c r="J174" s="300" t="s">
        <v>2607</v>
      </c>
      <c r="K174" s="300" t="s">
        <v>2608</v>
      </c>
      <c r="L174" s="300" t="s">
        <v>2604</v>
      </c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302" t="str">
        <f t="shared" si="52"/>
        <v>VENCIDA</v>
      </c>
      <c r="B175" s="320" t="s">
        <v>3106</v>
      </c>
      <c r="C175" s="304" t="s">
        <v>3107</v>
      </c>
      <c r="D175" s="304" t="s">
        <v>3108</v>
      </c>
      <c r="E175" s="304" t="s">
        <v>3109</v>
      </c>
      <c r="F175" s="298">
        <v>45558.0</v>
      </c>
      <c r="G175" s="298">
        <f t="shared" si="53"/>
        <v>45923</v>
      </c>
      <c r="H175" s="300" t="s">
        <v>2606</v>
      </c>
      <c r="I175" s="303">
        <f t="shared" si="54"/>
        <v>188</v>
      </c>
      <c r="J175" s="300" t="s">
        <v>2607</v>
      </c>
      <c r="K175" s="300" t="s">
        <v>2608</v>
      </c>
      <c r="L175" s="300" t="s">
        <v>2604</v>
      </c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305" t="str">
        <f t="shared" si="52"/>
        <v>VIGENTE 212 DÍAS</v>
      </c>
      <c r="B176" s="320" t="s">
        <v>3110</v>
      </c>
      <c r="C176" s="304" t="s">
        <v>3111</v>
      </c>
      <c r="D176" s="304" t="s">
        <v>2482</v>
      </c>
      <c r="E176" s="304" t="s">
        <v>2483</v>
      </c>
      <c r="F176" s="298">
        <v>45958.0</v>
      </c>
      <c r="G176" s="298">
        <f t="shared" si="53"/>
        <v>46323</v>
      </c>
      <c r="H176" s="300" t="s">
        <v>2178</v>
      </c>
      <c r="I176" s="306">
        <f t="shared" si="54"/>
        <v>-212</v>
      </c>
      <c r="J176" s="300" t="s">
        <v>2603</v>
      </c>
      <c r="K176" s="300" t="s">
        <v>2178</v>
      </c>
      <c r="L176" s="300" t="s">
        <v>2604</v>
      </c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305" t="str">
        <f t="shared" si="52"/>
        <v>VIGENTE 232 DÍAS</v>
      </c>
      <c r="B177" s="320" t="s">
        <v>3112</v>
      </c>
      <c r="C177" s="304" t="s">
        <v>3113</v>
      </c>
      <c r="D177" s="304" t="s">
        <v>3114</v>
      </c>
      <c r="E177" s="304" t="s">
        <v>3115</v>
      </c>
      <c r="F177" s="298">
        <v>45978.0</v>
      </c>
      <c r="G177" s="298">
        <f t="shared" si="53"/>
        <v>46343</v>
      </c>
      <c r="H177" s="300" t="s">
        <v>3116</v>
      </c>
      <c r="I177" s="306">
        <f t="shared" si="54"/>
        <v>-232</v>
      </c>
      <c r="J177" s="300" t="s">
        <v>2603</v>
      </c>
      <c r="K177" s="300" t="s">
        <v>2617</v>
      </c>
      <c r="L177" s="300" t="s">
        <v>2604</v>
      </c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302" t="str">
        <f t="shared" si="52"/>
        <v>VENCIDA</v>
      </c>
      <c r="B178" s="320" t="s">
        <v>3117</v>
      </c>
      <c r="C178" s="304" t="s">
        <v>3118</v>
      </c>
      <c r="D178" s="304" t="s">
        <v>3119</v>
      </c>
      <c r="E178" s="304" t="s">
        <v>3120</v>
      </c>
      <c r="F178" s="298">
        <v>45552.0</v>
      </c>
      <c r="G178" s="298">
        <f t="shared" si="53"/>
        <v>45917</v>
      </c>
      <c r="H178" s="300" t="s">
        <v>2606</v>
      </c>
      <c r="I178" s="303">
        <f t="shared" si="54"/>
        <v>194</v>
      </c>
      <c r="J178" s="300" t="s">
        <v>2607</v>
      </c>
      <c r="K178" s="300" t="s">
        <v>2608</v>
      </c>
      <c r="L178" s="300" t="s">
        <v>2604</v>
      </c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302" t="str">
        <f t="shared" si="52"/>
        <v>VENCIDA</v>
      </c>
      <c r="B179" s="320" t="s">
        <v>3121</v>
      </c>
      <c r="C179" s="304" t="s">
        <v>3122</v>
      </c>
      <c r="D179" s="304" t="s">
        <v>3123</v>
      </c>
      <c r="E179" s="304" t="s">
        <v>3124</v>
      </c>
      <c r="F179" s="298">
        <v>45562.0</v>
      </c>
      <c r="G179" s="298">
        <f t="shared" si="53"/>
        <v>45927</v>
      </c>
      <c r="H179" s="300" t="s">
        <v>3125</v>
      </c>
      <c r="I179" s="303">
        <f t="shared" si="54"/>
        <v>184</v>
      </c>
      <c r="J179" s="300" t="s">
        <v>2607</v>
      </c>
      <c r="K179" s="300" t="s">
        <v>2608</v>
      </c>
      <c r="L179" s="300" t="s">
        <v>2604</v>
      </c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305" t="str">
        <f t="shared" si="52"/>
        <v>VIGENTE 198 DÍAS</v>
      </c>
      <c r="B180" s="320" t="s">
        <v>3126</v>
      </c>
      <c r="C180" s="304" t="s">
        <v>3127</v>
      </c>
      <c r="D180" s="304" t="s">
        <v>3128</v>
      </c>
      <c r="E180" s="304" t="s">
        <v>3129</v>
      </c>
      <c r="F180" s="298">
        <v>45944.0</v>
      </c>
      <c r="G180" s="298">
        <f t="shared" si="53"/>
        <v>46309</v>
      </c>
      <c r="H180" s="300" t="s">
        <v>2606</v>
      </c>
      <c r="I180" s="306">
        <f t="shared" si="54"/>
        <v>-198</v>
      </c>
      <c r="J180" s="300" t="s">
        <v>2603</v>
      </c>
      <c r="K180" s="300" t="s">
        <v>2178</v>
      </c>
      <c r="L180" s="300" t="s">
        <v>2604</v>
      </c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302" t="str">
        <f t="shared" si="52"/>
        <v>VENCIDA</v>
      </c>
      <c r="B181" s="320" t="s">
        <v>3130</v>
      </c>
      <c r="C181" s="304" t="s">
        <v>3131</v>
      </c>
      <c r="D181" s="304" t="s">
        <v>3132</v>
      </c>
      <c r="E181" s="304" t="s">
        <v>3133</v>
      </c>
      <c r="F181" s="298">
        <v>45561.0</v>
      </c>
      <c r="G181" s="298">
        <f t="shared" si="53"/>
        <v>45926</v>
      </c>
      <c r="H181" s="300" t="s">
        <v>2606</v>
      </c>
      <c r="I181" s="303">
        <f t="shared" si="54"/>
        <v>185</v>
      </c>
      <c r="J181" s="300" t="s">
        <v>2607</v>
      </c>
      <c r="K181" s="300" t="s">
        <v>2608</v>
      </c>
      <c r="L181" s="300" t="s">
        <v>2604</v>
      </c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300" t="s">
        <v>1207</v>
      </c>
      <c r="B182" s="320" t="s">
        <v>3134</v>
      </c>
      <c r="C182" s="300" t="s">
        <v>1207</v>
      </c>
      <c r="D182" s="304" t="s">
        <v>3135</v>
      </c>
      <c r="E182" s="304" t="s">
        <v>3136</v>
      </c>
      <c r="F182" s="300" t="s">
        <v>1207</v>
      </c>
      <c r="G182" s="300" t="s">
        <v>1207</v>
      </c>
      <c r="H182" s="300" t="s">
        <v>1207</v>
      </c>
      <c r="I182" s="300" t="s">
        <v>1207</v>
      </c>
      <c r="J182" s="300" t="s">
        <v>1207</v>
      </c>
      <c r="K182" s="300" t="s">
        <v>1207</v>
      </c>
      <c r="L182" s="300" t="s">
        <v>1207</v>
      </c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302" t="str">
        <f t="shared" ref="A183:A212" si="55">IF(G183&lt;TODAY(),"VENCIDA",IF(G183=TODAY(),"HOY","VIGENTE "&amp;G183-TODAY()&amp;" DÍAS"))</f>
        <v>VENCIDA</v>
      </c>
      <c r="B183" s="320" t="s">
        <v>3137</v>
      </c>
      <c r="C183" s="304" t="s">
        <v>3138</v>
      </c>
      <c r="D183" s="304" t="s">
        <v>3139</v>
      </c>
      <c r="E183" s="304" t="s">
        <v>3140</v>
      </c>
      <c r="F183" s="322">
        <v>45574.0</v>
      </c>
      <c r="G183" s="298">
        <f t="shared" ref="G183:G212" si="56">DATE(YEAR(F183)+1,MONTH(F183),DAY(F183))</f>
        <v>45939</v>
      </c>
      <c r="H183" s="300" t="s">
        <v>2606</v>
      </c>
      <c r="I183" s="303">
        <f t="shared" ref="I183:I212" si="57">TODAY()-G183</f>
        <v>172</v>
      </c>
      <c r="J183" s="300" t="s">
        <v>2607</v>
      </c>
      <c r="K183" s="300" t="s">
        <v>2608</v>
      </c>
      <c r="L183" s="300" t="s">
        <v>2604</v>
      </c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305" t="str">
        <f t="shared" si="55"/>
        <v>VIGENTE 228 DÍAS</v>
      </c>
      <c r="B184" s="320" t="s">
        <v>3141</v>
      </c>
      <c r="C184" s="304" t="s">
        <v>3142</v>
      </c>
      <c r="D184" s="304" t="s">
        <v>3143</v>
      </c>
      <c r="E184" s="304" t="s">
        <v>3144</v>
      </c>
      <c r="F184" s="298">
        <v>45974.0</v>
      </c>
      <c r="G184" s="298">
        <f t="shared" si="56"/>
        <v>46339</v>
      </c>
      <c r="H184" s="300" t="s">
        <v>3145</v>
      </c>
      <c r="I184" s="306">
        <f t="shared" si="57"/>
        <v>-228</v>
      </c>
      <c r="J184" s="300" t="s">
        <v>2603</v>
      </c>
      <c r="K184" s="300" t="s">
        <v>2617</v>
      </c>
      <c r="L184" s="300" t="s">
        <v>2604</v>
      </c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302" t="str">
        <f t="shared" si="55"/>
        <v>VENCIDA</v>
      </c>
      <c r="B185" s="320" t="s">
        <v>3146</v>
      </c>
      <c r="C185" s="304" t="s">
        <v>3147</v>
      </c>
      <c r="D185" s="304" t="s">
        <v>3148</v>
      </c>
      <c r="E185" s="304" t="s">
        <v>3149</v>
      </c>
      <c r="F185" s="298">
        <v>45580.0</v>
      </c>
      <c r="G185" s="298">
        <f t="shared" si="56"/>
        <v>45945</v>
      </c>
      <c r="H185" s="300" t="s">
        <v>2606</v>
      </c>
      <c r="I185" s="303">
        <f t="shared" si="57"/>
        <v>166</v>
      </c>
      <c r="J185" s="300" t="s">
        <v>2607</v>
      </c>
      <c r="K185" s="300" t="s">
        <v>2608</v>
      </c>
      <c r="L185" s="300" t="s">
        <v>2604</v>
      </c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305" t="str">
        <f t="shared" si="55"/>
        <v>VIGENTE 207 DÍAS</v>
      </c>
      <c r="B186" s="320" t="s">
        <v>3150</v>
      </c>
      <c r="C186" s="304" t="s">
        <v>3151</v>
      </c>
      <c r="D186" s="304" t="s">
        <v>3152</v>
      </c>
      <c r="E186" s="304" t="s">
        <v>3153</v>
      </c>
      <c r="F186" s="298">
        <v>45953.0</v>
      </c>
      <c r="G186" s="298">
        <f t="shared" si="56"/>
        <v>46318</v>
      </c>
      <c r="H186" s="300" t="s">
        <v>2606</v>
      </c>
      <c r="I186" s="306">
        <f t="shared" si="57"/>
        <v>-207</v>
      </c>
      <c r="J186" s="300" t="s">
        <v>2603</v>
      </c>
      <c r="K186" s="300" t="s">
        <v>2178</v>
      </c>
      <c r="L186" s="307" t="s">
        <v>313</v>
      </c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305" t="str">
        <f t="shared" si="55"/>
        <v>VIGENTE 232 DÍAS</v>
      </c>
      <c r="B187" s="320" t="s">
        <v>3154</v>
      </c>
      <c r="C187" s="304" t="s">
        <v>3155</v>
      </c>
      <c r="D187" s="304" t="s">
        <v>3156</v>
      </c>
      <c r="E187" s="304" t="s">
        <v>3157</v>
      </c>
      <c r="F187" s="298">
        <v>45978.0</v>
      </c>
      <c r="G187" s="298">
        <f t="shared" si="56"/>
        <v>46343</v>
      </c>
      <c r="H187" s="300" t="s">
        <v>3158</v>
      </c>
      <c r="I187" s="306">
        <f t="shared" si="57"/>
        <v>-232</v>
      </c>
      <c r="J187" s="300" t="s">
        <v>2603</v>
      </c>
      <c r="K187" s="300" t="s">
        <v>2178</v>
      </c>
      <c r="L187" s="300" t="s">
        <v>2604</v>
      </c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305" t="str">
        <f t="shared" si="55"/>
        <v>VIGENTE 331 DÍAS</v>
      </c>
      <c r="B188" s="320" t="s">
        <v>3159</v>
      </c>
      <c r="C188" s="304" t="s">
        <v>3160</v>
      </c>
      <c r="D188" s="304" t="s">
        <v>3161</v>
      </c>
      <c r="E188" s="304" t="s">
        <v>3162</v>
      </c>
      <c r="F188" s="308">
        <v>46077.0</v>
      </c>
      <c r="G188" s="298">
        <f t="shared" si="56"/>
        <v>46442</v>
      </c>
      <c r="H188" s="307" t="s">
        <v>3163</v>
      </c>
      <c r="I188" s="306">
        <f t="shared" si="57"/>
        <v>-331</v>
      </c>
      <c r="J188" s="307" t="s">
        <v>2603</v>
      </c>
      <c r="K188" s="307" t="s">
        <v>2178</v>
      </c>
      <c r="L188" s="307" t="s">
        <v>313</v>
      </c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302" t="str">
        <f t="shared" si="55"/>
        <v>VENCIDA</v>
      </c>
      <c r="B189" s="320" t="s">
        <v>3164</v>
      </c>
      <c r="C189" s="304" t="s">
        <v>3165</v>
      </c>
      <c r="D189" s="304" t="s">
        <v>3166</v>
      </c>
      <c r="E189" s="304" t="s">
        <v>3167</v>
      </c>
      <c r="F189" s="298">
        <v>45649.0</v>
      </c>
      <c r="G189" s="298">
        <f t="shared" si="56"/>
        <v>46014</v>
      </c>
      <c r="H189" s="300"/>
      <c r="I189" s="303">
        <f t="shared" si="57"/>
        <v>97</v>
      </c>
      <c r="J189" s="300" t="s">
        <v>2607</v>
      </c>
      <c r="K189" s="300" t="s">
        <v>2608</v>
      </c>
      <c r="L189" s="300" t="s">
        <v>2604</v>
      </c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305" t="str">
        <f t="shared" si="55"/>
        <v>VIGENTE 156 DÍAS</v>
      </c>
      <c r="B190" s="320" t="s">
        <v>3168</v>
      </c>
      <c r="C190" s="304" t="s">
        <v>3169</v>
      </c>
      <c r="D190" s="304" t="s">
        <v>2055</v>
      </c>
      <c r="E190" s="304" t="s">
        <v>3170</v>
      </c>
      <c r="F190" s="298">
        <v>45902.0</v>
      </c>
      <c r="G190" s="298">
        <f t="shared" si="56"/>
        <v>46267</v>
      </c>
      <c r="H190" s="300"/>
      <c r="I190" s="306">
        <f t="shared" si="57"/>
        <v>-156</v>
      </c>
      <c r="J190" s="300" t="s">
        <v>2603</v>
      </c>
      <c r="K190" s="300" t="s">
        <v>2178</v>
      </c>
      <c r="L190" s="300" t="s">
        <v>2604</v>
      </c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305" t="str">
        <f t="shared" si="55"/>
        <v>VIGENTE 306 DÍAS</v>
      </c>
      <c r="B191" s="320" t="s">
        <v>3171</v>
      </c>
      <c r="C191" s="317" t="s">
        <v>2774</v>
      </c>
      <c r="D191" s="304" t="s">
        <v>3172</v>
      </c>
      <c r="E191" s="304" t="s">
        <v>3173</v>
      </c>
      <c r="F191" s="298">
        <v>46052.0</v>
      </c>
      <c r="G191" s="298">
        <f t="shared" si="56"/>
        <v>46417</v>
      </c>
      <c r="H191" s="300"/>
      <c r="I191" s="306">
        <f t="shared" si="57"/>
        <v>-306</v>
      </c>
      <c r="J191" s="300" t="s">
        <v>2603</v>
      </c>
      <c r="K191" s="300" t="s">
        <v>2178</v>
      </c>
      <c r="L191" s="300" t="s">
        <v>313</v>
      </c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305" t="str">
        <f t="shared" si="55"/>
        <v>VIGENTE 330 DÍAS</v>
      </c>
      <c r="B192" s="320" t="s">
        <v>3174</v>
      </c>
      <c r="C192" s="304" t="s">
        <v>3175</v>
      </c>
      <c r="D192" s="304" t="s">
        <v>3176</v>
      </c>
      <c r="E192" s="304" t="s">
        <v>3177</v>
      </c>
      <c r="F192" s="308">
        <v>46076.0</v>
      </c>
      <c r="G192" s="298">
        <f t="shared" si="56"/>
        <v>46441</v>
      </c>
      <c r="H192" s="300"/>
      <c r="I192" s="306">
        <f t="shared" si="57"/>
        <v>-330</v>
      </c>
      <c r="J192" s="307" t="s">
        <v>2603</v>
      </c>
      <c r="K192" s="307" t="s">
        <v>2617</v>
      </c>
      <c r="L192" s="300" t="s">
        <v>2604</v>
      </c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302" t="str">
        <f t="shared" si="55"/>
        <v>VENCIDA</v>
      </c>
      <c r="B193" s="320" t="s">
        <v>3178</v>
      </c>
      <c r="C193" s="304" t="s">
        <v>3179</v>
      </c>
      <c r="D193" s="304" t="s">
        <v>2301</v>
      </c>
      <c r="E193" s="304" t="s">
        <v>2302</v>
      </c>
      <c r="F193" s="298">
        <v>45679.0</v>
      </c>
      <c r="G193" s="298">
        <f t="shared" si="56"/>
        <v>46044</v>
      </c>
      <c r="H193" s="300"/>
      <c r="I193" s="303">
        <f t="shared" si="57"/>
        <v>67</v>
      </c>
      <c r="J193" s="300" t="s">
        <v>2607</v>
      </c>
      <c r="K193" s="300" t="s">
        <v>2826</v>
      </c>
      <c r="L193" s="300" t="s">
        <v>2604</v>
      </c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305" t="str">
        <f t="shared" si="55"/>
        <v>VENCIDA</v>
      </c>
      <c r="B194" s="320" t="s">
        <v>3180</v>
      </c>
      <c r="C194" s="304" t="s">
        <v>3181</v>
      </c>
      <c r="D194" s="304" t="s">
        <v>3182</v>
      </c>
      <c r="E194" s="304" t="s">
        <v>3183</v>
      </c>
      <c r="F194" s="298">
        <v>45709.0</v>
      </c>
      <c r="G194" s="298">
        <f t="shared" si="56"/>
        <v>46074</v>
      </c>
      <c r="H194" s="300"/>
      <c r="I194" s="309">
        <f t="shared" si="57"/>
        <v>37</v>
      </c>
      <c r="J194" s="307" t="s">
        <v>3184</v>
      </c>
      <c r="K194" s="300" t="s">
        <v>2178</v>
      </c>
      <c r="L194" s="300" t="s">
        <v>2609</v>
      </c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305" t="str">
        <f t="shared" si="55"/>
        <v>VENCIDA</v>
      </c>
      <c r="B195" s="320" t="s">
        <v>3185</v>
      </c>
      <c r="C195" s="304" t="s">
        <v>3186</v>
      </c>
      <c r="D195" s="304" t="s">
        <v>3187</v>
      </c>
      <c r="E195" s="304" t="s">
        <v>3188</v>
      </c>
      <c r="F195" s="298">
        <v>45708.0</v>
      </c>
      <c r="G195" s="298">
        <f t="shared" si="56"/>
        <v>46073</v>
      </c>
      <c r="H195" s="300"/>
      <c r="I195" s="309">
        <f t="shared" si="57"/>
        <v>38</v>
      </c>
      <c r="J195" s="300" t="s">
        <v>2607</v>
      </c>
      <c r="K195" s="300" t="s">
        <v>2617</v>
      </c>
      <c r="L195" s="300" t="s">
        <v>2604</v>
      </c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305" t="str">
        <f t="shared" si="55"/>
        <v>VENCIDA</v>
      </c>
      <c r="B196" s="320" t="s">
        <v>3189</v>
      </c>
      <c r="C196" s="304" t="s">
        <v>3190</v>
      </c>
      <c r="D196" s="304" t="s">
        <v>3191</v>
      </c>
      <c r="E196" s="304" t="s">
        <v>3192</v>
      </c>
      <c r="F196" s="298">
        <v>45727.0</v>
      </c>
      <c r="G196" s="298">
        <f t="shared" si="56"/>
        <v>46092</v>
      </c>
      <c r="H196" s="300"/>
      <c r="I196" s="309">
        <f t="shared" si="57"/>
        <v>19</v>
      </c>
      <c r="J196" s="300" t="s">
        <v>2607</v>
      </c>
      <c r="K196" s="300" t="s">
        <v>2617</v>
      </c>
      <c r="L196" s="300" t="s">
        <v>2604</v>
      </c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305" t="str">
        <f t="shared" si="55"/>
        <v>VENCIDA</v>
      </c>
      <c r="B197" s="320" t="s">
        <v>3193</v>
      </c>
      <c r="C197" s="304" t="s">
        <v>3194</v>
      </c>
      <c r="D197" s="304" t="s">
        <v>3195</v>
      </c>
      <c r="E197" s="304" t="s">
        <v>3196</v>
      </c>
      <c r="F197" s="298">
        <v>45735.0</v>
      </c>
      <c r="G197" s="298">
        <f t="shared" si="56"/>
        <v>46100</v>
      </c>
      <c r="H197" s="300"/>
      <c r="I197" s="309">
        <f t="shared" si="57"/>
        <v>11</v>
      </c>
      <c r="J197" s="300" t="s">
        <v>2607</v>
      </c>
      <c r="K197" s="300" t="s">
        <v>2617</v>
      </c>
      <c r="L197" s="300" t="s">
        <v>2604</v>
      </c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305" t="str">
        <f t="shared" si="55"/>
        <v>VIGENTE 211 DÍAS</v>
      </c>
      <c r="B198" s="320" t="s">
        <v>3197</v>
      </c>
      <c r="C198" s="304" t="s">
        <v>1211</v>
      </c>
      <c r="D198" s="304" t="s">
        <v>590</v>
      </c>
      <c r="E198" s="304" t="s">
        <v>809</v>
      </c>
      <c r="F198" s="298">
        <v>45957.0</v>
      </c>
      <c r="G198" s="298">
        <f t="shared" si="56"/>
        <v>46322</v>
      </c>
      <c r="H198" s="300"/>
      <c r="I198" s="306">
        <f t="shared" si="57"/>
        <v>-211</v>
      </c>
      <c r="J198" s="300" t="s">
        <v>2603</v>
      </c>
      <c r="K198" s="300" t="s">
        <v>2178</v>
      </c>
      <c r="L198" s="300" t="s">
        <v>2604</v>
      </c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302" t="str">
        <f t="shared" si="55"/>
        <v>VENCIDA</v>
      </c>
      <c r="B199" s="320" t="s">
        <v>3198</v>
      </c>
      <c r="C199" s="304" t="s">
        <v>3199</v>
      </c>
      <c r="D199" s="304" t="s">
        <v>3200</v>
      </c>
      <c r="E199" s="304" t="s">
        <v>3201</v>
      </c>
      <c r="F199" s="298">
        <v>45111.0</v>
      </c>
      <c r="G199" s="298">
        <f t="shared" si="56"/>
        <v>45477</v>
      </c>
      <c r="H199" s="300" t="s">
        <v>2606</v>
      </c>
      <c r="I199" s="303">
        <f t="shared" si="57"/>
        <v>634</v>
      </c>
      <c r="J199" s="300" t="s">
        <v>2607</v>
      </c>
      <c r="K199" s="300" t="s">
        <v>2608</v>
      </c>
      <c r="L199" s="300" t="s">
        <v>2604</v>
      </c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302" t="str">
        <f t="shared" si="55"/>
        <v>VENCIDA</v>
      </c>
      <c r="B200" s="320" t="s">
        <v>3202</v>
      </c>
      <c r="C200" s="304" t="s">
        <v>3203</v>
      </c>
      <c r="D200" s="304" t="s">
        <v>3204</v>
      </c>
      <c r="E200" s="304" t="s">
        <v>3205</v>
      </c>
      <c r="F200" s="298">
        <v>45106.0</v>
      </c>
      <c r="G200" s="298">
        <f t="shared" si="56"/>
        <v>45472</v>
      </c>
      <c r="H200" s="300" t="s">
        <v>2606</v>
      </c>
      <c r="I200" s="303">
        <f t="shared" si="57"/>
        <v>639</v>
      </c>
      <c r="J200" s="300" t="s">
        <v>2607</v>
      </c>
      <c r="K200" s="300" t="s">
        <v>2608</v>
      </c>
      <c r="L200" s="300" t="s">
        <v>2604</v>
      </c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302" t="str">
        <f t="shared" si="55"/>
        <v>VENCIDA</v>
      </c>
      <c r="B201" s="320" t="s">
        <v>3206</v>
      </c>
      <c r="C201" s="304" t="s">
        <v>3207</v>
      </c>
      <c r="D201" s="304" t="s">
        <v>3208</v>
      </c>
      <c r="E201" s="304" t="s">
        <v>3209</v>
      </c>
      <c r="F201" s="298">
        <v>45101.0</v>
      </c>
      <c r="G201" s="298">
        <f t="shared" si="56"/>
        <v>45467</v>
      </c>
      <c r="H201" s="300" t="s">
        <v>2606</v>
      </c>
      <c r="I201" s="303">
        <f t="shared" si="57"/>
        <v>644</v>
      </c>
      <c r="J201" s="300" t="s">
        <v>2607</v>
      </c>
      <c r="K201" s="300" t="s">
        <v>2608</v>
      </c>
      <c r="L201" s="300" t="s">
        <v>2604</v>
      </c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302" t="str">
        <f t="shared" si="55"/>
        <v>VENCIDA</v>
      </c>
      <c r="B202" s="320" t="s">
        <v>3210</v>
      </c>
      <c r="C202" s="304" t="s">
        <v>3211</v>
      </c>
      <c r="D202" s="304" t="s">
        <v>3212</v>
      </c>
      <c r="E202" s="304" t="s">
        <v>3213</v>
      </c>
      <c r="F202" s="298">
        <v>45106.0</v>
      </c>
      <c r="G202" s="298">
        <f t="shared" si="56"/>
        <v>45472</v>
      </c>
      <c r="H202" s="300" t="s">
        <v>2606</v>
      </c>
      <c r="I202" s="303">
        <f t="shared" si="57"/>
        <v>639</v>
      </c>
      <c r="J202" s="300" t="s">
        <v>2607</v>
      </c>
      <c r="K202" s="300" t="s">
        <v>2608</v>
      </c>
      <c r="L202" s="300" t="s">
        <v>2604</v>
      </c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302" t="str">
        <f t="shared" si="55"/>
        <v>VENCIDA</v>
      </c>
      <c r="B203" s="320" t="s">
        <v>3214</v>
      </c>
      <c r="C203" s="304" t="s">
        <v>3215</v>
      </c>
      <c r="D203" s="304" t="s">
        <v>3216</v>
      </c>
      <c r="E203" s="304" t="s">
        <v>3217</v>
      </c>
      <c r="F203" s="298">
        <v>45132.0</v>
      </c>
      <c r="G203" s="298">
        <f t="shared" si="56"/>
        <v>45498</v>
      </c>
      <c r="H203" s="300" t="s">
        <v>2606</v>
      </c>
      <c r="I203" s="303">
        <f t="shared" si="57"/>
        <v>613</v>
      </c>
      <c r="J203" s="300" t="s">
        <v>2607</v>
      </c>
      <c r="K203" s="300" t="s">
        <v>2608</v>
      </c>
      <c r="L203" s="300" t="s">
        <v>2604</v>
      </c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302" t="str">
        <f t="shared" si="55"/>
        <v>VENCIDA</v>
      </c>
      <c r="B204" s="320" t="s">
        <v>3218</v>
      </c>
      <c r="C204" s="304" t="s">
        <v>3219</v>
      </c>
      <c r="D204" s="304" t="s">
        <v>3220</v>
      </c>
      <c r="E204" s="304" t="s">
        <v>3221</v>
      </c>
      <c r="F204" s="298">
        <v>45152.0</v>
      </c>
      <c r="G204" s="298">
        <f t="shared" si="56"/>
        <v>45518</v>
      </c>
      <c r="H204" s="300" t="s">
        <v>2606</v>
      </c>
      <c r="I204" s="303">
        <f t="shared" si="57"/>
        <v>593</v>
      </c>
      <c r="J204" s="300" t="s">
        <v>2607</v>
      </c>
      <c r="K204" s="300" t="s">
        <v>2608</v>
      </c>
      <c r="L204" s="300" t="s">
        <v>2604</v>
      </c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302" t="str">
        <f t="shared" si="55"/>
        <v>VENCIDA</v>
      </c>
      <c r="B205" s="320" t="s">
        <v>3222</v>
      </c>
      <c r="C205" s="304" t="s">
        <v>3223</v>
      </c>
      <c r="D205" s="304" t="s">
        <v>3224</v>
      </c>
      <c r="E205" s="304" t="s">
        <v>3225</v>
      </c>
      <c r="F205" s="298">
        <v>45168.0</v>
      </c>
      <c r="G205" s="298">
        <f t="shared" si="56"/>
        <v>45534</v>
      </c>
      <c r="H205" s="300" t="s">
        <v>2606</v>
      </c>
      <c r="I205" s="303">
        <f t="shared" si="57"/>
        <v>577</v>
      </c>
      <c r="J205" s="300" t="s">
        <v>2607</v>
      </c>
      <c r="K205" s="300" t="s">
        <v>2608</v>
      </c>
      <c r="L205" s="300" t="s">
        <v>2604</v>
      </c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302" t="str">
        <f t="shared" si="55"/>
        <v>VENCIDA</v>
      </c>
      <c r="B206" s="320" t="s">
        <v>3226</v>
      </c>
      <c r="C206" s="304" t="s">
        <v>3227</v>
      </c>
      <c r="D206" s="304" t="s">
        <v>2074</v>
      </c>
      <c r="E206" s="304" t="s">
        <v>2075</v>
      </c>
      <c r="F206" s="298">
        <v>45316.0</v>
      </c>
      <c r="G206" s="298">
        <f t="shared" si="56"/>
        <v>45682</v>
      </c>
      <c r="H206" s="300" t="s">
        <v>2606</v>
      </c>
      <c r="I206" s="303">
        <f t="shared" si="57"/>
        <v>429</v>
      </c>
      <c r="J206" s="300" t="s">
        <v>2607</v>
      </c>
      <c r="K206" s="300" t="s">
        <v>2608</v>
      </c>
      <c r="L206" s="300" t="s">
        <v>2604</v>
      </c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302" t="str">
        <f t="shared" si="55"/>
        <v>VENCIDA</v>
      </c>
      <c r="B207" s="320" t="s">
        <v>3228</v>
      </c>
      <c r="C207" s="304" t="s">
        <v>3229</v>
      </c>
      <c r="D207" s="304" t="s">
        <v>3230</v>
      </c>
      <c r="E207" s="304" t="s">
        <v>3231</v>
      </c>
      <c r="F207" s="298">
        <v>45306.0</v>
      </c>
      <c r="G207" s="298">
        <f t="shared" si="56"/>
        <v>45672</v>
      </c>
      <c r="H207" s="300" t="s">
        <v>2606</v>
      </c>
      <c r="I207" s="303">
        <f t="shared" si="57"/>
        <v>439</v>
      </c>
      <c r="J207" s="300" t="s">
        <v>2607</v>
      </c>
      <c r="K207" s="300" t="s">
        <v>2608</v>
      </c>
      <c r="L207" s="300" t="s">
        <v>2604</v>
      </c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302" t="str">
        <f t="shared" si="55"/>
        <v>VENCIDA</v>
      </c>
      <c r="B208" s="320" t="s">
        <v>3232</v>
      </c>
      <c r="C208" s="304" t="s">
        <v>3233</v>
      </c>
      <c r="D208" s="304" t="s">
        <v>3234</v>
      </c>
      <c r="E208" s="304" t="s">
        <v>3235</v>
      </c>
      <c r="F208" s="298">
        <v>45308.0</v>
      </c>
      <c r="G208" s="298">
        <f t="shared" si="56"/>
        <v>45674</v>
      </c>
      <c r="H208" s="300" t="s">
        <v>2606</v>
      </c>
      <c r="I208" s="303">
        <f t="shared" si="57"/>
        <v>437</v>
      </c>
      <c r="J208" s="300" t="s">
        <v>2607</v>
      </c>
      <c r="K208" s="300" t="s">
        <v>2608</v>
      </c>
      <c r="L208" s="300" t="s">
        <v>2604</v>
      </c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302" t="str">
        <f t="shared" si="55"/>
        <v>VENCIDA</v>
      </c>
      <c r="B209" s="320" t="s">
        <v>3236</v>
      </c>
      <c r="C209" s="304" t="s">
        <v>3237</v>
      </c>
      <c r="D209" s="304" t="s">
        <v>3238</v>
      </c>
      <c r="E209" s="304" t="s">
        <v>941</v>
      </c>
      <c r="F209" s="298">
        <v>45321.0</v>
      </c>
      <c r="G209" s="298">
        <f t="shared" si="56"/>
        <v>45687</v>
      </c>
      <c r="H209" s="300" t="s">
        <v>2606</v>
      </c>
      <c r="I209" s="303">
        <f t="shared" si="57"/>
        <v>424</v>
      </c>
      <c r="J209" s="300" t="s">
        <v>2607</v>
      </c>
      <c r="K209" s="300" t="s">
        <v>2608</v>
      </c>
      <c r="L209" s="300" t="s">
        <v>2604</v>
      </c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302" t="str">
        <f t="shared" si="55"/>
        <v>VENCIDA</v>
      </c>
      <c r="B210" s="320" t="s">
        <v>3239</v>
      </c>
      <c r="C210" s="304" t="s">
        <v>3240</v>
      </c>
      <c r="D210" s="304" t="s">
        <v>3241</v>
      </c>
      <c r="E210" s="304" t="s">
        <v>3242</v>
      </c>
      <c r="F210" s="298">
        <v>45330.0</v>
      </c>
      <c r="G210" s="298">
        <f t="shared" si="56"/>
        <v>45696</v>
      </c>
      <c r="H210" s="300" t="s">
        <v>2606</v>
      </c>
      <c r="I210" s="303">
        <f t="shared" si="57"/>
        <v>415</v>
      </c>
      <c r="J210" s="300" t="s">
        <v>2607</v>
      </c>
      <c r="K210" s="300" t="s">
        <v>2608</v>
      </c>
      <c r="L210" s="300" t="s">
        <v>2604</v>
      </c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305" t="str">
        <f t="shared" si="55"/>
        <v>VENCIDA</v>
      </c>
      <c r="B211" s="320" t="s">
        <v>3243</v>
      </c>
      <c r="C211" s="304" t="s">
        <v>3244</v>
      </c>
      <c r="D211" s="304" t="s">
        <v>3245</v>
      </c>
      <c r="E211" s="304" t="s">
        <v>3246</v>
      </c>
      <c r="F211" s="298">
        <v>45717.0</v>
      </c>
      <c r="G211" s="298">
        <f t="shared" si="56"/>
        <v>46082</v>
      </c>
      <c r="H211" s="300" t="s">
        <v>3247</v>
      </c>
      <c r="I211" s="309">
        <f t="shared" si="57"/>
        <v>29</v>
      </c>
      <c r="J211" s="300" t="s">
        <v>2603</v>
      </c>
      <c r="K211" s="300" t="s">
        <v>2617</v>
      </c>
      <c r="L211" s="300" t="s">
        <v>2604</v>
      </c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302" t="str">
        <f t="shared" si="55"/>
        <v>VENCIDA</v>
      </c>
      <c r="B212" s="320" t="s">
        <v>3248</v>
      </c>
      <c r="C212" s="304" t="s">
        <v>3249</v>
      </c>
      <c r="D212" s="304" t="s">
        <v>3250</v>
      </c>
      <c r="E212" s="304" t="s">
        <v>3251</v>
      </c>
      <c r="F212" s="298">
        <v>45334.0</v>
      </c>
      <c r="G212" s="298">
        <f t="shared" si="56"/>
        <v>45700</v>
      </c>
      <c r="H212" s="300" t="s">
        <v>2606</v>
      </c>
      <c r="I212" s="303">
        <f t="shared" si="57"/>
        <v>411</v>
      </c>
      <c r="J212" s="300" t="s">
        <v>2607</v>
      </c>
      <c r="K212" s="300" t="s">
        <v>2608</v>
      </c>
      <c r="L212" s="300" t="s">
        <v>2604</v>
      </c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300" t="s">
        <v>1207</v>
      </c>
      <c r="B213" s="320" t="s">
        <v>3252</v>
      </c>
      <c r="C213" s="304" t="s">
        <v>3253</v>
      </c>
      <c r="D213" s="304" t="s">
        <v>3254</v>
      </c>
      <c r="E213" s="304" t="s">
        <v>1185</v>
      </c>
      <c r="F213" s="325" t="s">
        <v>1207</v>
      </c>
      <c r="G213" s="325" t="s">
        <v>1207</v>
      </c>
      <c r="H213" s="300" t="s">
        <v>1207</v>
      </c>
      <c r="I213" s="300" t="s">
        <v>1207</v>
      </c>
      <c r="J213" s="300" t="s">
        <v>1207</v>
      </c>
      <c r="K213" s="300" t="s">
        <v>1207</v>
      </c>
      <c r="L213" s="300" t="s">
        <v>1207</v>
      </c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305" t="str">
        <f t="shared" ref="A214:A215" si="58">IF(G214&lt;TODAY(),"VENCIDA",IF(G214=TODAY(),"HOY","VIGENTE "&amp;G214-TODAY()&amp;" DÍAS"))</f>
        <v>VIGENTE 227 DÍAS</v>
      </c>
      <c r="B214" s="320" t="s">
        <v>3255</v>
      </c>
      <c r="C214" s="304" t="s">
        <v>3256</v>
      </c>
      <c r="D214" s="304" t="s">
        <v>3257</v>
      </c>
      <c r="E214" s="304" t="s">
        <v>3258</v>
      </c>
      <c r="F214" s="298">
        <v>45973.0</v>
      </c>
      <c r="G214" s="298">
        <f>DATE(YEAR(F214)+1,MONTH(F214),DAY(F214))</f>
        <v>46338</v>
      </c>
      <c r="H214" s="300" t="s">
        <v>2705</v>
      </c>
      <c r="I214" s="306">
        <f t="shared" ref="I214:I215" si="59">TODAY()-G214</f>
        <v>-227</v>
      </c>
      <c r="J214" s="300" t="s">
        <v>2603</v>
      </c>
      <c r="K214" s="300" t="s">
        <v>2178</v>
      </c>
      <c r="L214" s="300" t="s">
        <v>2604</v>
      </c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305" t="str">
        <f t="shared" si="58"/>
        <v>VIGENTE 685 DÍAS</v>
      </c>
      <c r="B215" s="304" t="s">
        <v>3259</v>
      </c>
      <c r="C215" s="304" t="s">
        <v>3260</v>
      </c>
      <c r="D215" s="304" t="s">
        <v>3261</v>
      </c>
      <c r="E215" s="304" t="s">
        <v>2289</v>
      </c>
      <c r="F215" s="308">
        <v>46066.0</v>
      </c>
      <c r="G215" s="308">
        <v>46796.0</v>
      </c>
      <c r="H215" s="300" t="s">
        <v>2606</v>
      </c>
      <c r="I215" s="306">
        <f t="shared" si="59"/>
        <v>-685</v>
      </c>
      <c r="J215" s="300" t="s">
        <v>2603</v>
      </c>
      <c r="K215" s="300" t="s">
        <v>2178</v>
      </c>
      <c r="L215" s="307" t="s">
        <v>313</v>
      </c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300" t="s">
        <v>1207</v>
      </c>
      <c r="B216" s="320" t="s">
        <v>3262</v>
      </c>
      <c r="C216" s="304" t="s">
        <v>3263</v>
      </c>
      <c r="D216" s="304" t="s">
        <v>499</v>
      </c>
      <c r="E216" s="304" t="s">
        <v>3264</v>
      </c>
      <c r="F216" s="325" t="s">
        <v>1207</v>
      </c>
      <c r="G216" s="325" t="s">
        <v>1207</v>
      </c>
      <c r="H216" s="300" t="s">
        <v>1207</v>
      </c>
      <c r="I216" s="300" t="s">
        <v>1207</v>
      </c>
      <c r="J216" s="300" t="s">
        <v>1207</v>
      </c>
      <c r="K216" s="300" t="s">
        <v>1207</v>
      </c>
      <c r="L216" s="300" t="s">
        <v>1207</v>
      </c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302" t="str">
        <f>IF(G217&lt;TODAY(),"VENCIDA",IF(G217=TODAY(),"HOY","VIGENTE "&amp;G217-TODAY()&amp;" DÍAS"))</f>
        <v>VENCIDA</v>
      </c>
      <c r="B217" s="320" t="s">
        <v>3265</v>
      </c>
      <c r="C217" s="304" t="s">
        <v>3266</v>
      </c>
      <c r="D217" s="304" t="s">
        <v>3267</v>
      </c>
      <c r="E217" s="304" t="s">
        <v>3268</v>
      </c>
      <c r="F217" s="298">
        <v>45348.0</v>
      </c>
      <c r="G217" s="298">
        <f>DATE(YEAR(F217)+1,MONTH(F217),DAY(F217))</f>
        <v>45714</v>
      </c>
      <c r="H217" s="300" t="s">
        <v>2606</v>
      </c>
      <c r="I217" s="303">
        <f>TODAY()-G217</f>
        <v>397</v>
      </c>
      <c r="J217" s="300" t="s">
        <v>2607</v>
      </c>
      <c r="K217" s="300" t="s">
        <v>2608</v>
      </c>
      <c r="L217" s="300" t="s">
        <v>2604</v>
      </c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325" t="s">
        <v>1207</v>
      </c>
      <c r="B218" s="320" t="s">
        <v>3269</v>
      </c>
      <c r="C218" s="304" t="s">
        <v>3270</v>
      </c>
      <c r="D218" s="304" t="s">
        <v>1083</v>
      </c>
      <c r="E218" s="304" t="s">
        <v>1084</v>
      </c>
      <c r="F218" s="325" t="s">
        <v>1207</v>
      </c>
      <c r="G218" s="325" t="s">
        <v>1207</v>
      </c>
      <c r="H218" s="325" t="s">
        <v>1207</v>
      </c>
      <c r="I218" s="325" t="s">
        <v>1207</v>
      </c>
      <c r="J218" s="325" t="s">
        <v>1207</v>
      </c>
      <c r="K218" s="325" t="s">
        <v>1207</v>
      </c>
      <c r="L218" s="325" t="s">
        <v>1207</v>
      </c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302" t="str">
        <f t="shared" ref="A219:A226" si="60">IF(G219&lt;TODAY(),"VENCIDA",IF(G219=TODAY(),"HOY","VIGENTE "&amp;G219-TODAY()&amp;" DÍAS"))</f>
        <v>VENCIDA</v>
      </c>
      <c r="B219" s="320" t="s">
        <v>3271</v>
      </c>
      <c r="C219" s="304" t="s">
        <v>3272</v>
      </c>
      <c r="D219" s="304" t="s">
        <v>3273</v>
      </c>
      <c r="E219" s="304" t="s">
        <v>1185</v>
      </c>
      <c r="F219" s="298">
        <v>45392.0</v>
      </c>
      <c r="G219" s="298">
        <f t="shared" ref="G219:G226" si="61">DATE(YEAR(F219)+1,MONTH(F219),DAY(F219))</f>
        <v>45757</v>
      </c>
      <c r="H219" s="300" t="s">
        <v>2606</v>
      </c>
      <c r="I219" s="303">
        <f t="shared" ref="I219:I226" si="62">TODAY()-G219</f>
        <v>354</v>
      </c>
      <c r="J219" s="300" t="s">
        <v>2607</v>
      </c>
      <c r="K219" s="300" t="s">
        <v>2608</v>
      </c>
      <c r="L219" s="300" t="s">
        <v>2604</v>
      </c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302" t="str">
        <f t="shared" si="60"/>
        <v>VENCIDA</v>
      </c>
      <c r="B220" s="320" t="s">
        <v>3274</v>
      </c>
      <c r="C220" s="304" t="s">
        <v>3275</v>
      </c>
      <c r="D220" s="304" t="s">
        <v>3276</v>
      </c>
      <c r="E220" s="304" t="s">
        <v>3277</v>
      </c>
      <c r="F220" s="298">
        <v>45405.0</v>
      </c>
      <c r="G220" s="298">
        <f t="shared" si="61"/>
        <v>45770</v>
      </c>
      <c r="H220" s="300" t="s">
        <v>2606</v>
      </c>
      <c r="I220" s="303">
        <f t="shared" si="62"/>
        <v>341</v>
      </c>
      <c r="J220" s="300" t="s">
        <v>2607</v>
      </c>
      <c r="K220" s="300" t="s">
        <v>2608</v>
      </c>
      <c r="L220" s="300" t="s">
        <v>2604</v>
      </c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302" t="str">
        <f t="shared" si="60"/>
        <v>VENCIDA</v>
      </c>
      <c r="B221" s="320" t="s">
        <v>3278</v>
      </c>
      <c r="C221" s="304" t="s">
        <v>3279</v>
      </c>
      <c r="D221" s="304" t="s">
        <v>3280</v>
      </c>
      <c r="E221" s="304" t="s">
        <v>3281</v>
      </c>
      <c r="F221" s="298">
        <v>45406.0</v>
      </c>
      <c r="G221" s="298">
        <f t="shared" si="61"/>
        <v>45771</v>
      </c>
      <c r="H221" s="300" t="s">
        <v>2606</v>
      </c>
      <c r="I221" s="303">
        <f t="shared" si="62"/>
        <v>340</v>
      </c>
      <c r="J221" s="300" t="s">
        <v>2607</v>
      </c>
      <c r="K221" s="300" t="s">
        <v>2608</v>
      </c>
      <c r="L221" s="300" t="s">
        <v>2604</v>
      </c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302" t="str">
        <f t="shared" si="60"/>
        <v>VENCIDA</v>
      </c>
      <c r="B222" s="320" t="s">
        <v>3282</v>
      </c>
      <c r="C222" s="317" t="s">
        <v>2766</v>
      </c>
      <c r="D222" s="304" t="s">
        <v>3283</v>
      </c>
      <c r="E222" s="304" t="s">
        <v>2768</v>
      </c>
      <c r="F222" s="298">
        <v>45412.0</v>
      </c>
      <c r="G222" s="298">
        <f t="shared" si="61"/>
        <v>45777</v>
      </c>
      <c r="H222" s="300" t="s">
        <v>2606</v>
      </c>
      <c r="I222" s="303">
        <f t="shared" si="62"/>
        <v>334</v>
      </c>
      <c r="J222" s="300" t="s">
        <v>2607</v>
      </c>
      <c r="K222" s="300" t="s">
        <v>2608</v>
      </c>
      <c r="L222" s="300" t="s">
        <v>2604</v>
      </c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302" t="str">
        <f t="shared" si="60"/>
        <v>VENCIDA</v>
      </c>
      <c r="B223" s="320" t="s">
        <v>3284</v>
      </c>
      <c r="C223" s="304" t="s">
        <v>3285</v>
      </c>
      <c r="D223" s="304" t="s">
        <v>3286</v>
      </c>
      <c r="E223" s="304" t="s">
        <v>3287</v>
      </c>
      <c r="F223" s="298">
        <v>45520.0</v>
      </c>
      <c r="G223" s="298">
        <f t="shared" si="61"/>
        <v>45885</v>
      </c>
      <c r="H223" s="300" t="s">
        <v>2606</v>
      </c>
      <c r="I223" s="303">
        <f t="shared" si="62"/>
        <v>226</v>
      </c>
      <c r="J223" s="300" t="s">
        <v>2607</v>
      </c>
      <c r="K223" s="300" t="s">
        <v>2608</v>
      </c>
      <c r="L223" s="300" t="s">
        <v>2604</v>
      </c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302" t="str">
        <f t="shared" si="60"/>
        <v>VENCIDA</v>
      </c>
      <c r="B224" s="320" t="s">
        <v>3288</v>
      </c>
      <c r="C224" s="304" t="s">
        <v>3289</v>
      </c>
      <c r="D224" s="304" t="s">
        <v>3290</v>
      </c>
      <c r="E224" s="304" t="s">
        <v>3291</v>
      </c>
      <c r="F224" s="298">
        <v>45575.0</v>
      </c>
      <c r="G224" s="298">
        <f t="shared" si="61"/>
        <v>45940</v>
      </c>
      <c r="H224" s="300" t="s">
        <v>2606</v>
      </c>
      <c r="I224" s="303">
        <f t="shared" si="62"/>
        <v>171</v>
      </c>
      <c r="J224" s="300" t="s">
        <v>2607</v>
      </c>
      <c r="K224" s="300" t="s">
        <v>2608</v>
      </c>
      <c r="L224" s="300" t="s">
        <v>2604</v>
      </c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305" t="str">
        <f t="shared" si="60"/>
        <v>VIGENTE 264 DÍAS</v>
      </c>
      <c r="B225" s="320" t="s">
        <v>3292</v>
      </c>
      <c r="C225" s="304" t="s">
        <v>3293</v>
      </c>
      <c r="D225" s="304" t="s">
        <v>1551</v>
      </c>
      <c r="E225" s="304" t="s">
        <v>1552</v>
      </c>
      <c r="F225" s="298">
        <v>46010.0</v>
      </c>
      <c r="G225" s="298">
        <f t="shared" si="61"/>
        <v>46375</v>
      </c>
      <c r="H225" s="300" t="s">
        <v>2178</v>
      </c>
      <c r="I225" s="306">
        <f t="shared" si="62"/>
        <v>-264</v>
      </c>
      <c r="J225" s="300" t="s">
        <v>2603</v>
      </c>
      <c r="K225" s="300" t="s">
        <v>2178</v>
      </c>
      <c r="L225" s="300" t="s">
        <v>2604</v>
      </c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302" t="str">
        <f t="shared" si="60"/>
        <v>VENCIDA</v>
      </c>
      <c r="B226" s="320" t="s">
        <v>3294</v>
      </c>
      <c r="C226" s="304" t="s">
        <v>3295</v>
      </c>
      <c r="D226" s="304" t="s">
        <v>3296</v>
      </c>
      <c r="E226" s="304" t="s">
        <v>3297</v>
      </c>
      <c r="F226" s="322">
        <v>45566.0</v>
      </c>
      <c r="G226" s="298">
        <f t="shared" si="61"/>
        <v>45931</v>
      </c>
      <c r="H226" s="300" t="s">
        <v>2606</v>
      </c>
      <c r="I226" s="303">
        <f t="shared" si="62"/>
        <v>180</v>
      </c>
      <c r="J226" s="300" t="s">
        <v>2607</v>
      </c>
      <c r="K226" s="300" t="s">
        <v>2608</v>
      </c>
      <c r="L226" s="300" t="s">
        <v>2604</v>
      </c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325" t="s">
        <v>1207</v>
      </c>
      <c r="B227" s="320" t="s">
        <v>3298</v>
      </c>
      <c r="C227" s="304" t="s">
        <v>3299</v>
      </c>
      <c r="D227" s="304" t="s">
        <v>3300</v>
      </c>
      <c r="E227" s="304" t="s">
        <v>3301</v>
      </c>
      <c r="F227" s="325" t="s">
        <v>1207</v>
      </c>
      <c r="G227" s="325" t="s">
        <v>1207</v>
      </c>
      <c r="H227" s="325" t="s">
        <v>1207</v>
      </c>
      <c r="I227" s="325" t="s">
        <v>1207</v>
      </c>
      <c r="J227" s="325" t="s">
        <v>1207</v>
      </c>
      <c r="K227" s="325" t="s">
        <v>1207</v>
      </c>
      <c r="L227" s="325" t="s">
        <v>1207</v>
      </c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302" t="str">
        <f t="shared" ref="A228:A242" si="63">IF(G228&lt;TODAY(),"VENCIDA",IF(G228=TODAY(),"HOY","VIGENTE "&amp;G228-TODAY()&amp;" DÍAS"))</f>
        <v>VENCIDA</v>
      </c>
      <c r="B228" s="320" t="s">
        <v>3302</v>
      </c>
      <c r="C228" s="304" t="s">
        <v>3303</v>
      </c>
      <c r="D228" s="304" t="s">
        <v>3304</v>
      </c>
      <c r="E228" s="304" t="s">
        <v>3305</v>
      </c>
      <c r="F228" s="298">
        <v>45617.0</v>
      </c>
      <c r="G228" s="298">
        <f t="shared" ref="G228:G239" si="64">DATE(YEAR(F228)+1,MONTH(F228),DAY(F228))</f>
        <v>45982</v>
      </c>
      <c r="H228" s="300"/>
      <c r="I228" s="303">
        <f t="shared" ref="I228:I242" si="65">TODAY()-G228</f>
        <v>129</v>
      </c>
      <c r="J228" s="300" t="s">
        <v>2607</v>
      </c>
      <c r="K228" s="300" t="s">
        <v>2608</v>
      </c>
      <c r="L228" s="300" t="s">
        <v>2604</v>
      </c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302" t="str">
        <f t="shared" si="63"/>
        <v>VENCIDA</v>
      </c>
      <c r="B229" s="320" t="s">
        <v>3306</v>
      </c>
      <c r="C229" s="304" t="s">
        <v>3307</v>
      </c>
      <c r="D229" s="304" t="s">
        <v>3308</v>
      </c>
      <c r="E229" s="304" t="s">
        <v>3309</v>
      </c>
      <c r="F229" s="298">
        <v>45622.0</v>
      </c>
      <c r="G229" s="298">
        <f t="shared" si="64"/>
        <v>45987</v>
      </c>
      <c r="H229" s="300"/>
      <c r="I229" s="303">
        <f t="shared" si="65"/>
        <v>124</v>
      </c>
      <c r="J229" s="300" t="s">
        <v>2607</v>
      </c>
      <c r="K229" s="300" t="s">
        <v>2608</v>
      </c>
      <c r="L229" s="300" t="s">
        <v>2604</v>
      </c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302" t="str">
        <f t="shared" si="63"/>
        <v>VENCIDA</v>
      </c>
      <c r="B230" s="320" t="s">
        <v>3310</v>
      </c>
      <c r="C230" s="304" t="s">
        <v>946</v>
      </c>
      <c r="D230" s="304" t="s">
        <v>36</v>
      </c>
      <c r="E230" s="304" t="s">
        <v>37</v>
      </c>
      <c r="F230" s="298">
        <v>45652.0</v>
      </c>
      <c r="G230" s="298">
        <f t="shared" si="64"/>
        <v>46017</v>
      </c>
      <c r="H230" s="300"/>
      <c r="I230" s="303">
        <f t="shared" si="65"/>
        <v>94</v>
      </c>
      <c r="J230" s="300" t="s">
        <v>2607</v>
      </c>
      <c r="K230" s="300" t="s">
        <v>2608</v>
      </c>
      <c r="L230" s="300" t="s">
        <v>2604</v>
      </c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302" t="str">
        <f t="shared" si="63"/>
        <v>VENCIDA</v>
      </c>
      <c r="B231" s="320" t="s">
        <v>3311</v>
      </c>
      <c r="C231" s="304" t="s">
        <v>3312</v>
      </c>
      <c r="D231" s="304" t="s">
        <v>3313</v>
      </c>
      <c r="E231" s="304" t="s">
        <v>3314</v>
      </c>
      <c r="F231" s="298">
        <v>45653.0</v>
      </c>
      <c r="G231" s="298">
        <f t="shared" si="64"/>
        <v>46018</v>
      </c>
      <c r="H231" s="300"/>
      <c r="I231" s="303">
        <f t="shared" si="65"/>
        <v>93</v>
      </c>
      <c r="J231" s="300" t="s">
        <v>2607</v>
      </c>
      <c r="K231" s="300" t="s">
        <v>2608</v>
      </c>
      <c r="L231" s="300" t="s">
        <v>2604</v>
      </c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305" t="str">
        <f t="shared" si="63"/>
        <v>VIGENTE 218 DÍAS</v>
      </c>
      <c r="B232" s="304" t="s">
        <v>3315</v>
      </c>
      <c r="C232" s="304" t="s">
        <v>2746</v>
      </c>
      <c r="D232" s="304" t="s">
        <v>2219</v>
      </c>
      <c r="E232" s="304" t="s">
        <v>3316</v>
      </c>
      <c r="F232" s="298">
        <v>45964.0</v>
      </c>
      <c r="G232" s="298">
        <f t="shared" si="64"/>
        <v>46329</v>
      </c>
      <c r="H232" s="300" t="s">
        <v>2178</v>
      </c>
      <c r="I232" s="306">
        <f t="shared" si="65"/>
        <v>-218</v>
      </c>
      <c r="J232" s="300" t="s">
        <v>2603</v>
      </c>
      <c r="K232" s="300" t="s">
        <v>2178</v>
      </c>
      <c r="L232" s="300" t="s">
        <v>2604</v>
      </c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305" t="str">
        <f t="shared" si="63"/>
        <v>VIGENTE 225 DÍAS</v>
      </c>
      <c r="B233" s="304" t="s">
        <v>3317</v>
      </c>
      <c r="C233" s="317" t="s">
        <v>1774</v>
      </c>
      <c r="D233" s="326" t="s">
        <v>1772</v>
      </c>
      <c r="E233" s="304" t="s">
        <v>3316</v>
      </c>
      <c r="F233" s="298">
        <v>45971.0</v>
      </c>
      <c r="G233" s="298">
        <f t="shared" si="64"/>
        <v>46336</v>
      </c>
      <c r="H233" s="300" t="s">
        <v>2178</v>
      </c>
      <c r="I233" s="306">
        <f t="shared" si="65"/>
        <v>-225</v>
      </c>
      <c r="J233" s="300" t="s">
        <v>2603</v>
      </c>
      <c r="K233" s="300" t="s">
        <v>2178</v>
      </c>
      <c r="L233" s="300" t="s">
        <v>2604</v>
      </c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305" t="str">
        <f t="shared" si="63"/>
        <v>VIGENTE 233 DÍAS</v>
      </c>
      <c r="B234" s="304" t="s">
        <v>2474</v>
      </c>
      <c r="C234" s="94" t="s">
        <v>1444</v>
      </c>
      <c r="D234" s="304" t="s">
        <v>3318</v>
      </c>
      <c r="E234" s="300" t="s">
        <v>2476</v>
      </c>
      <c r="F234" s="274">
        <v>45979.0</v>
      </c>
      <c r="G234" s="298">
        <f t="shared" si="64"/>
        <v>46344</v>
      </c>
      <c r="H234" s="300" t="s">
        <v>3158</v>
      </c>
      <c r="I234" s="306">
        <f t="shared" si="65"/>
        <v>-233</v>
      </c>
      <c r="J234" s="300" t="s">
        <v>2603</v>
      </c>
      <c r="K234" s="300" t="s">
        <v>2178</v>
      </c>
      <c r="L234" s="300" t="s">
        <v>2604</v>
      </c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305" t="str">
        <f t="shared" si="63"/>
        <v>VIGENTE 246 DÍAS</v>
      </c>
      <c r="B235" s="304" t="s">
        <v>1441</v>
      </c>
      <c r="C235" s="94" t="s">
        <v>1444</v>
      </c>
      <c r="D235" s="304" t="s">
        <v>1442</v>
      </c>
      <c r="E235" s="304" t="s">
        <v>1443</v>
      </c>
      <c r="F235" s="274">
        <v>45992.0</v>
      </c>
      <c r="G235" s="298">
        <f t="shared" si="64"/>
        <v>46357</v>
      </c>
      <c r="H235" s="300" t="s">
        <v>2178</v>
      </c>
      <c r="I235" s="306">
        <f t="shared" si="65"/>
        <v>-246</v>
      </c>
      <c r="J235" s="300" t="s">
        <v>2603</v>
      </c>
      <c r="K235" s="300" t="s">
        <v>2178</v>
      </c>
      <c r="L235" s="300" t="s">
        <v>2604</v>
      </c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305" t="str">
        <f t="shared" si="63"/>
        <v>VIGENTE 248 DÍAS</v>
      </c>
      <c r="B236" s="304" t="s">
        <v>3319</v>
      </c>
      <c r="C236" s="304" t="s">
        <v>2531</v>
      </c>
      <c r="D236" s="304" t="s">
        <v>3320</v>
      </c>
      <c r="E236" s="304"/>
      <c r="F236" s="298">
        <v>45994.0</v>
      </c>
      <c r="G236" s="298">
        <f t="shared" si="64"/>
        <v>46359</v>
      </c>
      <c r="H236" s="300"/>
      <c r="I236" s="306">
        <f t="shared" si="65"/>
        <v>-248</v>
      </c>
      <c r="J236" s="300" t="s">
        <v>2603</v>
      </c>
      <c r="K236" s="300" t="s">
        <v>2178</v>
      </c>
      <c r="L236" s="300" t="s">
        <v>2604</v>
      </c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305" t="str">
        <f t="shared" si="63"/>
        <v>VIGENTE 233 DÍAS</v>
      </c>
      <c r="B237" s="304" t="s">
        <v>3321</v>
      </c>
      <c r="C237" s="304" t="s">
        <v>3322</v>
      </c>
      <c r="D237" s="304" t="s">
        <v>506</v>
      </c>
      <c r="E237" s="304" t="s">
        <v>1296</v>
      </c>
      <c r="F237" s="298">
        <v>45979.0</v>
      </c>
      <c r="G237" s="298">
        <f t="shared" si="64"/>
        <v>46344</v>
      </c>
      <c r="H237" s="300"/>
      <c r="I237" s="306">
        <f t="shared" si="65"/>
        <v>-233</v>
      </c>
      <c r="J237" s="300" t="s">
        <v>2603</v>
      </c>
      <c r="K237" s="300" t="s">
        <v>2178</v>
      </c>
      <c r="L237" s="300" t="s">
        <v>2604</v>
      </c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305" t="str">
        <f t="shared" si="63"/>
        <v>VIGENTE 242 DÍAS</v>
      </c>
      <c r="B238" s="327" t="s">
        <v>3323</v>
      </c>
      <c r="C238" s="304" t="s">
        <v>3324</v>
      </c>
      <c r="D238" s="304" t="s">
        <v>1272</v>
      </c>
      <c r="E238" s="304"/>
      <c r="F238" s="298">
        <v>45988.0</v>
      </c>
      <c r="G238" s="298">
        <f t="shared" si="64"/>
        <v>46353</v>
      </c>
      <c r="H238" s="300"/>
      <c r="I238" s="306">
        <f t="shared" si="65"/>
        <v>-242</v>
      </c>
      <c r="J238" s="300" t="s">
        <v>2603</v>
      </c>
      <c r="K238" s="300" t="s">
        <v>2178</v>
      </c>
      <c r="L238" s="300" t="s">
        <v>2604</v>
      </c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305" t="str">
        <f t="shared" si="63"/>
        <v>VIGENTE 233 DÍAS</v>
      </c>
      <c r="B239" s="304" t="s">
        <v>1303</v>
      </c>
      <c r="C239" s="304" t="s">
        <v>1304</v>
      </c>
      <c r="D239" s="304" t="s">
        <v>478</v>
      </c>
      <c r="E239" s="304" t="s">
        <v>2454</v>
      </c>
      <c r="F239" s="298">
        <v>45979.0</v>
      </c>
      <c r="G239" s="298">
        <f t="shared" si="64"/>
        <v>46344</v>
      </c>
      <c r="H239" s="300"/>
      <c r="I239" s="306">
        <f t="shared" si="65"/>
        <v>-233</v>
      </c>
      <c r="J239" s="300" t="s">
        <v>2603</v>
      </c>
      <c r="K239" s="300" t="s">
        <v>2178</v>
      </c>
      <c r="L239" s="300" t="s">
        <v>2604</v>
      </c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305" t="str">
        <f t="shared" si="63"/>
        <v>VIGENTE 268 DÍAS</v>
      </c>
      <c r="B240" s="300" t="s">
        <v>1278</v>
      </c>
      <c r="C240" s="300" t="s">
        <v>1281</v>
      </c>
      <c r="D240" s="300" t="s">
        <v>1279</v>
      </c>
      <c r="E240" s="300" t="s">
        <v>1280</v>
      </c>
      <c r="F240" s="298">
        <v>46014.0</v>
      </c>
      <c r="G240" s="298">
        <v>46379.0</v>
      </c>
      <c r="H240" s="300"/>
      <c r="I240" s="306">
        <f t="shared" si="65"/>
        <v>-268</v>
      </c>
      <c r="J240" s="300" t="s">
        <v>2603</v>
      </c>
      <c r="K240" s="300" t="s">
        <v>2178</v>
      </c>
      <c r="L240" s="300" t="s">
        <v>2604</v>
      </c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305" t="str">
        <f t="shared" si="63"/>
        <v>VIGENTE 361 DÍAS</v>
      </c>
      <c r="B241" s="300" t="s">
        <v>348</v>
      </c>
      <c r="C241" s="317" t="s">
        <v>338</v>
      </c>
      <c r="D241" s="300" t="s">
        <v>3325</v>
      </c>
      <c r="E241" s="300" t="s">
        <v>345</v>
      </c>
      <c r="F241" s="298">
        <v>45742.0</v>
      </c>
      <c r="G241" s="298">
        <v>46472.0</v>
      </c>
      <c r="H241" s="300"/>
      <c r="I241" s="306">
        <f t="shared" si="65"/>
        <v>-361</v>
      </c>
      <c r="J241" s="300" t="s">
        <v>2603</v>
      </c>
      <c r="K241" s="300" t="s">
        <v>2178</v>
      </c>
      <c r="L241" s="307" t="s">
        <v>313</v>
      </c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305" t="str">
        <f t="shared" si="63"/>
        <v>VENCIDA</v>
      </c>
      <c r="B242" s="300" t="s">
        <v>2591</v>
      </c>
      <c r="C242" s="94" t="s">
        <v>1774</v>
      </c>
      <c r="D242" s="300" t="s">
        <v>1772</v>
      </c>
      <c r="E242" s="300" t="s">
        <v>2512</v>
      </c>
      <c r="F242" s="298">
        <v>45971.0</v>
      </c>
      <c r="G242" s="298">
        <v>46108.0</v>
      </c>
      <c r="H242" s="300"/>
      <c r="I242" s="306">
        <f t="shared" si="65"/>
        <v>3</v>
      </c>
      <c r="J242" s="300" t="s">
        <v>2603</v>
      </c>
      <c r="K242" s="300" t="s">
        <v>2178</v>
      </c>
      <c r="L242" s="300" t="s">
        <v>313</v>
      </c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289"/>
      <c r="I243" s="289"/>
    </row>
    <row r="244">
      <c r="A244" s="289"/>
      <c r="I244" s="289"/>
    </row>
    <row r="245">
      <c r="A245" s="289"/>
      <c r="I245" s="289"/>
    </row>
    <row r="246">
      <c r="A246" s="289"/>
      <c r="I246" s="289"/>
    </row>
    <row r="247">
      <c r="A247" s="289"/>
      <c r="I247" s="289"/>
    </row>
    <row r="248">
      <c r="A248" s="289"/>
      <c r="I248" s="289"/>
    </row>
    <row r="249">
      <c r="A249" s="289"/>
      <c r="I249" s="289"/>
    </row>
    <row r="250">
      <c r="A250" s="289"/>
      <c r="I250" s="289"/>
    </row>
    <row r="251">
      <c r="A251" s="289"/>
      <c r="I251" s="289"/>
    </row>
    <row r="252">
      <c r="A252" s="289"/>
      <c r="I252" s="289"/>
    </row>
    <row r="253">
      <c r="A253" s="289"/>
      <c r="I253" s="289"/>
    </row>
    <row r="254">
      <c r="A254" s="289"/>
      <c r="I254" s="289"/>
    </row>
    <row r="255">
      <c r="A255" s="289"/>
      <c r="I255" s="289"/>
    </row>
    <row r="256">
      <c r="A256" s="289"/>
      <c r="I256" s="289"/>
    </row>
    <row r="257">
      <c r="A257" s="289"/>
      <c r="I257" s="289"/>
    </row>
    <row r="258">
      <c r="A258" s="289"/>
      <c r="I258" s="289"/>
    </row>
    <row r="259">
      <c r="A259" s="289"/>
      <c r="I259" s="289"/>
    </row>
    <row r="260">
      <c r="A260" s="289"/>
      <c r="I260" s="289"/>
    </row>
    <row r="261">
      <c r="A261" s="289"/>
      <c r="I261" s="289"/>
    </row>
    <row r="262">
      <c r="A262" s="289"/>
      <c r="I262" s="289"/>
    </row>
    <row r="263">
      <c r="A263" s="289"/>
      <c r="I263" s="289"/>
    </row>
    <row r="264">
      <c r="A264" s="289"/>
      <c r="I264" s="289"/>
    </row>
    <row r="265">
      <c r="A265" s="289"/>
      <c r="I265" s="289"/>
    </row>
    <row r="266">
      <c r="A266" s="289"/>
      <c r="I266" s="289"/>
    </row>
    <row r="267">
      <c r="A267" s="289"/>
      <c r="I267" s="289"/>
    </row>
    <row r="268">
      <c r="A268" s="289"/>
      <c r="I268" s="289"/>
    </row>
    <row r="269">
      <c r="A269" s="289"/>
      <c r="I269" s="289"/>
    </row>
    <row r="270">
      <c r="A270" s="289"/>
      <c r="I270" s="289"/>
    </row>
    <row r="271">
      <c r="A271" s="289"/>
      <c r="I271" s="289"/>
    </row>
    <row r="272">
      <c r="A272" s="289"/>
      <c r="I272" s="289"/>
    </row>
    <row r="273">
      <c r="A273" s="289"/>
      <c r="I273" s="289"/>
    </row>
    <row r="274">
      <c r="A274" s="289"/>
      <c r="I274" s="289"/>
    </row>
    <row r="275">
      <c r="A275" s="289"/>
      <c r="I275" s="289"/>
    </row>
    <row r="276">
      <c r="A276" s="289"/>
      <c r="I276" s="289"/>
    </row>
    <row r="277">
      <c r="A277" s="289"/>
      <c r="I277" s="289"/>
    </row>
    <row r="278">
      <c r="A278" s="289"/>
      <c r="I278" s="289"/>
    </row>
    <row r="279">
      <c r="A279" s="289"/>
      <c r="I279" s="289"/>
    </row>
    <row r="280">
      <c r="A280" s="289"/>
      <c r="I280" s="289"/>
    </row>
    <row r="281">
      <c r="A281" s="289"/>
      <c r="I281" s="289"/>
    </row>
    <row r="282">
      <c r="A282" s="289"/>
      <c r="I282" s="289"/>
    </row>
    <row r="283">
      <c r="A283" s="289"/>
      <c r="I283" s="289"/>
    </row>
    <row r="284">
      <c r="A284" s="289"/>
      <c r="I284" s="289"/>
    </row>
    <row r="285">
      <c r="A285" s="289"/>
      <c r="I285" s="289"/>
    </row>
    <row r="286">
      <c r="A286" s="289"/>
      <c r="I286" s="289"/>
    </row>
    <row r="287">
      <c r="A287" s="289"/>
      <c r="I287" s="289"/>
    </row>
    <row r="288">
      <c r="A288" s="289"/>
      <c r="I288" s="289"/>
    </row>
    <row r="289">
      <c r="A289" s="289"/>
      <c r="I289" s="289"/>
    </row>
    <row r="290">
      <c r="A290" s="289"/>
      <c r="I290" s="289"/>
    </row>
    <row r="291">
      <c r="A291" s="289"/>
      <c r="I291" s="289"/>
    </row>
    <row r="292">
      <c r="A292" s="289"/>
      <c r="I292" s="289"/>
    </row>
    <row r="293">
      <c r="A293" s="289"/>
      <c r="I293" s="289"/>
    </row>
    <row r="294">
      <c r="A294" s="289"/>
      <c r="I294" s="289"/>
    </row>
    <row r="295">
      <c r="A295" s="289"/>
      <c r="I295" s="289"/>
    </row>
    <row r="296">
      <c r="A296" s="289"/>
      <c r="I296" s="289"/>
    </row>
    <row r="297">
      <c r="A297" s="289"/>
      <c r="I297" s="289"/>
    </row>
    <row r="298">
      <c r="A298" s="289"/>
      <c r="I298" s="289"/>
    </row>
    <row r="299">
      <c r="A299" s="289"/>
      <c r="I299" s="289"/>
    </row>
    <row r="300">
      <c r="A300" s="289"/>
      <c r="I300" s="289"/>
    </row>
    <row r="301">
      <c r="A301" s="289"/>
      <c r="I301" s="289"/>
    </row>
    <row r="302">
      <c r="A302" s="289"/>
      <c r="I302" s="289"/>
    </row>
    <row r="303">
      <c r="A303" s="289"/>
      <c r="I303" s="289"/>
    </row>
    <row r="304">
      <c r="A304" s="289"/>
      <c r="I304" s="289"/>
    </row>
    <row r="305">
      <c r="A305" s="289"/>
      <c r="I305" s="289"/>
    </row>
    <row r="306">
      <c r="A306" s="289"/>
      <c r="I306" s="289"/>
    </row>
    <row r="307">
      <c r="A307" s="289"/>
      <c r="I307" s="289"/>
    </row>
    <row r="308">
      <c r="A308" s="289"/>
      <c r="I308" s="289"/>
    </row>
    <row r="309">
      <c r="A309" s="289"/>
      <c r="I309" s="289"/>
    </row>
    <row r="310">
      <c r="A310" s="289"/>
      <c r="I310" s="289"/>
    </row>
    <row r="311">
      <c r="A311" s="289"/>
      <c r="I311" s="289"/>
    </row>
    <row r="312">
      <c r="A312" s="289"/>
      <c r="I312" s="289"/>
    </row>
    <row r="313">
      <c r="A313" s="289"/>
      <c r="I313" s="289"/>
    </row>
    <row r="314">
      <c r="A314" s="289"/>
      <c r="I314" s="289"/>
    </row>
    <row r="315">
      <c r="A315" s="289"/>
      <c r="I315" s="289"/>
    </row>
    <row r="316">
      <c r="A316" s="289"/>
      <c r="I316" s="289"/>
    </row>
    <row r="317">
      <c r="A317" s="289"/>
      <c r="I317" s="289"/>
    </row>
    <row r="318">
      <c r="A318" s="289"/>
      <c r="I318" s="289"/>
    </row>
    <row r="319">
      <c r="A319" s="289"/>
      <c r="I319" s="289"/>
    </row>
    <row r="320">
      <c r="A320" s="289"/>
      <c r="I320" s="289"/>
    </row>
    <row r="321">
      <c r="A321" s="289"/>
      <c r="I321" s="289"/>
    </row>
    <row r="322">
      <c r="A322" s="289"/>
      <c r="I322" s="289"/>
    </row>
    <row r="323">
      <c r="A323" s="289"/>
      <c r="I323" s="289"/>
    </row>
    <row r="324">
      <c r="A324" s="289"/>
      <c r="I324" s="289"/>
    </row>
    <row r="325">
      <c r="A325" s="289"/>
      <c r="I325" s="289"/>
    </row>
    <row r="326">
      <c r="A326" s="289"/>
      <c r="I326" s="289"/>
    </row>
    <row r="327">
      <c r="A327" s="289"/>
      <c r="I327" s="289"/>
    </row>
    <row r="328">
      <c r="A328" s="289"/>
      <c r="I328" s="289"/>
    </row>
    <row r="329">
      <c r="A329" s="289"/>
      <c r="I329" s="289"/>
    </row>
    <row r="330">
      <c r="A330" s="289"/>
      <c r="I330" s="289"/>
    </row>
    <row r="331">
      <c r="A331" s="289"/>
      <c r="I331" s="289"/>
    </row>
    <row r="332">
      <c r="A332" s="289"/>
      <c r="I332" s="289"/>
    </row>
    <row r="333">
      <c r="A333" s="289"/>
      <c r="I333" s="289"/>
    </row>
    <row r="334">
      <c r="A334" s="289"/>
      <c r="I334" s="289"/>
    </row>
    <row r="335">
      <c r="A335" s="289"/>
      <c r="I335" s="289"/>
    </row>
    <row r="336">
      <c r="A336" s="289"/>
      <c r="I336" s="289"/>
    </row>
    <row r="337">
      <c r="A337" s="289"/>
      <c r="I337" s="289"/>
    </row>
    <row r="338">
      <c r="A338" s="289"/>
      <c r="I338" s="289"/>
    </row>
    <row r="339">
      <c r="A339" s="289"/>
      <c r="I339" s="289"/>
    </row>
    <row r="340">
      <c r="A340" s="289"/>
      <c r="I340" s="289"/>
    </row>
    <row r="341">
      <c r="A341" s="289"/>
      <c r="I341" s="289"/>
    </row>
    <row r="342">
      <c r="A342" s="289"/>
      <c r="I342" s="289"/>
    </row>
    <row r="343">
      <c r="A343" s="289"/>
      <c r="I343" s="289"/>
    </row>
    <row r="344">
      <c r="A344" s="289"/>
      <c r="I344" s="289"/>
    </row>
    <row r="345">
      <c r="A345" s="289"/>
      <c r="I345" s="289"/>
    </row>
    <row r="346">
      <c r="A346" s="289"/>
      <c r="I346" s="289"/>
    </row>
    <row r="347">
      <c r="A347" s="289"/>
      <c r="I347" s="289"/>
    </row>
    <row r="348">
      <c r="A348" s="289"/>
      <c r="I348" s="289"/>
    </row>
    <row r="349">
      <c r="A349" s="289"/>
      <c r="I349" s="289"/>
    </row>
    <row r="350">
      <c r="A350" s="289"/>
      <c r="I350" s="289"/>
    </row>
    <row r="351">
      <c r="A351" s="289"/>
      <c r="I351" s="289"/>
    </row>
    <row r="352">
      <c r="A352" s="289"/>
      <c r="I352" s="289"/>
    </row>
    <row r="353">
      <c r="A353" s="289"/>
      <c r="I353" s="289"/>
    </row>
    <row r="354">
      <c r="A354" s="289"/>
      <c r="I354" s="289"/>
    </row>
    <row r="355">
      <c r="A355" s="289"/>
      <c r="I355" s="289"/>
    </row>
    <row r="356">
      <c r="A356" s="289"/>
      <c r="I356" s="289"/>
    </row>
    <row r="357">
      <c r="A357" s="289"/>
      <c r="I357" s="289"/>
    </row>
    <row r="358">
      <c r="A358" s="289"/>
      <c r="I358" s="289"/>
    </row>
    <row r="359">
      <c r="A359" s="289"/>
      <c r="I359" s="289"/>
    </row>
    <row r="360">
      <c r="A360" s="289"/>
      <c r="I360" s="289"/>
    </row>
    <row r="361">
      <c r="A361" s="289"/>
      <c r="I361" s="289"/>
    </row>
    <row r="362">
      <c r="A362" s="289"/>
      <c r="I362" s="289"/>
    </row>
    <row r="363">
      <c r="A363" s="289"/>
      <c r="I363" s="289"/>
    </row>
    <row r="364">
      <c r="A364" s="289"/>
      <c r="I364" s="289"/>
    </row>
    <row r="365">
      <c r="A365" s="289"/>
      <c r="I365" s="289"/>
    </row>
    <row r="366">
      <c r="A366" s="289"/>
      <c r="I366" s="289"/>
    </row>
    <row r="367">
      <c r="A367" s="289"/>
      <c r="I367" s="289"/>
    </row>
    <row r="368">
      <c r="A368" s="289"/>
      <c r="I368" s="289"/>
    </row>
    <row r="369">
      <c r="A369" s="289"/>
      <c r="I369" s="289"/>
    </row>
    <row r="370">
      <c r="A370" s="289"/>
      <c r="I370" s="289"/>
    </row>
    <row r="371">
      <c r="A371" s="289"/>
      <c r="I371" s="289"/>
    </row>
    <row r="372">
      <c r="A372" s="289"/>
      <c r="I372" s="289"/>
    </row>
    <row r="373">
      <c r="A373" s="289"/>
      <c r="I373" s="289"/>
    </row>
    <row r="374">
      <c r="A374" s="289"/>
      <c r="I374" s="289"/>
    </row>
    <row r="375">
      <c r="A375" s="289"/>
      <c r="I375" s="289"/>
    </row>
    <row r="376">
      <c r="A376" s="289"/>
      <c r="I376" s="289"/>
    </row>
    <row r="377">
      <c r="A377" s="289"/>
      <c r="I377" s="289"/>
    </row>
    <row r="378">
      <c r="A378" s="289"/>
      <c r="I378" s="289"/>
    </row>
    <row r="379">
      <c r="A379" s="289"/>
      <c r="I379" s="289"/>
    </row>
    <row r="380">
      <c r="A380" s="289"/>
      <c r="I380" s="289"/>
    </row>
    <row r="381">
      <c r="A381" s="289"/>
      <c r="I381" s="289"/>
    </row>
    <row r="382">
      <c r="A382" s="289"/>
      <c r="I382" s="289"/>
    </row>
    <row r="383">
      <c r="A383" s="289"/>
      <c r="I383" s="289"/>
    </row>
    <row r="384">
      <c r="A384" s="289"/>
      <c r="I384" s="289"/>
    </row>
    <row r="385">
      <c r="A385" s="289"/>
      <c r="I385" s="289"/>
    </row>
    <row r="386">
      <c r="A386" s="289"/>
      <c r="I386" s="289"/>
    </row>
    <row r="387">
      <c r="A387" s="289"/>
      <c r="I387" s="289"/>
    </row>
    <row r="388">
      <c r="A388" s="289"/>
      <c r="I388" s="289"/>
    </row>
    <row r="389">
      <c r="A389" s="289"/>
      <c r="I389" s="289"/>
    </row>
    <row r="390">
      <c r="A390" s="289"/>
      <c r="I390" s="289"/>
    </row>
    <row r="391">
      <c r="A391" s="289"/>
      <c r="I391" s="289"/>
    </row>
    <row r="392">
      <c r="A392" s="289"/>
      <c r="I392" s="289"/>
    </row>
    <row r="393">
      <c r="A393" s="289"/>
      <c r="I393" s="289"/>
    </row>
    <row r="394">
      <c r="A394" s="289"/>
      <c r="I394" s="289"/>
    </row>
    <row r="395">
      <c r="A395" s="289"/>
      <c r="I395" s="289"/>
    </row>
    <row r="396">
      <c r="A396" s="289"/>
      <c r="I396" s="289"/>
    </row>
    <row r="397">
      <c r="A397" s="289"/>
      <c r="I397" s="289"/>
    </row>
    <row r="398">
      <c r="A398" s="289"/>
      <c r="I398" s="289"/>
    </row>
    <row r="399">
      <c r="A399" s="289"/>
      <c r="I399" s="289"/>
    </row>
    <row r="400">
      <c r="A400" s="289"/>
      <c r="I400" s="289"/>
    </row>
    <row r="401">
      <c r="A401" s="289"/>
      <c r="I401" s="289"/>
    </row>
    <row r="402">
      <c r="A402" s="289"/>
      <c r="I402" s="289"/>
    </row>
    <row r="403">
      <c r="A403" s="289"/>
      <c r="I403" s="289"/>
    </row>
    <row r="404">
      <c r="A404" s="289"/>
      <c r="I404" s="289"/>
    </row>
    <row r="405">
      <c r="A405" s="289"/>
      <c r="I405" s="289"/>
    </row>
    <row r="406">
      <c r="A406" s="289"/>
      <c r="I406" s="289"/>
    </row>
    <row r="407">
      <c r="A407" s="289"/>
      <c r="I407" s="289"/>
    </row>
    <row r="408">
      <c r="A408" s="289"/>
      <c r="I408" s="289"/>
    </row>
    <row r="409">
      <c r="A409" s="289"/>
      <c r="I409" s="289"/>
    </row>
    <row r="410">
      <c r="A410" s="289"/>
      <c r="I410" s="289"/>
    </row>
    <row r="411">
      <c r="A411" s="289"/>
      <c r="I411" s="289"/>
    </row>
    <row r="412">
      <c r="A412" s="289"/>
      <c r="I412" s="289"/>
    </row>
    <row r="413">
      <c r="A413" s="289"/>
      <c r="I413" s="289"/>
    </row>
    <row r="414">
      <c r="A414" s="289"/>
      <c r="I414" s="289"/>
    </row>
    <row r="415">
      <c r="A415" s="289"/>
      <c r="I415" s="289"/>
    </row>
    <row r="416">
      <c r="A416" s="289"/>
      <c r="I416" s="289"/>
    </row>
    <row r="417">
      <c r="A417" s="289"/>
      <c r="I417" s="289"/>
    </row>
    <row r="418">
      <c r="A418" s="289"/>
      <c r="I418" s="289"/>
    </row>
    <row r="419">
      <c r="A419" s="289"/>
      <c r="I419" s="289"/>
    </row>
    <row r="420">
      <c r="A420" s="289"/>
      <c r="I420" s="289"/>
    </row>
    <row r="421">
      <c r="A421" s="289"/>
      <c r="I421" s="289"/>
    </row>
    <row r="422">
      <c r="A422" s="289"/>
      <c r="I422" s="289"/>
    </row>
    <row r="423">
      <c r="A423" s="289"/>
      <c r="I423" s="289"/>
    </row>
    <row r="424">
      <c r="A424" s="289"/>
      <c r="I424" s="289"/>
    </row>
    <row r="425">
      <c r="A425" s="289"/>
      <c r="I425" s="289"/>
    </row>
    <row r="426">
      <c r="A426" s="289"/>
      <c r="I426" s="289"/>
    </row>
    <row r="427">
      <c r="A427" s="289"/>
      <c r="I427" s="289"/>
    </row>
    <row r="428">
      <c r="A428" s="289"/>
      <c r="I428" s="289"/>
    </row>
    <row r="429">
      <c r="A429" s="289"/>
      <c r="I429" s="289"/>
    </row>
    <row r="430">
      <c r="A430" s="289"/>
      <c r="I430" s="289"/>
    </row>
    <row r="431">
      <c r="A431" s="289"/>
      <c r="I431" s="289"/>
    </row>
    <row r="432">
      <c r="A432" s="289"/>
      <c r="I432" s="289"/>
    </row>
    <row r="433">
      <c r="A433" s="289"/>
      <c r="I433" s="289"/>
    </row>
    <row r="434">
      <c r="A434" s="289"/>
      <c r="I434" s="289"/>
    </row>
    <row r="435">
      <c r="A435" s="289"/>
      <c r="I435" s="289"/>
    </row>
    <row r="436">
      <c r="A436" s="289"/>
      <c r="I436" s="289"/>
    </row>
    <row r="437">
      <c r="A437" s="289"/>
      <c r="I437" s="289"/>
    </row>
    <row r="438">
      <c r="A438" s="289"/>
      <c r="I438" s="289"/>
    </row>
    <row r="439">
      <c r="A439" s="289"/>
      <c r="I439" s="289"/>
    </row>
    <row r="440">
      <c r="A440" s="289"/>
      <c r="I440" s="289"/>
    </row>
    <row r="441">
      <c r="A441" s="289"/>
      <c r="I441" s="289"/>
    </row>
    <row r="442">
      <c r="A442" s="289"/>
      <c r="I442" s="289"/>
    </row>
    <row r="443">
      <c r="A443" s="289"/>
      <c r="I443" s="289"/>
    </row>
    <row r="444">
      <c r="A444" s="289"/>
      <c r="I444" s="289"/>
    </row>
    <row r="445">
      <c r="A445" s="289"/>
      <c r="I445" s="289"/>
    </row>
    <row r="446">
      <c r="A446" s="289"/>
      <c r="I446" s="289"/>
    </row>
    <row r="447">
      <c r="A447" s="289"/>
      <c r="I447" s="289"/>
    </row>
    <row r="448">
      <c r="A448" s="289"/>
      <c r="I448" s="289"/>
    </row>
    <row r="449">
      <c r="A449" s="289"/>
      <c r="I449" s="289"/>
    </row>
    <row r="450">
      <c r="A450" s="289"/>
      <c r="I450" s="289"/>
    </row>
    <row r="451">
      <c r="A451" s="289"/>
      <c r="I451" s="289"/>
    </row>
    <row r="452">
      <c r="A452" s="289"/>
      <c r="I452" s="289"/>
    </row>
    <row r="453">
      <c r="A453" s="289"/>
      <c r="I453" s="289"/>
    </row>
    <row r="454">
      <c r="A454" s="289"/>
      <c r="I454" s="289"/>
    </row>
    <row r="455">
      <c r="A455" s="289"/>
      <c r="I455" s="289"/>
    </row>
    <row r="456">
      <c r="A456" s="289"/>
      <c r="I456" s="289"/>
    </row>
    <row r="457">
      <c r="A457" s="289"/>
      <c r="I457" s="289"/>
    </row>
    <row r="458">
      <c r="A458" s="289"/>
      <c r="I458" s="289"/>
    </row>
    <row r="459">
      <c r="A459" s="289"/>
      <c r="I459" s="289"/>
    </row>
    <row r="460">
      <c r="A460" s="289"/>
      <c r="I460" s="289"/>
    </row>
    <row r="461">
      <c r="A461" s="289"/>
      <c r="I461" s="289"/>
    </row>
    <row r="462">
      <c r="A462" s="289"/>
      <c r="I462" s="289"/>
    </row>
    <row r="463">
      <c r="A463" s="289"/>
      <c r="I463" s="289"/>
    </row>
    <row r="464">
      <c r="A464" s="289"/>
      <c r="I464" s="289"/>
    </row>
    <row r="465">
      <c r="A465" s="289"/>
      <c r="I465" s="289"/>
    </row>
    <row r="466">
      <c r="A466" s="289"/>
      <c r="I466" s="289"/>
    </row>
    <row r="467">
      <c r="A467" s="289"/>
      <c r="I467" s="289"/>
    </row>
    <row r="468">
      <c r="A468" s="289"/>
      <c r="I468" s="289"/>
    </row>
    <row r="469">
      <c r="A469" s="289"/>
      <c r="I469" s="289"/>
    </row>
    <row r="470">
      <c r="A470" s="289"/>
      <c r="I470" s="289"/>
    </row>
    <row r="471">
      <c r="A471" s="289"/>
      <c r="I471" s="289"/>
    </row>
    <row r="472">
      <c r="A472" s="289"/>
      <c r="I472" s="289"/>
    </row>
    <row r="473">
      <c r="A473" s="289"/>
      <c r="I473" s="289"/>
    </row>
    <row r="474">
      <c r="A474" s="289"/>
      <c r="I474" s="289"/>
    </row>
    <row r="475">
      <c r="A475" s="289"/>
      <c r="I475" s="289"/>
    </row>
    <row r="476">
      <c r="A476" s="289"/>
      <c r="I476" s="289"/>
    </row>
    <row r="477">
      <c r="A477" s="289"/>
      <c r="I477" s="289"/>
    </row>
    <row r="478">
      <c r="A478" s="289"/>
      <c r="I478" s="289"/>
    </row>
    <row r="479">
      <c r="A479" s="289"/>
      <c r="I479" s="289"/>
    </row>
    <row r="480">
      <c r="A480" s="289"/>
      <c r="I480" s="289"/>
    </row>
    <row r="481">
      <c r="A481" s="289"/>
      <c r="I481" s="289"/>
    </row>
    <row r="482">
      <c r="A482" s="289"/>
      <c r="I482" s="289"/>
    </row>
    <row r="483">
      <c r="A483" s="289"/>
      <c r="I483" s="289"/>
    </row>
    <row r="484">
      <c r="A484" s="289"/>
      <c r="I484" s="289"/>
    </row>
    <row r="485">
      <c r="A485" s="289"/>
      <c r="I485" s="289"/>
    </row>
    <row r="486">
      <c r="A486" s="289"/>
      <c r="I486" s="289"/>
    </row>
    <row r="487">
      <c r="A487" s="289"/>
      <c r="I487" s="289"/>
    </row>
    <row r="488">
      <c r="A488" s="289"/>
      <c r="I488" s="289"/>
    </row>
    <row r="489">
      <c r="A489" s="289"/>
      <c r="I489" s="289"/>
    </row>
    <row r="490">
      <c r="A490" s="289"/>
      <c r="I490" s="289"/>
    </row>
    <row r="491">
      <c r="A491" s="289"/>
      <c r="I491" s="289"/>
    </row>
    <row r="492">
      <c r="A492" s="289"/>
      <c r="I492" s="289"/>
    </row>
    <row r="493">
      <c r="A493" s="289"/>
      <c r="I493" s="289"/>
    </row>
    <row r="494">
      <c r="A494" s="289"/>
      <c r="I494" s="289"/>
    </row>
    <row r="495">
      <c r="A495" s="289"/>
      <c r="I495" s="289"/>
    </row>
    <row r="496">
      <c r="A496" s="289"/>
      <c r="I496" s="289"/>
    </row>
    <row r="497">
      <c r="A497" s="289"/>
      <c r="I497" s="289"/>
    </row>
    <row r="498">
      <c r="A498" s="289"/>
      <c r="I498" s="289"/>
    </row>
    <row r="499">
      <c r="A499" s="289"/>
      <c r="I499" s="289"/>
    </row>
    <row r="500">
      <c r="A500" s="289"/>
      <c r="I500" s="289"/>
    </row>
    <row r="501">
      <c r="A501" s="289"/>
      <c r="I501" s="289"/>
    </row>
    <row r="502">
      <c r="A502" s="289"/>
      <c r="I502" s="289"/>
    </row>
    <row r="503">
      <c r="A503" s="289"/>
      <c r="I503" s="289"/>
    </row>
    <row r="504">
      <c r="A504" s="289"/>
      <c r="I504" s="289"/>
    </row>
    <row r="505">
      <c r="A505" s="289"/>
      <c r="I505" s="289"/>
    </row>
    <row r="506">
      <c r="A506" s="289"/>
      <c r="I506" s="289"/>
    </row>
    <row r="507">
      <c r="A507" s="289"/>
      <c r="I507" s="289"/>
    </row>
    <row r="508">
      <c r="A508" s="289"/>
      <c r="I508" s="289"/>
    </row>
    <row r="509">
      <c r="A509" s="289"/>
      <c r="I509" s="289"/>
    </row>
    <row r="510">
      <c r="A510" s="289"/>
      <c r="I510" s="289"/>
    </row>
    <row r="511">
      <c r="A511" s="289"/>
      <c r="I511" s="289"/>
    </row>
    <row r="512">
      <c r="A512" s="289"/>
      <c r="I512" s="289"/>
    </row>
    <row r="513">
      <c r="A513" s="289"/>
      <c r="I513" s="289"/>
    </row>
    <row r="514">
      <c r="A514" s="289"/>
      <c r="I514" s="289"/>
    </row>
    <row r="515">
      <c r="A515" s="289"/>
      <c r="I515" s="289"/>
    </row>
    <row r="516">
      <c r="A516" s="289"/>
      <c r="I516" s="289"/>
    </row>
    <row r="517">
      <c r="A517" s="289"/>
      <c r="I517" s="289"/>
    </row>
    <row r="518">
      <c r="A518" s="289"/>
      <c r="I518" s="289"/>
    </row>
    <row r="519">
      <c r="A519" s="289"/>
      <c r="I519" s="289"/>
    </row>
    <row r="520">
      <c r="A520" s="289"/>
      <c r="I520" s="289"/>
    </row>
    <row r="521">
      <c r="A521" s="289"/>
      <c r="I521" s="289"/>
    </row>
    <row r="522">
      <c r="A522" s="289"/>
      <c r="I522" s="289"/>
    </row>
    <row r="523">
      <c r="A523" s="289"/>
      <c r="I523" s="289"/>
    </row>
    <row r="524">
      <c r="A524" s="289"/>
      <c r="I524" s="289"/>
    </row>
    <row r="525">
      <c r="A525" s="289"/>
      <c r="I525" s="289"/>
    </row>
    <row r="526">
      <c r="A526" s="289"/>
      <c r="I526" s="289"/>
    </row>
    <row r="527">
      <c r="A527" s="289"/>
      <c r="I527" s="289"/>
    </row>
    <row r="528">
      <c r="A528" s="289"/>
      <c r="I528" s="289"/>
    </row>
    <row r="529">
      <c r="A529" s="289"/>
      <c r="I529" s="289"/>
    </row>
    <row r="530">
      <c r="A530" s="289"/>
      <c r="I530" s="289"/>
    </row>
    <row r="531">
      <c r="A531" s="289"/>
      <c r="I531" s="289"/>
    </row>
    <row r="532">
      <c r="A532" s="289"/>
      <c r="I532" s="289"/>
    </row>
    <row r="533">
      <c r="A533" s="289"/>
      <c r="I533" s="289"/>
    </row>
    <row r="534">
      <c r="A534" s="289"/>
      <c r="I534" s="289"/>
    </row>
    <row r="535">
      <c r="A535" s="289"/>
      <c r="I535" s="289"/>
    </row>
    <row r="536">
      <c r="A536" s="289"/>
      <c r="I536" s="289"/>
    </row>
    <row r="537">
      <c r="A537" s="289"/>
      <c r="I537" s="289"/>
    </row>
    <row r="538">
      <c r="A538" s="289"/>
      <c r="I538" s="289"/>
    </row>
    <row r="539">
      <c r="A539" s="289"/>
      <c r="I539" s="289"/>
    </row>
    <row r="540">
      <c r="A540" s="289"/>
      <c r="I540" s="289"/>
    </row>
    <row r="541">
      <c r="A541" s="289"/>
      <c r="I541" s="289"/>
    </row>
    <row r="542">
      <c r="A542" s="289"/>
      <c r="I542" s="289"/>
    </row>
    <row r="543">
      <c r="A543" s="289"/>
      <c r="I543" s="289"/>
    </row>
    <row r="544">
      <c r="A544" s="289"/>
      <c r="I544" s="289"/>
    </row>
    <row r="545">
      <c r="A545" s="289"/>
      <c r="I545" s="289"/>
    </row>
    <row r="546">
      <c r="A546" s="289"/>
      <c r="I546" s="289"/>
    </row>
    <row r="547">
      <c r="A547" s="289"/>
      <c r="I547" s="289"/>
    </row>
    <row r="548">
      <c r="A548" s="289"/>
      <c r="I548" s="289"/>
    </row>
    <row r="549">
      <c r="A549" s="289"/>
      <c r="I549" s="289"/>
    </row>
    <row r="550">
      <c r="A550" s="289"/>
      <c r="I550" s="289"/>
    </row>
    <row r="551">
      <c r="A551" s="289"/>
      <c r="I551" s="289"/>
    </row>
    <row r="552">
      <c r="A552" s="289"/>
      <c r="I552" s="289"/>
    </row>
    <row r="553">
      <c r="A553" s="289"/>
      <c r="I553" s="289"/>
    </row>
    <row r="554">
      <c r="A554" s="289"/>
      <c r="I554" s="289"/>
    </row>
    <row r="555">
      <c r="A555" s="289"/>
      <c r="I555" s="289"/>
    </row>
    <row r="556">
      <c r="A556" s="289"/>
      <c r="I556" s="289"/>
    </row>
    <row r="557">
      <c r="A557" s="289"/>
      <c r="I557" s="289"/>
    </row>
    <row r="558">
      <c r="A558" s="289"/>
      <c r="I558" s="289"/>
    </row>
    <row r="559">
      <c r="A559" s="289"/>
      <c r="I559" s="289"/>
    </row>
    <row r="560">
      <c r="A560" s="289"/>
      <c r="I560" s="289"/>
    </row>
    <row r="561">
      <c r="A561" s="289"/>
      <c r="I561" s="289"/>
    </row>
    <row r="562">
      <c r="A562" s="289"/>
      <c r="I562" s="289"/>
    </row>
    <row r="563">
      <c r="A563" s="289"/>
      <c r="I563" s="289"/>
    </row>
    <row r="564">
      <c r="A564" s="289"/>
      <c r="I564" s="289"/>
    </row>
    <row r="565">
      <c r="A565" s="289"/>
      <c r="I565" s="289"/>
    </row>
    <row r="566">
      <c r="A566" s="289"/>
      <c r="I566" s="289"/>
    </row>
    <row r="567">
      <c r="A567" s="289"/>
      <c r="I567" s="289"/>
    </row>
    <row r="568">
      <c r="A568" s="289"/>
      <c r="I568" s="289"/>
    </row>
    <row r="569">
      <c r="A569" s="289"/>
      <c r="I569" s="289"/>
    </row>
    <row r="570">
      <c r="A570" s="289"/>
      <c r="I570" s="289"/>
    </row>
    <row r="571">
      <c r="A571" s="289"/>
      <c r="I571" s="289"/>
    </row>
    <row r="572">
      <c r="A572" s="289"/>
      <c r="I572" s="289"/>
    </row>
    <row r="573">
      <c r="A573" s="289"/>
      <c r="I573" s="289"/>
    </row>
    <row r="574">
      <c r="A574" s="289"/>
      <c r="I574" s="289"/>
    </row>
    <row r="575">
      <c r="A575" s="289"/>
      <c r="I575" s="289"/>
    </row>
    <row r="576">
      <c r="A576" s="289"/>
      <c r="I576" s="289"/>
    </row>
    <row r="577">
      <c r="A577" s="289"/>
      <c r="I577" s="289"/>
    </row>
    <row r="578">
      <c r="A578" s="289"/>
      <c r="I578" s="289"/>
    </row>
    <row r="579">
      <c r="A579" s="289"/>
      <c r="I579" s="289"/>
    </row>
    <row r="580">
      <c r="A580" s="289"/>
      <c r="I580" s="289"/>
    </row>
    <row r="581">
      <c r="A581" s="289"/>
      <c r="I581" s="289"/>
    </row>
    <row r="582">
      <c r="A582" s="289"/>
      <c r="I582" s="289"/>
    </row>
    <row r="583">
      <c r="A583" s="289"/>
      <c r="I583" s="289"/>
    </row>
    <row r="584">
      <c r="A584" s="289"/>
      <c r="I584" s="289"/>
    </row>
    <row r="585">
      <c r="A585" s="289"/>
      <c r="I585" s="289"/>
    </row>
    <row r="586">
      <c r="A586" s="289"/>
      <c r="I586" s="289"/>
    </row>
    <row r="587">
      <c r="A587" s="289"/>
      <c r="I587" s="289"/>
    </row>
    <row r="588">
      <c r="A588" s="289"/>
      <c r="I588" s="289"/>
    </row>
    <row r="589">
      <c r="A589" s="289"/>
      <c r="I589" s="289"/>
    </row>
    <row r="590">
      <c r="A590" s="289"/>
      <c r="I590" s="289"/>
    </row>
    <row r="591">
      <c r="A591" s="289"/>
      <c r="I591" s="289"/>
    </row>
    <row r="592">
      <c r="A592" s="289"/>
      <c r="I592" s="289"/>
    </row>
    <row r="593">
      <c r="A593" s="289"/>
      <c r="I593" s="289"/>
    </row>
    <row r="594">
      <c r="A594" s="289"/>
      <c r="I594" s="289"/>
    </row>
    <row r="595">
      <c r="A595" s="289"/>
      <c r="I595" s="289"/>
    </row>
    <row r="596">
      <c r="A596" s="289"/>
      <c r="I596" s="289"/>
    </row>
    <row r="597">
      <c r="A597" s="289"/>
      <c r="I597" s="289"/>
    </row>
    <row r="598">
      <c r="A598" s="289"/>
      <c r="I598" s="289"/>
    </row>
    <row r="599">
      <c r="A599" s="289"/>
      <c r="I599" s="289"/>
    </row>
    <row r="600">
      <c r="A600" s="289"/>
      <c r="I600" s="289"/>
    </row>
    <row r="601">
      <c r="A601" s="289"/>
      <c r="I601" s="289"/>
    </row>
    <row r="602">
      <c r="A602" s="289"/>
      <c r="I602" s="289"/>
    </row>
    <row r="603">
      <c r="A603" s="289"/>
      <c r="I603" s="289"/>
    </row>
    <row r="604">
      <c r="A604" s="289"/>
      <c r="I604" s="289"/>
    </row>
    <row r="605">
      <c r="A605" s="289"/>
      <c r="I605" s="289"/>
    </row>
    <row r="606">
      <c r="A606" s="289"/>
      <c r="I606" s="289"/>
    </row>
    <row r="607">
      <c r="A607" s="289"/>
      <c r="I607" s="289"/>
    </row>
    <row r="608">
      <c r="A608" s="289"/>
      <c r="I608" s="289"/>
    </row>
    <row r="609">
      <c r="A609" s="289"/>
      <c r="I609" s="289"/>
    </row>
    <row r="610">
      <c r="A610" s="289"/>
      <c r="I610" s="289"/>
    </row>
    <row r="611">
      <c r="A611" s="289"/>
      <c r="I611" s="289"/>
    </row>
    <row r="612">
      <c r="A612" s="289"/>
      <c r="I612" s="289"/>
    </row>
    <row r="613">
      <c r="A613" s="289"/>
      <c r="I613" s="289"/>
    </row>
    <row r="614">
      <c r="A614" s="289"/>
      <c r="I614" s="289"/>
    </row>
    <row r="615">
      <c r="A615" s="289"/>
      <c r="I615" s="289"/>
    </row>
    <row r="616">
      <c r="A616" s="289"/>
      <c r="I616" s="289"/>
    </row>
    <row r="617">
      <c r="A617" s="289"/>
      <c r="I617" s="289"/>
    </row>
    <row r="618">
      <c r="A618" s="289"/>
      <c r="I618" s="289"/>
    </row>
    <row r="619">
      <c r="A619" s="289"/>
      <c r="I619" s="289"/>
    </row>
    <row r="620">
      <c r="A620" s="289"/>
      <c r="I620" s="289"/>
    </row>
    <row r="621">
      <c r="A621" s="289"/>
      <c r="I621" s="289"/>
    </row>
    <row r="622">
      <c r="A622" s="289"/>
      <c r="I622" s="289"/>
    </row>
    <row r="623">
      <c r="A623" s="289"/>
      <c r="I623" s="289"/>
    </row>
    <row r="624">
      <c r="A624" s="289"/>
      <c r="I624" s="289"/>
    </row>
    <row r="625">
      <c r="A625" s="289"/>
      <c r="I625" s="289"/>
    </row>
    <row r="626">
      <c r="A626" s="289"/>
      <c r="I626" s="289"/>
    </row>
    <row r="627">
      <c r="A627" s="289"/>
      <c r="I627" s="289"/>
    </row>
    <row r="628">
      <c r="A628" s="289"/>
      <c r="I628" s="289"/>
    </row>
    <row r="629">
      <c r="A629" s="289"/>
      <c r="I629" s="289"/>
    </row>
    <row r="630">
      <c r="A630" s="289"/>
      <c r="I630" s="289"/>
    </row>
    <row r="631">
      <c r="A631" s="289"/>
      <c r="I631" s="289"/>
    </row>
    <row r="632">
      <c r="A632" s="289"/>
      <c r="I632" s="289"/>
    </row>
    <row r="633">
      <c r="A633" s="289"/>
      <c r="I633" s="289"/>
    </row>
    <row r="634">
      <c r="A634" s="289"/>
      <c r="I634" s="289"/>
    </row>
    <row r="635">
      <c r="A635" s="289"/>
      <c r="I635" s="289"/>
    </row>
    <row r="636">
      <c r="A636" s="289"/>
      <c r="I636" s="289"/>
    </row>
    <row r="637">
      <c r="A637" s="289"/>
      <c r="I637" s="289"/>
    </row>
    <row r="638">
      <c r="A638" s="289"/>
      <c r="I638" s="289"/>
    </row>
    <row r="639">
      <c r="A639" s="289"/>
      <c r="I639" s="289"/>
    </row>
    <row r="640">
      <c r="A640" s="289"/>
      <c r="I640" s="289"/>
    </row>
    <row r="641">
      <c r="A641" s="289"/>
      <c r="I641" s="289"/>
    </row>
    <row r="642">
      <c r="A642" s="289"/>
      <c r="I642" s="289"/>
    </row>
    <row r="643">
      <c r="A643" s="289"/>
      <c r="I643" s="289"/>
    </row>
    <row r="644">
      <c r="A644" s="289"/>
      <c r="I644" s="289"/>
    </row>
    <row r="645">
      <c r="A645" s="289"/>
      <c r="I645" s="289"/>
    </row>
    <row r="646">
      <c r="A646" s="289"/>
      <c r="I646" s="289"/>
    </row>
    <row r="647">
      <c r="A647" s="289"/>
      <c r="I647" s="289"/>
    </row>
    <row r="648">
      <c r="A648" s="289"/>
      <c r="I648" s="289"/>
    </row>
    <row r="649">
      <c r="A649" s="289"/>
      <c r="I649" s="289"/>
    </row>
    <row r="650">
      <c r="A650" s="289"/>
      <c r="I650" s="289"/>
    </row>
    <row r="651">
      <c r="A651" s="289"/>
      <c r="I651" s="289"/>
    </row>
    <row r="652">
      <c r="A652" s="289"/>
      <c r="I652" s="289"/>
    </row>
    <row r="653">
      <c r="A653" s="289"/>
      <c r="I653" s="289"/>
    </row>
    <row r="654">
      <c r="A654" s="289"/>
      <c r="I654" s="289"/>
    </row>
    <row r="655">
      <c r="A655" s="289"/>
      <c r="I655" s="289"/>
    </row>
    <row r="656">
      <c r="A656" s="289"/>
      <c r="I656" s="289"/>
    </row>
    <row r="657">
      <c r="A657" s="289"/>
      <c r="I657" s="289"/>
    </row>
    <row r="658">
      <c r="A658" s="289"/>
      <c r="I658" s="289"/>
    </row>
    <row r="659">
      <c r="A659" s="289"/>
      <c r="I659" s="289"/>
    </row>
    <row r="660">
      <c r="A660" s="289"/>
      <c r="I660" s="289"/>
    </row>
    <row r="661">
      <c r="A661" s="289"/>
      <c r="I661" s="289"/>
    </row>
    <row r="662">
      <c r="A662" s="289"/>
      <c r="I662" s="289"/>
    </row>
    <row r="663">
      <c r="A663" s="289"/>
      <c r="I663" s="289"/>
    </row>
    <row r="664">
      <c r="A664" s="289"/>
      <c r="I664" s="289"/>
    </row>
    <row r="665">
      <c r="A665" s="289"/>
      <c r="I665" s="289"/>
    </row>
    <row r="666">
      <c r="A666" s="289"/>
      <c r="I666" s="289"/>
    </row>
    <row r="667">
      <c r="A667" s="289"/>
      <c r="I667" s="289"/>
    </row>
    <row r="668">
      <c r="A668" s="289"/>
      <c r="I668" s="289"/>
    </row>
    <row r="669">
      <c r="A669" s="289"/>
      <c r="I669" s="289"/>
    </row>
    <row r="670">
      <c r="A670" s="289"/>
      <c r="I670" s="289"/>
    </row>
    <row r="671">
      <c r="A671" s="289"/>
      <c r="I671" s="289"/>
    </row>
    <row r="672">
      <c r="A672" s="289"/>
      <c r="I672" s="289"/>
    </row>
    <row r="673">
      <c r="A673" s="289"/>
      <c r="I673" s="289"/>
    </row>
    <row r="674">
      <c r="A674" s="289"/>
      <c r="I674" s="289"/>
    </row>
    <row r="675">
      <c r="A675" s="289"/>
      <c r="I675" s="289"/>
    </row>
    <row r="676">
      <c r="A676" s="289"/>
      <c r="I676" s="289"/>
    </row>
    <row r="677">
      <c r="A677" s="289"/>
      <c r="I677" s="289"/>
    </row>
    <row r="678">
      <c r="A678" s="289"/>
      <c r="I678" s="289"/>
    </row>
    <row r="679">
      <c r="A679" s="289"/>
      <c r="I679" s="289"/>
    </row>
    <row r="680">
      <c r="A680" s="289"/>
      <c r="I680" s="289"/>
    </row>
    <row r="681">
      <c r="A681" s="289"/>
      <c r="I681" s="289"/>
    </row>
    <row r="682">
      <c r="A682" s="289"/>
      <c r="I682" s="289"/>
    </row>
    <row r="683">
      <c r="A683" s="289"/>
      <c r="I683" s="289"/>
    </row>
    <row r="684">
      <c r="A684" s="289"/>
      <c r="I684" s="289"/>
    </row>
    <row r="685">
      <c r="A685" s="289"/>
      <c r="I685" s="289"/>
    </row>
    <row r="686">
      <c r="A686" s="289"/>
      <c r="I686" s="289"/>
    </row>
    <row r="687">
      <c r="A687" s="289"/>
      <c r="I687" s="289"/>
    </row>
    <row r="688">
      <c r="A688" s="289"/>
      <c r="I688" s="289"/>
    </row>
    <row r="689">
      <c r="A689" s="289"/>
      <c r="I689" s="289"/>
    </row>
    <row r="690">
      <c r="A690" s="289"/>
      <c r="I690" s="289"/>
    </row>
    <row r="691">
      <c r="A691" s="289"/>
      <c r="I691" s="289"/>
    </row>
    <row r="692">
      <c r="A692" s="289"/>
      <c r="I692" s="289"/>
    </row>
    <row r="693">
      <c r="A693" s="289"/>
      <c r="I693" s="289"/>
    </row>
    <row r="694">
      <c r="A694" s="289"/>
      <c r="I694" s="289"/>
    </row>
    <row r="695">
      <c r="A695" s="289"/>
      <c r="I695" s="289"/>
    </row>
    <row r="696">
      <c r="A696" s="289"/>
      <c r="I696" s="289"/>
    </row>
    <row r="697">
      <c r="A697" s="289"/>
      <c r="I697" s="289"/>
    </row>
    <row r="698">
      <c r="A698" s="289"/>
      <c r="I698" s="289"/>
    </row>
    <row r="699">
      <c r="A699" s="289"/>
      <c r="I699" s="289"/>
    </row>
    <row r="700">
      <c r="A700" s="289"/>
      <c r="I700" s="289"/>
    </row>
    <row r="701">
      <c r="A701" s="289"/>
      <c r="I701" s="289"/>
    </row>
    <row r="702">
      <c r="A702" s="289"/>
      <c r="I702" s="289"/>
    </row>
    <row r="703">
      <c r="A703" s="289"/>
      <c r="I703" s="289"/>
    </row>
    <row r="704">
      <c r="A704" s="289"/>
      <c r="I704" s="289"/>
    </row>
    <row r="705">
      <c r="A705" s="289"/>
      <c r="I705" s="289"/>
    </row>
    <row r="706">
      <c r="A706" s="289"/>
      <c r="I706" s="289"/>
    </row>
    <row r="707">
      <c r="A707" s="289"/>
      <c r="I707" s="289"/>
    </row>
    <row r="708">
      <c r="A708" s="289"/>
      <c r="I708" s="289"/>
    </row>
    <row r="709">
      <c r="A709" s="289"/>
      <c r="I709" s="289"/>
    </row>
    <row r="710">
      <c r="A710" s="289"/>
      <c r="I710" s="289"/>
    </row>
    <row r="711">
      <c r="A711" s="289"/>
      <c r="I711" s="289"/>
    </row>
    <row r="712">
      <c r="A712" s="289"/>
      <c r="I712" s="289"/>
    </row>
    <row r="713">
      <c r="A713" s="289"/>
      <c r="I713" s="289"/>
    </row>
    <row r="714">
      <c r="A714" s="289"/>
      <c r="I714" s="289"/>
    </row>
    <row r="715">
      <c r="A715" s="289"/>
      <c r="I715" s="289"/>
    </row>
    <row r="716">
      <c r="A716" s="289"/>
      <c r="I716" s="289"/>
    </row>
    <row r="717">
      <c r="A717" s="289"/>
      <c r="I717" s="289"/>
    </row>
    <row r="718">
      <c r="A718" s="289"/>
      <c r="I718" s="289"/>
    </row>
    <row r="719">
      <c r="A719" s="289"/>
      <c r="I719" s="289"/>
    </row>
    <row r="720">
      <c r="A720" s="289"/>
      <c r="I720" s="289"/>
    </row>
    <row r="721">
      <c r="A721" s="289"/>
      <c r="I721" s="289"/>
    </row>
    <row r="722">
      <c r="A722" s="289"/>
      <c r="I722" s="289"/>
    </row>
    <row r="723">
      <c r="A723" s="289"/>
      <c r="I723" s="289"/>
    </row>
    <row r="724">
      <c r="A724" s="289"/>
      <c r="I724" s="289"/>
    </row>
    <row r="725">
      <c r="A725" s="289"/>
      <c r="I725" s="289"/>
    </row>
    <row r="726">
      <c r="A726" s="289"/>
      <c r="I726" s="289"/>
    </row>
    <row r="727">
      <c r="A727" s="289"/>
      <c r="I727" s="289"/>
    </row>
    <row r="728">
      <c r="A728" s="289"/>
      <c r="I728" s="289"/>
    </row>
    <row r="729">
      <c r="A729" s="289"/>
      <c r="I729" s="289"/>
    </row>
    <row r="730">
      <c r="A730" s="289"/>
      <c r="I730" s="289"/>
    </row>
    <row r="731">
      <c r="A731" s="289"/>
      <c r="I731" s="289"/>
    </row>
    <row r="732">
      <c r="A732" s="289"/>
      <c r="I732" s="289"/>
    </row>
    <row r="733">
      <c r="A733" s="289"/>
      <c r="I733" s="289"/>
    </row>
    <row r="734">
      <c r="A734" s="289"/>
      <c r="I734" s="289"/>
    </row>
    <row r="735">
      <c r="A735" s="289"/>
      <c r="I735" s="289"/>
    </row>
    <row r="736">
      <c r="A736" s="289"/>
      <c r="I736" s="289"/>
    </row>
    <row r="737">
      <c r="A737" s="289"/>
      <c r="I737" s="289"/>
    </row>
    <row r="738">
      <c r="A738" s="289"/>
      <c r="I738" s="289"/>
    </row>
    <row r="739">
      <c r="A739" s="289"/>
      <c r="I739" s="289"/>
    </row>
    <row r="740">
      <c r="A740" s="289"/>
      <c r="I740" s="289"/>
    </row>
    <row r="741">
      <c r="A741" s="289"/>
      <c r="I741" s="289"/>
    </row>
    <row r="742">
      <c r="A742" s="289"/>
      <c r="I742" s="289"/>
    </row>
    <row r="743">
      <c r="A743" s="289"/>
      <c r="I743" s="289"/>
    </row>
    <row r="744">
      <c r="A744" s="289"/>
      <c r="I744" s="289"/>
    </row>
    <row r="745">
      <c r="A745" s="289"/>
      <c r="I745" s="289"/>
    </row>
    <row r="746">
      <c r="A746" s="289"/>
      <c r="I746" s="289"/>
    </row>
    <row r="747">
      <c r="A747" s="289"/>
      <c r="I747" s="289"/>
    </row>
    <row r="748">
      <c r="A748" s="289"/>
      <c r="I748" s="289"/>
    </row>
    <row r="749">
      <c r="A749" s="289"/>
      <c r="I749" s="289"/>
    </row>
    <row r="750">
      <c r="A750" s="289"/>
      <c r="I750" s="289"/>
    </row>
    <row r="751">
      <c r="A751" s="289"/>
      <c r="I751" s="289"/>
    </row>
    <row r="752">
      <c r="A752" s="289"/>
      <c r="I752" s="289"/>
    </row>
    <row r="753">
      <c r="A753" s="289"/>
      <c r="I753" s="289"/>
    </row>
    <row r="754">
      <c r="A754" s="289"/>
      <c r="I754" s="289"/>
    </row>
    <row r="755">
      <c r="A755" s="289"/>
      <c r="I755" s="289"/>
    </row>
    <row r="756">
      <c r="A756" s="289"/>
      <c r="I756" s="289"/>
    </row>
    <row r="757">
      <c r="A757" s="289"/>
      <c r="I757" s="289"/>
    </row>
    <row r="758">
      <c r="A758" s="289"/>
      <c r="I758" s="289"/>
    </row>
    <row r="759">
      <c r="A759" s="289"/>
      <c r="I759" s="289"/>
    </row>
    <row r="760">
      <c r="A760" s="289"/>
      <c r="I760" s="289"/>
    </row>
    <row r="761">
      <c r="A761" s="289"/>
      <c r="I761" s="289"/>
    </row>
    <row r="762">
      <c r="A762" s="289"/>
      <c r="I762" s="289"/>
    </row>
    <row r="763">
      <c r="A763" s="289"/>
      <c r="I763" s="289"/>
    </row>
    <row r="764">
      <c r="A764" s="289"/>
      <c r="I764" s="289"/>
    </row>
    <row r="765">
      <c r="A765" s="289"/>
      <c r="I765" s="289"/>
    </row>
    <row r="766">
      <c r="A766" s="289"/>
      <c r="I766" s="289"/>
    </row>
    <row r="767">
      <c r="A767" s="289"/>
      <c r="I767" s="289"/>
    </row>
    <row r="768">
      <c r="A768" s="289"/>
      <c r="I768" s="289"/>
    </row>
    <row r="769">
      <c r="A769" s="289"/>
      <c r="I769" s="289"/>
    </row>
    <row r="770">
      <c r="A770" s="289"/>
      <c r="I770" s="289"/>
    </row>
    <row r="771">
      <c r="A771" s="289"/>
      <c r="I771" s="289"/>
    </row>
    <row r="772">
      <c r="A772" s="289"/>
      <c r="I772" s="289"/>
    </row>
    <row r="773">
      <c r="A773" s="289"/>
      <c r="I773" s="289"/>
    </row>
    <row r="774">
      <c r="A774" s="289"/>
      <c r="I774" s="289"/>
    </row>
    <row r="775">
      <c r="A775" s="289"/>
      <c r="I775" s="289"/>
    </row>
    <row r="776">
      <c r="A776" s="289"/>
      <c r="I776" s="289"/>
    </row>
    <row r="777">
      <c r="A777" s="289"/>
      <c r="I777" s="289"/>
    </row>
    <row r="778">
      <c r="A778" s="289"/>
      <c r="I778" s="289"/>
    </row>
    <row r="779">
      <c r="A779" s="289"/>
      <c r="I779" s="289"/>
    </row>
    <row r="780">
      <c r="A780" s="289"/>
      <c r="I780" s="289"/>
    </row>
    <row r="781">
      <c r="A781" s="289"/>
      <c r="I781" s="289"/>
    </row>
    <row r="782">
      <c r="A782" s="289"/>
      <c r="I782" s="289"/>
    </row>
    <row r="783">
      <c r="A783" s="289"/>
      <c r="I783" s="289"/>
    </row>
    <row r="784">
      <c r="A784" s="289"/>
      <c r="I784" s="289"/>
    </row>
    <row r="785">
      <c r="A785" s="289"/>
      <c r="I785" s="289"/>
    </row>
    <row r="786">
      <c r="A786" s="289"/>
      <c r="I786" s="289"/>
    </row>
    <row r="787">
      <c r="A787" s="289"/>
      <c r="I787" s="289"/>
    </row>
    <row r="788">
      <c r="A788" s="289"/>
      <c r="I788" s="289"/>
    </row>
    <row r="789">
      <c r="A789" s="289"/>
      <c r="I789" s="289"/>
    </row>
    <row r="790">
      <c r="A790" s="289"/>
      <c r="I790" s="289"/>
    </row>
    <row r="791">
      <c r="A791" s="289"/>
      <c r="I791" s="289"/>
    </row>
    <row r="792">
      <c r="A792" s="289"/>
      <c r="I792" s="289"/>
    </row>
    <row r="793">
      <c r="A793" s="289"/>
      <c r="I793" s="289"/>
    </row>
    <row r="794">
      <c r="A794" s="289"/>
      <c r="I794" s="289"/>
    </row>
    <row r="795">
      <c r="A795" s="289"/>
      <c r="I795" s="289"/>
    </row>
    <row r="796">
      <c r="A796" s="289"/>
      <c r="I796" s="289"/>
    </row>
    <row r="797">
      <c r="A797" s="289"/>
      <c r="I797" s="289"/>
    </row>
    <row r="798">
      <c r="A798" s="289"/>
      <c r="I798" s="289"/>
    </row>
    <row r="799">
      <c r="A799" s="289"/>
      <c r="I799" s="289"/>
    </row>
    <row r="800">
      <c r="A800" s="289"/>
      <c r="I800" s="289"/>
    </row>
    <row r="801">
      <c r="A801" s="289"/>
      <c r="I801" s="289"/>
    </row>
    <row r="802">
      <c r="A802" s="289"/>
      <c r="I802" s="289"/>
    </row>
    <row r="803">
      <c r="A803" s="289"/>
      <c r="I803" s="289"/>
    </row>
    <row r="804">
      <c r="A804" s="289"/>
      <c r="I804" s="289"/>
    </row>
    <row r="805">
      <c r="A805" s="289"/>
      <c r="I805" s="289"/>
    </row>
    <row r="806">
      <c r="A806" s="289"/>
      <c r="I806" s="289"/>
    </row>
    <row r="807">
      <c r="A807" s="289"/>
      <c r="I807" s="289"/>
    </row>
    <row r="808">
      <c r="A808" s="289"/>
      <c r="I808" s="289"/>
    </row>
    <row r="809">
      <c r="A809" s="289"/>
      <c r="I809" s="289"/>
    </row>
    <row r="810">
      <c r="A810" s="289"/>
      <c r="I810" s="289"/>
    </row>
    <row r="811">
      <c r="A811" s="289"/>
      <c r="I811" s="289"/>
    </row>
    <row r="812">
      <c r="A812" s="289"/>
      <c r="I812" s="289"/>
    </row>
    <row r="813">
      <c r="A813" s="289"/>
      <c r="I813" s="289"/>
    </row>
    <row r="814">
      <c r="A814" s="289"/>
      <c r="I814" s="289"/>
    </row>
    <row r="815">
      <c r="A815" s="289"/>
      <c r="I815" s="289"/>
    </row>
    <row r="816">
      <c r="A816" s="289"/>
      <c r="I816" s="289"/>
    </row>
    <row r="817">
      <c r="A817" s="289"/>
      <c r="I817" s="289"/>
    </row>
    <row r="818">
      <c r="A818" s="289"/>
      <c r="I818" s="289"/>
    </row>
    <row r="819">
      <c r="A819" s="289"/>
      <c r="I819" s="289"/>
    </row>
    <row r="820">
      <c r="A820" s="289"/>
      <c r="I820" s="289"/>
    </row>
    <row r="821">
      <c r="A821" s="289"/>
      <c r="I821" s="289"/>
    </row>
    <row r="822">
      <c r="A822" s="289"/>
      <c r="I822" s="289"/>
    </row>
    <row r="823">
      <c r="A823" s="289"/>
      <c r="I823" s="289"/>
    </row>
    <row r="824">
      <c r="A824" s="289"/>
      <c r="I824" s="289"/>
    </row>
    <row r="825">
      <c r="A825" s="289"/>
      <c r="I825" s="289"/>
    </row>
    <row r="826">
      <c r="A826" s="289"/>
      <c r="I826" s="289"/>
    </row>
    <row r="827">
      <c r="A827" s="289"/>
      <c r="I827" s="289"/>
    </row>
    <row r="828">
      <c r="A828" s="289"/>
      <c r="I828" s="289"/>
    </row>
    <row r="829">
      <c r="A829" s="289"/>
      <c r="I829" s="289"/>
    </row>
    <row r="830">
      <c r="A830" s="289"/>
      <c r="I830" s="289"/>
    </row>
    <row r="831">
      <c r="A831" s="289"/>
      <c r="I831" s="289"/>
    </row>
    <row r="832">
      <c r="A832" s="289"/>
      <c r="I832" s="289"/>
    </row>
    <row r="833">
      <c r="A833" s="289"/>
      <c r="I833" s="289"/>
    </row>
    <row r="834">
      <c r="A834" s="289"/>
      <c r="I834" s="289"/>
    </row>
    <row r="835">
      <c r="A835" s="289"/>
      <c r="I835" s="289"/>
    </row>
    <row r="836">
      <c r="A836" s="289"/>
      <c r="I836" s="289"/>
    </row>
    <row r="837">
      <c r="A837" s="289"/>
      <c r="I837" s="289"/>
    </row>
    <row r="838">
      <c r="A838" s="289"/>
      <c r="I838" s="289"/>
    </row>
    <row r="839">
      <c r="A839" s="289"/>
      <c r="I839" s="289"/>
    </row>
    <row r="840">
      <c r="A840" s="289"/>
      <c r="I840" s="289"/>
    </row>
    <row r="841">
      <c r="A841" s="289"/>
      <c r="I841" s="289"/>
    </row>
    <row r="842">
      <c r="A842" s="289"/>
      <c r="I842" s="289"/>
    </row>
    <row r="843">
      <c r="A843" s="289"/>
      <c r="I843" s="289"/>
    </row>
    <row r="844">
      <c r="A844" s="289"/>
      <c r="I844" s="289"/>
    </row>
    <row r="845">
      <c r="A845" s="289"/>
      <c r="I845" s="289"/>
    </row>
    <row r="846">
      <c r="A846" s="289"/>
      <c r="I846" s="289"/>
    </row>
    <row r="847">
      <c r="A847" s="289"/>
      <c r="I847" s="289"/>
    </row>
    <row r="848">
      <c r="A848" s="289"/>
      <c r="I848" s="289"/>
    </row>
    <row r="849">
      <c r="A849" s="289"/>
      <c r="I849" s="289"/>
    </row>
    <row r="850">
      <c r="A850" s="289"/>
      <c r="I850" s="289"/>
    </row>
    <row r="851">
      <c r="A851" s="289"/>
      <c r="I851" s="289"/>
    </row>
    <row r="852">
      <c r="A852" s="289"/>
      <c r="I852" s="289"/>
    </row>
    <row r="853">
      <c r="A853" s="289"/>
      <c r="I853" s="289"/>
    </row>
    <row r="854">
      <c r="A854" s="289"/>
      <c r="I854" s="289"/>
    </row>
    <row r="855">
      <c r="A855" s="289"/>
      <c r="I855" s="289"/>
    </row>
    <row r="856">
      <c r="A856" s="289"/>
      <c r="I856" s="289"/>
    </row>
    <row r="857">
      <c r="A857" s="289"/>
      <c r="I857" s="289"/>
    </row>
    <row r="858">
      <c r="A858" s="289"/>
      <c r="I858" s="289"/>
    </row>
    <row r="859">
      <c r="A859" s="289"/>
      <c r="I859" s="289"/>
    </row>
    <row r="860">
      <c r="A860" s="289"/>
      <c r="I860" s="289"/>
    </row>
    <row r="861">
      <c r="A861" s="289"/>
      <c r="I861" s="289"/>
    </row>
    <row r="862">
      <c r="A862" s="289"/>
      <c r="I862" s="289"/>
    </row>
    <row r="863">
      <c r="A863" s="289"/>
      <c r="I863" s="289"/>
    </row>
    <row r="864">
      <c r="A864" s="289"/>
      <c r="I864" s="289"/>
    </row>
    <row r="865">
      <c r="A865" s="289"/>
      <c r="I865" s="289"/>
    </row>
    <row r="866">
      <c r="A866" s="289"/>
      <c r="I866" s="289"/>
    </row>
    <row r="867">
      <c r="A867" s="289"/>
      <c r="I867" s="289"/>
    </row>
    <row r="868">
      <c r="A868" s="289"/>
      <c r="I868" s="289"/>
    </row>
    <row r="869">
      <c r="A869" s="289"/>
      <c r="I869" s="289"/>
    </row>
    <row r="870">
      <c r="A870" s="289"/>
      <c r="I870" s="289"/>
    </row>
    <row r="871">
      <c r="A871" s="289"/>
      <c r="I871" s="289"/>
    </row>
    <row r="872">
      <c r="A872" s="289"/>
      <c r="I872" s="289"/>
    </row>
    <row r="873">
      <c r="A873" s="289"/>
      <c r="I873" s="289"/>
    </row>
    <row r="874">
      <c r="A874" s="289"/>
      <c r="I874" s="289"/>
    </row>
    <row r="875">
      <c r="A875" s="289"/>
      <c r="I875" s="289"/>
    </row>
    <row r="876">
      <c r="A876" s="289"/>
      <c r="I876" s="289"/>
    </row>
    <row r="877">
      <c r="A877" s="289"/>
      <c r="I877" s="289"/>
    </row>
    <row r="878">
      <c r="A878" s="289"/>
      <c r="I878" s="289"/>
    </row>
    <row r="879">
      <c r="A879" s="289"/>
      <c r="I879" s="289"/>
    </row>
    <row r="880">
      <c r="A880" s="289"/>
      <c r="I880" s="289"/>
    </row>
    <row r="881">
      <c r="A881" s="289"/>
      <c r="I881" s="289"/>
    </row>
    <row r="882">
      <c r="A882" s="289"/>
      <c r="I882" s="289"/>
    </row>
    <row r="883">
      <c r="A883" s="289"/>
      <c r="I883" s="289"/>
    </row>
    <row r="884">
      <c r="A884" s="289"/>
      <c r="I884" s="289"/>
    </row>
    <row r="885">
      <c r="A885" s="289"/>
      <c r="I885" s="289"/>
    </row>
    <row r="886">
      <c r="A886" s="289"/>
      <c r="I886" s="289"/>
    </row>
    <row r="887">
      <c r="A887" s="289"/>
      <c r="I887" s="289"/>
    </row>
    <row r="888">
      <c r="A888" s="289"/>
      <c r="I888" s="289"/>
    </row>
    <row r="889">
      <c r="A889" s="289"/>
      <c r="I889" s="289"/>
    </row>
    <row r="890">
      <c r="A890" s="289"/>
      <c r="I890" s="289"/>
    </row>
    <row r="891">
      <c r="A891" s="289"/>
      <c r="I891" s="289"/>
    </row>
    <row r="892">
      <c r="A892" s="289"/>
      <c r="I892" s="289"/>
    </row>
    <row r="893">
      <c r="A893" s="289"/>
      <c r="I893" s="289"/>
    </row>
    <row r="894">
      <c r="A894" s="289"/>
      <c r="I894" s="289"/>
    </row>
    <row r="895">
      <c r="A895" s="289"/>
      <c r="I895" s="289"/>
    </row>
    <row r="896">
      <c r="A896" s="289"/>
      <c r="I896" s="289"/>
    </row>
    <row r="897">
      <c r="A897" s="289"/>
      <c r="I897" s="289"/>
    </row>
    <row r="898">
      <c r="A898" s="289"/>
      <c r="I898" s="289"/>
    </row>
    <row r="899">
      <c r="A899" s="289"/>
      <c r="I899" s="289"/>
    </row>
    <row r="900">
      <c r="A900" s="289"/>
      <c r="I900" s="289"/>
    </row>
    <row r="901">
      <c r="A901" s="289"/>
      <c r="I901" s="289"/>
    </row>
    <row r="902">
      <c r="A902" s="289"/>
      <c r="I902" s="289"/>
    </row>
    <row r="903">
      <c r="A903" s="289"/>
      <c r="I903" s="289"/>
    </row>
    <row r="904">
      <c r="A904" s="289"/>
      <c r="I904" s="289"/>
    </row>
    <row r="905">
      <c r="A905" s="289"/>
      <c r="I905" s="289"/>
    </row>
    <row r="906">
      <c r="A906" s="289"/>
      <c r="I906" s="289"/>
    </row>
    <row r="907">
      <c r="A907" s="289"/>
      <c r="I907" s="289"/>
    </row>
    <row r="908">
      <c r="A908" s="289"/>
      <c r="I908" s="289"/>
    </row>
    <row r="909">
      <c r="A909" s="289"/>
      <c r="I909" s="289"/>
    </row>
    <row r="910">
      <c r="A910" s="289"/>
      <c r="I910" s="289"/>
    </row>
    <row r="911">
      <c r="A911" s="289"/>
      <c r="I911" s="289"/>
    </row>
    <row r="912">
      <c r="A912" s="289"/>
      <c r="I912" s="289"/>
    </row>
    <row r="913">
      <c r="A913" s="289"/>
      <c r="I913" s="289"/>
    </row>
    <row r="914">
      <c r="A914" s="289"/>
      <c r="I914" s="289"/>
    </row>
    <row r="915">
      <c r="A915" s="289"/>
      <c r="I915" s="289"/>
    </row>
    <row r="916">
      <c r="A916" s="289"/>
      <c r="I916" s="289"/>
    </row>
    <row r="917">
      <c r="A917" s="289"/>
      <c r="I917" s="289"/>
    </row>
    <row r="918">
      <c r="A918" s="289"/>
      <c r="I918" s="289"/>
    </row>
    <row r="919">
      <c r="A919" s="289"/>
      <c r="I919" s="289"/>
    </row>
    <row r="920">
      <c r="A920" s="289"/>
      <c r="I920" s="289"/>
    </row>
    <row r="921">
      <c r="A921" s="289"/>
      <c r="I921" s="289"/>
    </row>
    <row r="922">
      <c r="A922" s="289"/>
      <c r="I922" s="289"/>
    </row>
    <row r="923">
      <c r="A923" s="289"/>
      <c r="I923" s="289"/>
    </row>
    <row r="924">
      <c r="A924" s="289"/>
      <c r="I924" s="289"/>
    </row>
    <row r="925">
      <c r="A925" s="289"/>
      <c r="I925" s="289"/>
    </row>
    <row r="926">
      <c r="A926" s="289"/>
      <c r="I926" s="289"/>
    </row>
    <row r="927">
      <c r="A927" s="289"/>
      <c r="I927" s="289"/>
    </row>
    <row r="928">
      <c r="A928" s="289"/>
      <c r="I928" s="289"/>
    </row>
    <row r="929">
      <c r="A929" s="289"/>
      <c r="I929" s="289"/>
    </row>
    <row r="930">
      <c r="A930" s="289"/>
      <c r="I930" s="289"/>
    </row>
    <row r="931">
      <c r="A931" s="289"/>
      <c r="I931" s="289"/>
    </row>
    <row r="932">
      <c r="A932" s="289"/>
      <c r="I932" s="289"/>
    </row>
    <row r="933">
      <c r="A933" s="289"/>
      <c r="I933" s="289"/>
    </row>
    <row r="934">
      <c r="A934" s="289"/>
      <c r="I934" s="289"/>
    </row>
    <row r="935">
      <c r="A935" s="289"/>
      <c r="I935" s="289"/>
    </row>
    <row r="936">
      <c r="A936" s="289"/>
      <c r="I936" s="289"/>
    </row>
    <row r="937">
      <c r="A937" s="289"/>
      <c r="I937" s="289"/>
    </row>
    <row r="938">
      <c r="A938" s="289"/>
      <c r="I938" s="289"/>
    </row>
    <row r="939">
      <c r="A939" s="289"/>
      <c r="I939" s="289"/>
    </row>
    <row r="940">
      <c r="A940" s="289"/>
      <c r="I940" s="289"/>
    </row>
    <row r="941">
      <c r="A941" s="289"/>
      <c r="I941" s="289"/>
    </row>
    <row r="942">
      <c r="A942" s="289"/>
      <c r="I942" s="289"/>
    </row>
    <row r="943">
      <c r="A943" s="289"/>
      <c r="I943" s="289"/>
    </row>
    <row r="944">
      <c r="A944" s="289"/>
      <c r="I944" s="289"/>
    </row>
    <row r="945">
      <c r="A945" s="289"/>
      <c r="I945" s="289"/>
    </row>
    <row r="946">
      <c r="A946" s="289"/>
      <c r="I946" s="289"/>
    </row>
    <row r="947">
      <c r="A947" s="289"/>
      <c r="I947" s="289"/>
    </row>
    <row r="948">
      <c r="A948" s="289"/>
      <c r="I948" s="289"/>
    </row>
    <row r="949">
      <c r="A949" s="289"/>
      <c r="I949" s="289"/>
    </row>
    <row r="950">
      <c r="A950" s="289"/>
      <c r="I950" s="289"/>
    </row>
    <row r="951">
      <c r="A951" s="289"/>
      <c r="I951" s="289"/>
    </row>
    <row r="952">
      <c r="A952" s="289"/>
      <c r="I952" s="289"/>
    </row>
    <row r="953">
      <c r="A953" s="289"/>
      <c r="I953" s="289"/>
    </row>
    <row r="954">
      <c r="A954" s="289"/>
      <c r="I954" s="289"/>
    </row>
    <row r="955">
      <c r="A955" s="289"/>
      <c r="I955" s="289"/>
    </row>
    <row r="956">
      <c r="A956" s="289"/>
      <c r="I956" s="289"/>
    </row>
    <row r="957">
      <c r="A957" s="289"/>
      <c r="I957" s="289"/>
    </row>
    <row r="958">
      <c r="A958" s="289"/>
      <c r="I958" s="289"/>
    </row>
    <row r="959">
      <c r="A959" s="289"/>
      <c r="I959" s="289"/>
    </row>
    <row r="960">
      <c r="A960" s="289"/>
      <c r="I960" s="289"/>
    </row>
    <row r="961">
      <c r="A961" s="289"/>
      <c r="I961" s="289"/>
    </row>
    <row r="962">
      <c r="A962" s="289"/>
      <c r="I962" s="289"/>
    </row>
    <row r="963">
      <c r="A963" s="289"/>
      <c r="I963" s="289"/>
    </row>
    <row r="964">
      <c r="A964" s="289"/>
      <c r="I964" s="289"/>
    </row>
    <row r="965">
      <c r="A965" s="289"/>
      <c r="I965" s="289"/>
    </row>
    <row r="966">
      <c r="A966" s="289"/>
      <c r="I966" s="289"/>
    </row>
    <row r="967">
      <c r="A967" s="289"/>
      <c r="I967" s="289"/>
    </row>
    <row r="968">
      <c r="A968" s="289"/>
      <c r="I968" s="289"/>
    </row>
    <row r="969">
      <c r="A969" s="289"/>
      <c r="I969" s="289"/>
    </row>
    <row r="970">
      <c r="A970" s="289"/>
      <c r="I970" s="289"/>
    </row>
    <row r="971">
      <c r="A971" s="289"/>
      <c r="I971" s="289"/>
    </row>
    <row r="972">
      <c r="A972" s="289"/>
      <c r="I972" s="289"/>
    </row>
    <row r="973">
      <c r="A973" s="289"/>
      <c r="I973" s="289"/>
    </row>
    <row r="974">
      <c r="A974" s="289"/>
      <c r="I974" s="289"/>
    </row>
    <row r="975">
      <c r="A975" s="289"/>
      <c r="I975" s="289"/>
    </row>
    <row r="976">
      <c r="A976" s="289"/>
      <c r="I976" s="289"/>
    </row>
    <row r="977">
      <c r="A977" s="289"/>
      <c r="I977" s="289"/>
    </row>
    <row r="978">
      <c r="A978" s="289"/>
      <c r="I978" s="289"/>
    </row>
    <row r="979">
      <c r="A979" s="289"/>
      <c r="I979" s="289"/>
    </row>
    <row r="980">
      <c r="A980" s="289"/>
      <c r="I980" s="289"/>
    </row>
    <row r="981">
      <c r="A981" s="289"/>
      <c r="I981" s="289"/>
    </row>
    <row r="982">
      <c r="A982" s="289"/>
      <c r="I982" s="289"/>
    </row>
    <row r="983">
      <c r="A983" s="289"/>
      <c r="I983" s="289"/>
    </row>
    <row r="984">
      <c r="A984" s="289"/>
      <c r="I984" s="289"/>
    </row>
    <row r="985">
      <c r="A985" s="289"/>
      <c r="I985" s="289"/>
    </row>
    <row r="986">
      <c r="A986" s="289"/>
      <c r="I986" s="289"/>
    </row>
    <row r="987">
      <c r="A987" s="289"/>
      <c r="I987" s="289"/>
    </row>
    <row r="988">
      <c r="A988" s="289"/>
      <c r="I988" s="289"/>
    </row>
    <row r="989">
      <c r="A989" s="289"/>
      <c r="I989" s="289"/>
    </row>
    <row r="990">
      <c r="A990" s="289"/>
      <c r="I990" s="289"/>
    </row>
    <row r="991">
      <c r="A991" s="289"/>
      <c r="I991" s="289"/>
    </row>
    <row r="992">
      <c r="A992" s="289"/>
      <c r="I992" s="289"/>
    </row>
    <row r="993">
      <c r="A993" s="289"/>
      <c r="I993" s="289"/>
    </row>
    <row r="994">
      <c r="A994" s="289"/>
      <c r="I994" s="289"/>
    </row>
    <row r="995">
      <c r="A995" s="289"/>
      <c r="I995" s="289"/>
    </row>
    <row r="996">
      <c r="A996" s="289"/>
      <c r="I996" s="289"/>
    </row>
    <row r="997">
      <c r="A997" s="289"/>
      <c r="I997" s="289"/>
    </row>
    <row r="998">
      <c r="A998" s="289"/>
      <c r="I998" s="289"/>
    </row>
  </sheetData>
  <autoFilter ref="$A$1:$AA$242"/>
  <dataValidations>
    <dataValidation type="list" allowBlank="1" showErrorMessage="1" sqref="J2:J19 J21:J83 J85:J91 J95:J96 J98:J103 J105:J109 J112:J114 J116:J119 J121 J123:J125 J127:J129 J131:J137 J139:J144 J146:J148 J150:J161 J163:J164 J166:J168 J170:J181 J183:J212 J214:J215 J217 J219:J226 J228:J242">
      <formula1>"SERRANO,PADRE MARIANO"</formula1>
    </dataValidation>
    <dataValidation type="list" allowBlank="1" showErrorMessage="1" sqref="I1:I998">
      <formula1>"&lt;0,&gt;0"</formula1>
    </dataValidation>
    <dataValidation type="list" allowBlank="1" showErrorMessage="1" sqref="L2:L19 L21:L92 L95:L96 L98:L103 L105:L109 L112:L114 L116:L119 L121 L123:L125 L127:L129 L131:L137 L139:L148 L150:L164 L166:L168 L170:L181 L183:L212 L214:L215 L217 L219:L226 L228:L242">
      <formula1>"CON PATENTE,EN PROCESO,SIN PATENTE,NOTIFICAD X MUNI,PATENTE PROVI OK"</formula1>
    </dataValidation>
    <dataValidation type="list" allowBlank="1" showErrorMessage="1" sqref="A1:A92 A94:A998">
      <formula1>"#VALUE!,DE BAJA,VENCIDA,VIGENTE 100 DÍAS,VIGENTE 101 DÍAS,VIGENTE 102 DÍAS,VIGENTE 106 DÍAS,VIGENTE 117 DÍAS,VIGENTE 121 DÍAS,VIGENTE 124 DÍAS,VIGENTE 134 DÍAS,VIGENTE 137 DÍAS,VIGENTE 148 DÍAS,VIGENTE 151 DÍAS,VIGENTE 163 DÍAS,VIGENTE 165 DÍAS,VIGENTE 16"&amp;"9 DÍAS,VIGENTE 17 DÍAS,VIGENTE 184 DÍAS,VIGENTE 198 DÍAS,VIGENTE 204 DÍAS,VIGENTE 208 DÍAS,VIGENTE 211 DÍAS,VIGENTE 218 DÍAS,VIGENTE 222 DÍAS,VIGENTE 225 DÍAS,VIGENTE 226 DÍAS,VIGENTE 232 DÍAS,VIGENTE 235 DÍAS,VIGENTE 239 DÍAS,VIGENTE 240 DÍAS,VIGENTE 241"&amp;" DÍAS,VIGENTE 246 DÍAS,VIGENTE 247 DÍAS,VIGENTE 248 DÍAS,VIGENTE 25 DÍAS,VIGENTE 250 DÍAS,VIGENTE 253 DÍAS,VIGENTE 255 DÍAS,VIGENTE 256 DÍAS,VIGENTE 260 DÍAS,VIGENTE 261 DÍAS,VIGENTE 270 DÍAS,VIGENTE 274 DÍAS,VIGENTE 276 DÍAS,VIGENTE 283 DÍAS,VIGENTE 290 "&amp;"DÍAS,VIGENTE 292 DÍAS,VIGENTE 296 DÍAS,VIGENTE 299 DÍAS,VIGENTE 3 DÍAS,VIGENTE 30 DÍAS,VIGENTE 303 DÍAS,VIGENTE 32 DÍAS,VIGENTE 334 DÍAS,VIGENTE 34 DÍAS,VIGENTE 351 DÍAS,VIGENTE 358 DÍAS,VIGENTE 359 DÍAS,VIGENTE 37 DÍAS,VIGENTE 389 DÍAS,VIGENTE 43 DÍAS,VI"&amp;"GENTE 53 DÍAS,VIGENTE 54 DÍAS,VIGENTE 64 DÍAS,VIGENTE 66 DÍAS,VIGENTE 713 DÍAS,VIGENTE 9 DÍAS,VIGENTE 92 DÍAS,VIGENTE 94 DÍAS,VIGENTE 99 DÍAS"</formula1>
    </dataValidation>
    <dataValidation type="list" allowBlank="1" showErrorMessage="1" sqref="K2:K19 C20 F20:H20 J20:L20 K21:K83 J84:K84 K85:K91 F92:H92 J92:K92 A93 F94:H94 J93:L94 K95:K96 F97:H97 J97:L97 K98:K103 F104:H104 J104:L104 K105:K109 F110:H111 J110:L111 K112:K114 F115:H115 J115:L115 K116:K119 F120:H120 J120:L120 K121 F122:H122 J122:L122 K123:K125 F126:H126 J126:L126 K127:K129 F130:H130 J130:L130 K131:K137 F138:H138 J138:L138 K139:K144 F145:H145 J145:K145 K146:K148 F149:H149 J149:L149 K150:K161 F162:H162 J162:K162 K163:K164 F165:H165 J165:L165 K166:K168 F169:H169 J169:L169 K170:K181 C182 F182:H182 J182:L182 K183:K212 F213:H213 J213:L213 K214:K215 F216:H216 J216:L216 K217 F218:H218 J218:L218 K219:K226 F227:H227 J227:L227 K228:K242">
      <formula1>"MIGRAR,VENCIDO,DE BAJA,OK,POR VENCER"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8" t="s">
        <v>786</v>
      </c>
      <c r="B1" s="328" t="s">
        <v>787</v>
      </c>
      <c r="C1" s="328" t="s">
        <v>3326</v>
      </c>
      <c r="D1" s="328" t="s">
        <v>3327</v>
      </c>
      <c r="E1" s="328" t="s">
        <v>3328</v>
      </c>
      <c r="F1" s="328" t="s">
        <v>3329</v>
      </c>
      <c r="G1" s="328" t="s">
        <v>3330</v>
      </c>
      <c r="H1" s="328" t="s">
        <v>3331</v>
      </c>
      <c r="I1" s="328" t="s">
        <v>3332</v>
      </c>
      <c r="J1" s="328" t="s">
        <v>3333</v>
      </c>
      <c r="K1" s="328" t="s">
        <v>3334</v>
      </c>
      <c r="L1" s="328" t="s">
        <v>3335</v>
      </c>
      <c r="M1" s="328" t="s">
        <v>3336</v>
      </c>
      <c r="N1" s="328" t="s">
        <v>3337</v>
      </c>
    </row>
    <row r="2">
      <c r="A2" s="94" t="s">
        <v>2370</v>
      </c>
      <c r="B2" s="94" t="s">
        <v>2105</v>
      </c>
      <c r="C2" s="94"/>
      <c r="D2" s="94" t="s">
        <v>3338</v>
      </c>
      <c r="E2" s="329">
        <f>F2*G2</f>
        <v>739582.62</v>
      </c>
      <c r="F2" s="329">
        <f>207166*1.19 </f>
        <v>246527.54</v>
      </c>
      <c r="G2" s="241">
        <v>3.0</v>
      </c>
      <c r="H2" s="81"/>
      <c r="I2" s="330" t="s">
        <v>3339</v>
      </c>
      <c r="J2" s="94" t="s">
        <v>3340</v>
      </c>
      <c r="K2" s="94" t="s">
        <v>3341</v>
      </c>
      <c r="L2" s="94"/>
      <c r="M2" s="94"/>
      <c r="N2" s="94"/>
    </row>
    <row r="3">
      <c r="A3" s="94" t="s">
        <v>3342</v>
      </c>
      <c r="B3" s="94" t="s">
        <v>1245</v>
      </c>
      <c r="C3" s="94"/>
      <c r="D3" s="94" t="s">
        <v>2157</v>
      </c>
      <c r="E3" s="329">
        <f>140400+150000</f>
        <v>290400</v>
      </c>
      <c r="F3" s="331"/>
      <c r="G3" s="241">
        <v>2.0</v>
      </c>
      <c r="H3" s="94" t="s">
        <v>3343</v>
      </c>
      <c r="I3" s="330" t="s">
        <v>3339</v>
      </c>
      <c r="J3" s="332" t="s">
        <v>3344</v>
      </c>
      <c r="K3" s="94"/>
      <c r="L3" s="94"/>
      <c r="M3" s="94"/>
      <c r="N3" s="94"/>
    </row>
    <row r="4">
      <c r="A4" s="25" t="s">
        <v>987</v>
      </c>
      <c r="B4" s="94" t="s">
        <v>988</v>
      </c>
      <c r="C4" s="94"/>
      <c r="D4" s="94" t="s">
        <v>3345</v>
      </c>
      <c r="E4" s="329">
        <v>100000.0</v>
      </c>
      <c r="F4" s="329">
        <v>100000.0</v>
      </c>
      <c r="G4" s="241">
        <v>1.0</v>
      </c>
      <c r="H4" s="94"/>
      <c r="I4" s="333">
        <v>45962.0</v>
      </c>
      <c r="J4" s="94"/>
      <c r="K4" s="94"/>
      <c r="L4" s="94"/>
      <c r="M4" s="94"/>
      <c r="N4" s="94"/>
    </row>
    <row r="5">
      <c r="A5" s="94" t="s">
        <v>3346</v>
      </c>
      <c r="B5" s="94"/>
      <c r="C5" s="94"/>
      <c r="D5" s="94" t="s">
        <v>1380</v>
      </c>
      <c r="E5" s="241">
        <v>100000.0</v>
      </c>
      <c r="F5" s="241">
        <v>100000.0</v>
      </c>
      <c r="G5" s="241">
        <v>1.0</v>
      </c>
      <c r="H5" s="94" t="s">
        <v>3347</v>
      </c>
      <c r="I5" s="333">
        <v>45962.0</v>
      </c>
      <c r="J5" s="94"/>
      <c r="K5" s="94"/>
      <c r="L5" s="94"/>
      <c r="M5" s="94"/>
      <c r="N5" s="94"/>
    </row>
    <row r="6">
      <c r="A6" s="94" t="s">
        <v>3348</v>
      </c>
      <c r="B6" s="94"/>
      <c r="C6" s="94"/>
      <c r="D6" s="94" t="s">
        <v>3349</v>
      </c>
      <c r="E6" s="241">
        <v>83300.0</v>
      </c>
      <c r="F6" s="241">
        <f t="shared" ref="F6:F7" si="1">E6/2</f>
        <v>41650</v>
      </c>
      <c r="G6" s="241">
        <v>2.0</v>
      </c>
      <c r="H6" s="94"/>
      <c r="I6" s="334">
        <f>F6</f>
        <v>41650</v>
      </c>
      <c r="J6" s="241">
        <v>41650.0</v>
      </c>
      <c r="K6" s="94"/>
      <c r="L6" s="94"/>
      <c r="M6" s="94"/>
      <c r="N6" s="94"/>
    </row>
    <row r="7">
      <c r="A7" s="289" t="s">
        <v>940</v>
      </c>
      <c r="B7" s="289" t="s">
        <v>634</v>
      </c>
      <c r="C7" s="289" t="s">
        <v>1455</v>
      </c>
      <c r="D7" s="188" t="s">
        <v>3350</v>
      </c>
      <c r="E7" s="188">
        <v>119000.0</v>
      </c>
      <c r="F7" s="289">
        <f t="shared" si="1"/>
        <v>59500</v>
      </c>
      <c r="G7" s="188">
        <v>2.0</v>
      </c>
      <c r="I7" s="335">
        <v>59500.0</v>
      </c>
      <c r="J7" s="188" t="s">
        <v>3351</v>
      </c>
    </row>
    <row r="8">
      <c r="A8" s="289" t="s">
        <v>520</v>
      </c>
      <c r="B8" s="289" t="s">
        <v>521</v>
      </c>
      <c r="C8" s="336" t="s">
        <v>1482</v>
      </c>
      <c r="D8" s="188" t="s">
        <v>3350</v>
      </c>
      <c r="E8" s="289">
        <f>I8*2</f>
        <v>93000</v>
      </c>
      <c r="F8" s="289">
        <f>I8</f>
        <v>46500</v>
      </c>
      <c r="G8" s="188">
        <v>2.0</v>
      </c>
      <c r="I8" s="335">
        <v>46500.0</v>
      </c>
      <c r="J8" s="188" t="s">
        <v>3351</v>
      </c>
    </row>
    <row r="9">
      <c r="A9" s="289" t="s">
        <v>1194</v>
      </c>
      <c r="B9" s="289" t="s">
        <v>1195</v>
      </c>
      <c r="D9" s="188" t="s">
        <v>3350</v>
      </c>
      <c r="E9" s="337">
        <v>92968.0</v>
      </c>
      <c r="F9" s="111">
        <f>E9/2</f>
        <v>46484</v>
      </c>
      <c r="G9" s="188">
        <v>2.0</v>
      </c>
      <c r="I9" s="338">
        <v>46484.0</v>
      </c>
      <c r="J9" s="188" t="s">
        <v>3351</v>
      </c>
    </row>
    <row r="10">
      <c r="A10" s="289" t="s">
        <v>1154</v>
      </c>
      <c r="B10" s="289" t="s">
        <v>570</v>
      </c>
      <c r="C10" s="188" t="s">
        <v>1580</v>
      </c>
      <c r="D10" s="188" t="s">
        <v>3350</v>
      </c>
      <c r="E10" s="188">
        <v>148750.0</v>
      </c>
      <c r="F10" s="289">
        <f>E10/G10</f>
        <v>74375</v>
      </c>
      <c r="G10" s="188">
        <v>2.0</v>
      </c>
      <c r="I10" s="339">
        <f>F10</f>
        <v>74375</v>
      </c>
      <c r="J10" s="188" t="s">
        <v>3352</v>
      </c>
    </row>
    <row r="11">
      <c r="A11" s="289" t="s">
        <v>1457</v>
      </c>
      <c r="B11" s="289" t="s">
        <v>688</v>
      </c>
      <c r="C11" s="289" t="s">
        <v>1460</v>
      </c>
      <c r="D11" s="188" t="s">
        <v>3350</v>
      </c>
      <c r="E11" s="188">
        <v>148750.0</v>
      </c>
      <c r="F11" s="289">
        <f>E11/2</f>
        <v>74375</v>
      </c>
      <c r="G11" s="188">
        <v>2.0</v>
      </c>
      <c r="I11" s="335">
        <v>75000.0</v>
      </c>
      <c r="J11" s="188" t="s">
        <v>3353</v>
      </c>
    </row>
    <row r="12">
      <c r="A12" s="289" t="s">
        <v>1623</v>
      </c>
      <c r="B12" s="289" t="s">
        <v>1624</v>
      </c>
      <c r="C12" s="336" t="s">
        <v>1628</v>
      </c>
      <c r="D12" s="188" t="s">
        <v>3350</v>
      </c>
      <c r="E12" s="289">
        <f>F12*G12</f>
        <v>185937</v>
      </c>
      <c r="F12" s="188">
        <v>61979.0</v>
      </c>
      <c r="G12" s="188">
        <v>3.0</v>
      </c>
      <c r="I12" s="335">
        <v>61979.0</v>
      </c>
      <c r="J12" s="188" t="s">
        <v>3354</v>
      </c>
      <c r="K12" s="188" t="s">
        <v>3355</v>
      </c>
    </row>
    <row r="13">
      <c r="A13" s="289" t="s">
        <v>1432</v>
      </c>
      <c r="B13" s="289" t="s">
        <v>782</v>
      </c>
      <c r="C13" s="188" t="s">
        <v>1435</v>
      </c>
      <c r="D13" s="188" t="s">
        <v>3350</v>
      </c>
      <c r="E13" s="289">
        <f>F13*2</f>
        <v>92970</v>
      </c>
      <c r="F13" s="188">
        <v>46485.0</v>
      </c>
      <c r="G13" s="188">
        <v>2.0</v>
      </c>
      <c r="I13" s="335">
        <v>46485.0</v>
      </c>
      <c r="J13" s="188" t="s">
        <v>3356</v>
      </c>
    </row>
  </sheetData>
  <drawing r:id="rId1"/>
</worksheet>
</file>